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c9a101a4ee7ef55/Modelling/My Financial Models/Completed Models/To Website/Macro Enabled/"/>
    </mc:Choice>
  </mc:AlternateContent>
  <xr:revisionPtr revIDLastSave="31" documentId="13_ncr:1_{D72C897E-D322-4273-BA62-9DCABEA4817A}" xr6:coauthVersionLast="47" xr6:coauthVersionMax="47" xr10:uidLastSave="{E8208C5C-BACB-440D-89FE-19D114B115D4}"/>
  <bookViews>
    <workbookView xWindow="-120" yWindow="-120" windowWidth="20730" windowHeight="11040" tabRatio="853" activeTab="5" xr2:uid="{41FACCF9-F4C2-4319-A241-FB80E5F9ADA2}"/>
  </bookViews>
  <sheets>
    <sheet name="Summary" sheetId="17" r:id="rId1"/>
    <sheet name="Buyout" sheetId="1" r:id="rId2"/>
    <sheet name="InputC" sheetId="3" r:id="rId3"/>
    <sheet name="InputT" sheetId="4" r:id="rId4"/>
    <sheet name="IS" sheetId="10" r:id="rId5"/>
    <sheet name="CF" sheetId="11" r:id="rId6"/>
    <sheet name="BS" sheetId="14" r:id="rId7"/>
    <sheet name="Timing" sheetId="2" r:id="rId8"/>
    <sheet name="CAPEX" sheetId="5" r:id="rId9"/>
    <sheet name="Ops" sheetId="6" r:id="rId10"/>
    <sheet name="Tariff" sheetId="7" r:id="rId11"/>
    <sheet name="Financing" sheetId="8" r:id="rId12"/>
    <sheet name="T&amp;D" sheetId="9" r:id="rId13"/>
    <sheet name="Equity" sheetId="12" r:id="rId14"/>
    <sheet name="Valuation" sheetId="13" r:id="rId15"/>
    <sheet name="Macro" sheetId="15" r:id="rId16"/>
    <sheet name="Amortisation" sheetId="16" r:id="rId17"/>
    <sheet name="Graphs" sheetId="18" state="hidden" r:id="rId18"/>
  </sheets>
  <externalReferences>
    <externalReference r:id="rId19"/>
  </externalReferences>
  <definedNames>
    <definedName name="CFADS_Live" localSheetId="16">Amortisation!#REF!</definedName>
    <definedName name="CFADS_Live">Macro!$P$13:$CQ$13</definedName>
    <definedName name="CFADS_Paste" localSheetId="16">Amortisation!#REF!</definedName>
    <definedName name="CFADS_Paste">Macro!$P$18:$CQ$18</definedName>
    <definedName name="IRR_Hurdle" localSheetId="16">Amortisation!#REF!</definedName>
    <definedName name="IRR_Hurdle" localSheetId="6">BS!#REF!</definedName>
    <definedName name="IRR_Hurdle" localSheetId="5">CF!#REF!</definedName>
    <definedName name="IRR_Hurdle" localSheetId="13">Equity!#REF!</definedName>
    <definedName name="IRR_Hurdle" localSheetId="11">Financing!#REF!</definedName>
    <definedName name="IRR_Hurdle" localSheetId="17">Graphs!#REF!</definedName>
    <definedName name="IRR_Hurdle" localSheetId="4">IS!#REF!</definedName>
    <definedName name="IRR_Hurdle" localSheetId="15">Macro!#REF!</definedName>
    <definedName name="IRR_Hurdle" localSheetId="12">'T&amp;D'!#REF!</definedName>
    <definedName name="IRR_Hurdle" localSheetId="14">Valuation!#REF!</definedName>
    <definedName name="IRR_Hurdle">Tariff!$J$33</definedName>
    <definedName name="Macro_Check" localSheetId="16">Amortisation!#REF!</definedName>
    <definedName name="Macro_Check">Macro!$J$25</definedName>
    <definedName name="Tariff">[1]Tariff!$J$39</definedName>
    <definedName name="TariffCharge" localSheetId="16">Amortisation!#REF!</definedName>
    <definedName name="TariffCharge" localSheetId="6">BS!#REF!</definedName>
    <definedName name="TariffCharge" localSheetId="5">CF!#REF!</definedName>
    <definedName name="TariffCharge" localSheetId="13">Equity!#REF!</definedName>
    <definedName name="TariffCharge" localSheetId="11">Financing!#REF!</definedName>
    <definedName name="TariffCharge" localSheetId="17">Graphs!#REF!</definedName>
    <definedName name="TariffCharge" localSheetId="4">IS!#REF!</definedName>
    <definedName name="TariffCharge" localSheetId="15">Macro!#REF!</definedName>
    <definedName name="TariffCharge" localSheetId="12">'T&amp;D'!#REF!</definedName>
    <definedName name="TariffCharge" localSheetId="14">Valuation!#REF!</definedName>
    <definedName name="TariffCharge">Tariff!$J$39</definedName>
    <definedName name="Unlevered_IRR" localSheetId="16">Amortisation!#REF!</definedName>
    <definedName name="Unlevered_IRR" localSheetId="6">BS!#REF!</definedName>
    <definedName name="Unlevered_IRR" localSheetId="5">CF!#REF!</definedName>
    <definedName name="Unlevered_IRR" localSheetId="13">Equity!#REF!</definedName>
    <definedName name="Unlevered_IRR" localSheetId="11">Financing!#REF!</definedName>
    <definedName name="Unlevered_IRR" localSheetId="17">Graphs!#REF!</definedName>
    <definedName name="Unlevered_IRR" localSheetId="4">IS!#REF!</definedName>
    <definedName name="Unlevered_IRR" localSheetId="15">Macro!#REF!</definedName>
    <definedName name="Unlevered_IRR" localSheetId="12">'T&amp;D'!#REF!</definedName>
    <definedName name="Unlevered_IRR" localSheetId="14">Valuation!#REF!</definedName>
    <definedName name="Unlevered_IRR">Tariff!$J$34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3" i="17" l="1"/>
  <c r="X34" i="17"/>
  <c r="V42" i="17"/>
  <c r="V41" i="17"/>
  <c r="V33" i="17"/>
  <c r="V34" i="17"/>
  <c r="V32" i="17"/>
  <c r="CR10" i="11"/>
  <c r="CS10" i="11"/>
  <c r="CT10" i="11"/>
  <c r="CR11" i="11"/>
  <c r="CS11" i="11"/>
  <c r="CT11" i="11"/>
  <c r="CR12" i="11"/>
  <c r="CS12" i="11"/>
  <c r="CT12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R40" i="11"/>
  <c r="CS40" i="11"/>
  <c r="CT40" i="11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U58" i="18"/>
  <c r="BV58" i="18"/>
  <c r="BW58" i="18"/>
  <c r="BX58" i="18"/>
  <c r="BY58" i="18"/>
  <c r="BZ58" i="18"/>
  <c r="CA58" i="18"/>
  <c r="CB58" i="18"/>
  <c r="CC58" i="18"/>
  <c r="CD58" i="18"/>
  <c r="CE58" i="18"/>
  <c r="CF58" i="18"/>
  <c r="CG58" i="18"/>
  <c r="CH58" i="18"/>
  <c r="CI58" i="18"/>
  <c r="CJ58" i="18"/>
  <c r="CK58" i="18"/>
  <c r="CL58" i="18"/>
  <c r="CM58" i="18"/>
  <c r="CN58" i="18"/>
  <c r="CO58" i="18"/>
  <c r="CP58" i="18"/>
  <c r="CQ58" i="18"/>
  <c r="CR58" i="18"/>
  <c r="CS58" i="18"/>
  <c r="CT58" i="18"/>
  <c r="P58" i="18"/>
  <c r="J14" i="18"/>
  <c r="J15" i="18"/>
  <c r="I17" i="18"/>
  <c r="I16" i="18"/>
  <c r="I14" i="18"/>
  <c r="I15" i="18"/>
  <c r="I13" i="18"/>
  <c r="DD7" i="18"/>
  <c r="DC7" i="18"/>
  <c r="DB7" i="18"/>
  <c r="DA7" i="18"/>
  <c r="CZ7" i="18"/>
  <c r="CY7" i="18"/>
  <c r="CX7" i="18"/>
  <c r="CW7" i="18"/>
  <c r="CV7" i="18"/>
  <c r="CU7" i="18"/>
  <c r="DD6" i="18"/>
  <c r="DC6" i="18"/>
  <c r="DB6" i="18"/>
  <c r="DA6" i="18"/>
  <c r="CZ6" i="18"/>
  <c r="CY6" i="18"/>
  <c r="CX6" i="18"/>
  <c r="CW6" i="18"/>
  <c r="CV6" i="18"/>
  <c r="CU6" i="18"/>
  <c r="X12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10" i="17"/>
  <c r="N11" i="17"/>
  <c r="O11" i="17" s="1"/>
  <c r="N12" i="17"/>
  <c r="Q12" i="17" s="1"/>
  <c r="N13" i="17"/>
  <c r="Q13" i="17" s="1"/>
  <c r="N14" i="17"/>
  <c r="Q14" i="17" s="1"/>
  <c r="N15" i="17"/>
  <c r="Q15" i="17" s="1"/>
  <c r="N16" i="17"/>
  <c r="Q16" i="17" s="1"/>
  <c r="N17" i="17"/>
  <c r="Q17" i="17" s="1"/>
  <c r="N18" i="17"/>
  <c r="P18" i="17" s="1"/>
  <c r="N19" i="17"/>
  <c r="Q19" i="17" s="1"/>
  <c r="N20" i="17"/>
  <c r="Q20" i="17" s="1"/>
  <c r="N21" i="17"/>
  <c r="P21" i="17" s="1"/>
  <c r="N22" i="17"/>
  <c r="Q22" i="17" s="1"/>
  <c r="N23" i="17"/>
  <c r="Q23" i="17" s="1"/>
  <c r="N24" i="17"/>
  <c r="Q24" i="17" s="1"/>
  <c r="N10" i="17"/>
  <c r="O10" i="17" s="1"/>
  <c r="D91" i="1"/>
  <c r="CR80" i="1"/>
  <c r="CS80" i="1"/>
  <c r="CT80" i="1"/>
  <c r="I45" i="17"/>
  <c r="I16" i="17"/>
  <c r="I19" i="17"/>
  <c r="I10" i="17"/>
  <c r="I9" i="17"/>
  <c r="L11" i="17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D105" i="1" s="1"/>
  <c r="K159" i="3"/>
  <c r="D95" i="1" l="1"/>
  <c r="D103" i="1"/>
  <c r="D102" i="1"/>
  <c r="D99" i="1"/>
  <c r="D98" i="1"/>
  <c r="D97" i="1"/>
  <c r="D94" i="1"/>
  <c r="D104" i="1"/>
  <c r="D96" i="1"/>
  <c r="D101" i="1"/>
  <c r="D93" i="1"/>
  <c r="D100" i="1"/>
  <c r="D92" i="1"/>
  <c r="Q21" i="17"/>
  <c r="Q18" i="17"/>
  <c r="O18" i="17"/>
  <c r="P10" i="17"/>
  <c r="O21" i="17"/>
  <c r="P22" i="17"/>
  <c r="P11" i="17"/>
  <c r="Q11" i="17"/>
  <c r="O22" i="17"/>
  <c r="O13" i="17"/>
  <c r="P13" i="17"/>
  <c r="Q10" i="17"/>
  <c r="P12" i="17"/>
  <c r="P19" i="17"/>
  <c r="P20" i="17"/>
  <c r="P23" i="17"/>
  <c r="O24" i="17"/>
  <c r="O12" i="17"/>
  <c r="O19" i="17"/>
  <c r="O20" i="17"/>
  <c r="O23" i="17"/>
  <c r="P24" i="17"/>
  <c r="O14" i="17"/>
  <c r="O15" i="17"/>
  <c r="O16" i="17"/>
  <c r="O17" i="17"/>
  <c r="P14" i="17"/>
  <c r="P15" i="17"/>
  <c r="P16" i="17"/>
  <c r="P17" i="17"/>
  <c r="CR15" i="8"/>
  <c r="CR17" i="11" s="1"/>
  <c r="CS15" i="8"/>
  <c r="CS17" i="11" s="1"/>
  <c r="CT15" i="8"/>
  <c r="CT17" i="11" s="1"/>
  <c r="CR18" i="8"/>
  <c r="CR27" i="8" s="1"/>
  <c r="CS18" i="8"/>
  <c r="CS27" i="8" s="1"/>
  <c r="CR46" i="8"/>
  <c r="CS46" i="8"/>
  <c r="CT46" i="8"/>
  <c r="CR119" i="8"/>
  <c r="B16" i="16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15" i="16"/>
  <c r="Q46" i="8"/>
  <c r="Q119" i="8" s="1"/>
  <c r="R46" i="8"/>
  <c r="S46" i="8"/>
  <c r="T46" i="8"/>
  <c r="T119" i="8" s="1"/>
  <c r="U46" i="8"/>
  <c r="U119" i="8" s="1"/>
  <c r="V46" i="8"/>
  <c r="V119" i="8" s="1"/>
  <c r="W46" i="8"/>
  <c r="W119" i="8" s="1"/>
  <c r="X46" i="8"/>
  <c r="X119" i="8" s="1"/>
  <c r="Y46" i="8"/>
  <c r="Y119" i="8" s="1"/>
  <c r="Z46" i="8"/>
  <c r="Z119" i="8" s="1"/>
  <c r="AA46" i="8"/>
  <c r="AB46" i="8"/>
  <c r="AB119" i="8" s="1"/>
  <c r="AC46" i="8"/>
  <c r="AC119" i="8" s="1"/>
  <c r="AD46" i="8"/>
  <c r="AD119" i="8" s="1"/>
  <c r="AE46" i="8"/>
  <c r="AE119" i="8" s="1"/>
  <c r="AF46" i="8"/>
  <c r="AF119" i="8" s="1"/>
  <c r="AG46" i="8"/>
  <c r="AG119" i="8" s="1"/>
  <c r="AH46" i="8"/>
  <c r="AH119" i="8" s="1"/>
  <c r="AI46" i="8"/>
  <c r="AI119" i="8" s="1"/>
  <c r="AJ46" i="8"/>
  <c r="AJ119" i="8" s="1"/>
  <c r="AK46" i="8"/>
  <c r="AK119" i="8" s="1"/>
  <c r="AL46" i="8"/>
  <c r="AL119" i="8" s="1"/>
  <c r="AM46" i="8"/>
  <c r="AM119" i="8" s="1"/>
  <c r="AN46" i="8"/>
  <c r="AN119" i="8" s="1"/>
  <c r="AO46" i="8"/>
  <c r="AO119" i="8" s="1"/>
  <c r="AP46" i="8"/>
  <c r="AP119" i="8" s="1"/>
  <c r="AQ46" i="8"/>
  <c r="AQ119" i="8" s="1"/>
  <c r="AR46" i="8"/>
  <c r="AR119" i="8" s="1"/>
  <c r="AS46" i="8"/>
  <c r="AS119" i="8" s="1"/>
  <c r="AT46" i="8"/>
  <c r="AT119" i="8" s="1"/>
  <c r="AU46" i="8"/>
  <c r="AU119" i="8" s="1"/>
  <c r="AV46" i="8"/>
  <c r="AV119" i="8" s="1"/>
  <c r="AW46" i="8"/>
  <c r="AW119" i="8" s="1"/>
  <c r="AX46" i="8"/>
  <c r="AX119" i="8" s="1"/>
  <c r="AY46" i="8"/>
  <c r="AY119" i="8" s="1"/>
  <c r="AZ46" i="8"/>
  <c r="AZ119" i="8" s="1"/>
  <c r="BA46" i="8"/>
  <c r="BA119" i="8" s="1"/>
  <c r="BB46" i="8"/>
  <c r="BB119" i="8" s="1"/>
  <c r="BC46" i="8"/>
  <c r="BC119" i="8" s="1"/>
  <c r="BD46" i="8"/>
  <c r="BD119" i="8" s="1"/>
  <c r="BE46" i="8"/>
  <c r="BE119" i="8" s="1"/>
  <c r="BF46" i="8"/>
  <c r="BF119" i="8" s="1"/>
  <c r="BG46" i="8"/>
  <c r="BG119" i="8" s="1"/>
  <c r="BH46" i="8"/>
  <c r="BH119" i="8" s="1"/>
  <c r="BI46" i="8"/>
  <c r="BI119" i="8" s="1"/>
  <c r="BJ46" i="8"/>
  <c r="BJ119" i="8" s="1"/>
  <c r="BK46" i="8"/>
  <c r="BK119" i="8" s="1"/>
  <c r="BL46" i="8"/>
  <c r="BL119" i="8" s="1"/>
  <c r="BM46" i="8"/>
  <c r="BM119" i="8" s="1"/>
  <c r="BN46" i="8"/>
  <c r="BN119" i="8" s="1"/>
  <c r="BO46" i="8"/>
  <c r="BP46" i="8"/>
  <c r="BP119" i="8" s="1"/>
  <c r="BQ46" i="8"/>
  <c r="BQ119" i="8" s="1"/>
  <c r="BR46" i="8"/>
  <c r="BR119" i="8" s="1"/>
  <c r="BS46" i="8"/>
  <c r="BS119" i="8" s="1"/>
  <c r="BT46" i="8"/>
  <c r="BT119" i="8" s="1"/>
  <c r="BU46" i="8"/>
  <c r="BU119" i="8" s="1"/>
  <c r="BV46" i="8"/>
  <c r="BV119" i="8" s="1"/>
  <c r="BW46" i="8"/>
  <c r="BW119" i="8" s="1"/>
  <c r="BX46" i="8"/>
  <c r="BX119" i="8" s="1"/>
  <c r="BY46" i="8"/>
  <c r="BY119" i="8" s="1"/>
  <c r="BZ46" i="8"/>
  <c r="BZ119" i="8" s="1"/>
  <c r="CA46" i="8"/>
  <c r="CA119" i="8" s="1"/>
  <c r="CB46" i="8"/>
  <c r="CB119" i="8" s="1"/>
  <c r="CC46" i="8"/>
  <c r="CC119" i="8" s="1"/>
  <c r="CD46" i="8"/>
  <c r="CD119" i="8" s="1"/>
  <c r="CE46" i="8"/>
  <c r="CE119" i="8" s="1"/>
  <c r="CF46" i="8"/>
  <c r="CF119" i="8" s="1"/>
  <c r="CG46" i="8"/>
  <c r="CG119" i="8" s="1"/>
  <c r="CH46" i="8"/>
  <c r="CH119" i="8" s="1"/>
  <c r="CI46" i="8"/>
  <c r="CI119" i="8" s="1"/>
  <c r="CJ46" i="8"/>
  <c r="CJ119" i="8" s="1"/>
  <c r="CK46" i="8"/>
  <c r="CK119" i="8" s="1"/>
  <c r="CL46" i="8"/>
  <c r="CL119" i="8" s="1"/>
  <c r="CM46" i="8"/>
  <c r="CM119" i="8" s="1"/>
  <c r="CN46" i="8"/>
  <c r="CN119" i="8" s="1"/>
  <c r="CO46" i="8"/>
  <c r="CO119" i="8" s="1"/>
  <c r="CP46" i="8"/>
  <c r="CP119" i="8" s="1"/>
  <c r="CQ46" i="8"/>
  <c r="CQ119" i="8" s="1"/>
  <c r="P46" i="8"/>
  <c r="P119" i="8" s="1"/>
  <c r="CQ24" i="15"/>
  <c r="CP24" i="15"/>
  <c r="CO24" i="15"/>
  <c r="CN24" i="15"/>
  <c r="CM24" i="15"/>
  <c r="CL24" i="15"/>
  <c r="CK24" i="15"/>
  <c r="CJ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J24" i="15" s="1"/>
  <c r="P24" i="15"/>
  <c r="N18" i="15"/>
  <c r="DD7" i="15"/>
  <c r="DC7" i="15"/>
  <c r="DB7" i="15"/>
  <c r="DA7" i="15"/>
  <c r="CZ7" i="15"/>
  <c r="CY7" i="15"/>
  <c r="CX7" i="15"/>
  <c r="CW7" i="15"/>
  <c r="CV7" i="15"/>
  <c r="CU7" i="15"/>
  <c r="DD6" i="15"/>
  <c r="DC6" i="15"/>
  <c r="DB6" i="15"/>
  <c r="DA6" i="15"/>
  <c r="CZ6" i="15"/>
  <c r="CY6" i="15"/>
  <c r="CX6" i="15"/>
  <c r="CW6" i="15"/>
  <c r="CV6" i="15"/>
  <c r="CU6" i="15"/>
  <c r="DD7" i="14"/>
  <c r="DC7" i="14"/>
  <c r="DB7" i="14"/>
  <c r="DA7" i="14"/>
  <c r="CZ7" i="14"/>
  <c r="CY7" i="14"/>
  <c r="CX7" i="14"/>
  <c r="CW7" i="14"/>
  <c r="CV7" i="14"/>
  <c r="CU7" i="14"/>
  <c r="DD6" i="14"/>
  <c r="DC6" i="14"/>
  <c r="DB6" i="14"/>
  <c r="DA6" i="14"/>
  <c r="CZ6" i="14"/>
  <c r="CY6" i="14"/>
  <c r="CX6" i="14"/>
  <c r="CW6" i="14"/>
  <c r="CV6" i="14"/>
  <c r="CU6" i="14"/>
  <c r="P73" i="13"/>
  <c r="IC62" i="13"/>
  <c r="IB62" i="13"/>
  <c r="IA62" i="13"/>
  <c r="HZ62" i="13"/>
  <c r="HY62" i="13"/>
  <c r="HX62" i="13"/>
  <c r="HW62" i="13"/>
  <c r="HV62" i="13"/>
  <c r="HU62" i="13"/>
  <c r="HT62" i="13"/>
  <c r="HS62" i="13"/>
  <c r="HR62" i="13"/>
  <c r="HQ62" i="13"/>
  <c r="HP62" i="13"/>
  <c r="HO62" i="13"/>
  <c r="HN62" i="13"/>
  <c r="HM62" i="13"/>
  <c r="HL62" i="13"/>
  <c r="HK62" i="13"/>
  <c r="HJ62" i="13"/>
  <c r="HI62" i="13"/>
  <c r="HH62" i="13"/>
  <c r="HG62" i="13"/>
  <c r="HF62" i="13"/>
  <c r="HE62" i="13"/>
  <c r="HD62" i="13"/>
  <c r="HC62" i="13"/>
  <c r="HB62" i="13"/>
  <c r="HA62" i="13"/>
  <c r="GZ62" i="13"/>
  <c r="GY62" i="13"/>
  <c r="GX62" i="13"/>
  <c r="GW62" i="13"/>
  <c r="GV62" i="13"/>
  <c r="GU62" i="13"/>
  <c r="GT62" i="13"/>
  <c r="GS62" i="13"/>
  <c r="GR62" i="13"/>
  <c r="GQ62" i="13"/>
  <c r="GP62" i="13"/>
  <c r="GO62" i="13"/>
  <c r="GN62" i="13"/>
  <c r="GM62" i="13"/>
  <c r="GL62" i="13"/>
  <c r="GK62" i="13"/>
  <c r="GJ62" i="13"/>
  <c r="GI62" i="13"/>
  <c r="GH62" i="13"/>
  <c r="GG62" i="13"/>
  <c r="GF62" i="13"/>
  <c r="GE62" i="13"/>
  <c r="GD62" i="13"/>
  <c r="GC62" i="13"/>
  <c r="GB62" i="13"/>
  <c r="GA62" i="13"/>
  <c r="FZ62" i="13"/>
  <c r="FY62" i="13"/>
  <c r="FX62" i="13"/>
  <c r="FW62" i="13"/>
  <c r="FV62" i="13"/>
  <c r="FU62" i="13"/>
  <c r="FT62" i="13"/>
  <c r="FS62" i="13"/>
  <c r="FR62" i="13"/>
  <c r="FQ62" i="13"/>
  <c r="FP62" i="13"/>
  <c r="FO62" i="13"/>
  <c r="FN62" i="13"/>
  <c r="FM62" i="13"/>
  <c r="FL62" i="13"/>
  <c r="FK62" i="13"/>
  <c r="FJ62" i="13"/>
  <c r="FI62" i="13"/>
  <c r="FH62" i="13"/>
  <c r="FG62" i="13"/>
  <c r="FF62" i="13"/>
  <c r="FE62" i="13"/>
  <c r="FD62" i="13"/>
  <c r="FC62" i="13"/>
  <c r="FB62" i="13"/>
  <c r="FA62" i="13"/>
  <c r="EZ62" i="13"/>
  <c r="EY62" i="13"/>
  <c r="EX62" i="13"/>
  <c r="EW62" i="13"/>
  <c r="EV62" i="13"/>
  <c r="EU62" i="13"/>
  <c r="ET62" i="13"/>
  <c r="ES62" i="13"/>
  <c r="ER62" i="13"/>
  <c r="EQ62" i="13"/>
  <c r="EP62" i="13"/>
  <c r="EO62" i="13"/>
  <c r="EN62" i="13"/>
  <c r="EM62" i="13"/>
  <c r="EL62" i="13"/>
  <c r="EK62" i="13"/>
  <c r="EJ62" i="13"/>
  <c r="EI62" i="13"/>
  <c r="EH62" i="13"/>
  <c r="EG62" i="13"/>
  <c r="EF62" i="13"/>
  <c r="EE62" i="13"/>
  <c r="ED62" i="13"/>
  <c r="EC62" i="13"/>
  <c r="EB62" i="13"/>
  <c r="EA62" i="13"/>
  <c r="DZ62" i="13"/>
  <c r="DY62" i="13"/>
  <c r="DX62" i="13"/>
  <c r="DW62" i="13"/>
  <c r="DV62" i="13"/>
  <c r="DU62" i="13"/>
  <c r="DT62" i="13"/>
  <c r="DS62" i="13"/>
  <c r="DR62" i="13"/>
  <c r="DQ62" i="13"/>
  <c r="DP62" i="13"/>
  <c r="DO62" i="13"/>
  <c r="DN62" i="13"/>
  <c r="DM62" i="13"/>
  <c r="DL62" i="13"/>
  <c r="DK62" i="13"/>
  <c r="DJ62" i="13"/>
  <c r="DI62" i="13"/>
  <c r="DH62" i="13"/>
  <c r="DG62" i="13"/>
  <c r="DF62" i="13"/>
  <c r="DE62" i="13"/>
  <c r="DD62" i="13"/>
  <c r="DC62" i="13"/>
  <c r="DB62" i="13"/>
  <c r="DA62" i="13"/>
  <c r="CZ62" i="13"/>
  <c r="CY62" i="13"/>
  <c r="CX62" i="13"/>
  <c r="CW62" i="13"/>
  <c r="CV62" i="13"/>
  <c r="CU62" i="13"/>
  <c r="CT62" i="13"/>
  <c r="CS62" i="13"/>
  <c r="CR62" i="13"/>
  <c r="Q60" i="13"/>
  <c r="DD7" i="13"/>
  <c r="DC7" i="13"/>
  <c r="DB7" i="13"/>
  <c r="DA7" i="13"/>
  <c r="CZ7" i="13"/>
  <c r="CY7" i="13"/>
  <c r="CX7" i="13"/>
  <c r="CW7" i="13"/>
  <c r="CV7" i="13"/>
  <c r="CU7" i="13"/>
  <c r="DD6" i="13"/>
  <c r="DC6" i="13"/>
  <c r="DB6" i="13"/>
  <c r="DA6" i="13"/>
  <c r="CZ6" i="13"/>
  <c r="CY6" i="13"/>
  <c r="CX6" i="13"/>
  <c r="CW6" i="13"/>
  <c r="CV6" i="13"/>
  <c r="CU6" i="13"/>
  <c r="CR26" i="12"/>
  <c r="CS26" i="12"/>
  <c r="CT26" i="12"/>
  <c r="CR64" i="12"/>
  <c r="CS64" i="12"/>
  <c r="CT64" i="12"/>
  <c r="P69" i="12"/>
  <c r="P63" i="12"/>
  <c r="P56" i="12"/>
  <c r="P35" i="12"/>
  <c r="P25" i="12"/>
  <c r="DD7" i="12"/>
  <c r="DC7" i="12"/>
  <c r="DB7" i="12"/>
  <c r="DA7" i="12"/>
  <c r="CZ7" i="12"/>
  <c r="CY7" i="12"/>
  <c r="CX7" i="12"/>
  <c r="CW7" i="12"/>
  <c r="CV7" i="12"/>
  <c r="CU7" i="12"/>
  <c r="DD6" i="12"/>
  <c r="DC6" i="12"/>
  <c r="DB6" i="12"/>
  <c r="DA6" i="12"/>
  <c r="CZ6" i="12"/>
  <c r="CY6" i="12"/>
  <c r="CX6" i="12"/>
  <c r="CW6" i="12"/>
  <c r="CV6" i="12"/>
  <c r="CU6" i="12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P18" i="11"/>
  <c r="P19" i="11"/>
  <c r="DD7" i="11"/>
  <c r="DC7" i="11"/>
  <c r="DB7" i="11"/>
  <c r="DA7" i="11"/>
  <c r="CZ7" i="11"/>
  <c r="CY7" i="11"/>
  <c r="CX7" i="11"/>
  <c r="CW7" i="11"/>
  <c r="CV7" i="11"/>
  <c r="CU7" i="11"/>
  <c r="DD6" i="11"/>
  <c r="DC6" i="11"/>
  <c r="DB6" i="11"/>
  <c r="DA6" i="11"/>
  <c r="CZ6" i="11"/>
  <c r="CY6" i="11"/>
  <c r="CX6" i="11"/>
  <c r="CW6" i="11"/>
  <c r="CV6" i="11"/>
  <c r="CU6" i="11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V43" i="9"/>
  <c r="AW43" i="9"/>
  <c r="AX43" i="9"/>
  <c r="AY43" i="9"/>
  <c r="AZ43" i="9"/>
  <c r="BA43" i="9"/>
  <c r="BB43" i="9"/>
  <c r="BC43" i="9"/>
  <c r="BD43" i="9"/>
  <c r="BE43" i="9"/>
  <c r="BF43" i="9"/>
  <c r="BG43" i="9"/>
  <c r="BH43" i="9"/>
  <c r="BI43" i="9"/>
  <c r="BJ43" i="9"/>
  <c r="BK43" i="9"/>
  <c r="BL43" i="9"/>
  <c r="BM43" i="9"/>
  <c r="BN43" i="9"/>
  <c r="BO43" i="9"/>
  <c r="BP43" i="9"/>
  <c r="BQ43" i="9"/>
  <c r="BR43" i="9"/>
  <c r="BS43" i="9"/>
  <c r="BT43" i="9"/>
  <c r="BU43" i="9"/>
  <c r="BV43" i="9"/>
  <c r="BW43" i="9"/>
  <c r="BX43" i="9"/>
  <c r="BY43" i="9"/>
  <c r="BZ43" i="9"/>
  <c r="CA43" i="9"/>
  <c r="CB43" i="9"/>
  <c r="CC43" i="9"/>
  <c r="CD43" i="9"/>
  <c r="CE43" i="9"/>
  <c r="CF43" i="9"/>
  <c r="CG43" i="9"/>
  <c r="CH43" i="9"/>
  <c r="CI43" i="9"/>
  <c r="CJ43" i="9"/>
  <c r="CK43" i="9"/>
  <c r="CL43" i="9"/>
  <c r="CM43" i="9"/>
  <c r="CN43" i="9"/>
  <c r="CO43" i="9"/>
  <c r="CP43" i="9"/>
  <c r="CQ43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V44" i="9"/>
  <c r="AW44" i="9"/>
  <c r="AX44" i="9"/>
  <c r="AY44" i="9"/>
  <c r="AZ44" i="9"/>
  <c r="BA44" i="9"/>
  <c r="BB44" i="9"/>
  <c r="BC44" i="9"/>
  <c r="BD44" i="9"/>
  <c r="BE44" i="9"/>
  <c r="BF44" i="9"/>
  <c r="BG44" i="9"/>
  <c r="BH44" i="9"/>
  <c r="BI44" i="9"/>
  <c r="BJ44" i="9"/>
  <c r="BK44" i="9"/>
  <c r="BL44" i="9"/>
  <c r="BM44" i="9"/>
  <c r="BN44" i="9"/>
  <c r="BO44" i="9"/>
  <c r="BP44" i="9"/>
  <c r="BQ44" i="9"/>
  <c r="BR44" i="9"/>
  <c r="BS44" i="9"/>
  <c r="BT44" i="9"/>
  <c r="BU44" i="9"/>
  <c r="BV44" i="9"/>
  <c r="BW44" i="9"/>
  <c r="BX44" i="9"/>
  <c r="BY44" i="9"/>
  <c r="BZ44" i="9"/>
  <c r="CA44" i="9"/>
  <c r="CB44" i="9"/>
  <c r="CC44" i="9"/>
  <c r="CD44" i="9"/>
  <c r="CE44" i="9"/>
  <c r="CF44" i="9"/>
  <c r="CG44" i="9"/>
  <c r="CH44" i="9"/>
  <c r="CI44" i="9"/>
  <c r="CJ44" i="9"/>
  <c r="CK44" i="9"/>
  <c r="CL44" i="9"/>
  <c r="CM44" i="9"/>
  <c r="CN44" i="9"/>
  <c r="CO44" i="9"/>
  <c r="CP44" i="9"/>
  <c r="CQ44" i="9"/>
  <c r="P43" i="9"/>
  <c r="P44" i="9"/>
  <c r="DD7" i="10"/>
  <c r="DC7" i="10"/>
  <c r="DB7" i="10"/>
  <c r="DA7" i="10"/>
  <c r="CZ7" i="10"/>
  <c r="CY7" i="10"/>
  <c r="CX7" i="10"/>
  <c r="CW7" i="10"/>
  <c r="CV7" i="10"/>
  <c r="CU7" i="10"/>
  <c r="DD6" i="10"/>
  <c r="DC6" i="10"/>
  <c r="DB6" i="10"/>
  <c r="DA6" i="10"/>
  <c r="CZ6" i="10"/>
  <c r="CY6" i="10"/>
  <c r="CX6" i="10"/>
  <c r="CW6" i="10"/>
  <c r="CV6" i="10"/>
  <c r="CU6" i="10"/>
  <c r="DD7" i="9"/>
  <c r="DC7" i="9"/>
  <c r="DB7" i="9"/>
  <c r="DA7" i="9"/>
  <c r="CZ7" i="9"/>
  <c r="CY7" i="9"/>
  <c r="CX7" i="9"/>
  <c r="CW7" i="9"/>
  <c r="CV7" i="9"/>
  <c r="CU7" i="9"/>
  <c r="DD6" i="9"/>
  <c r="DC6" i="9"/>
  <c r="DB6" i="9"/>
  <c r="DA6" i="9"/>
  <c r="CZ6" i="9"/>
  <c r="CY6" i="9"/>
  <c r="CX6" i="9"/>
  <c r="CW6" i="9"/>
  <c r="CV6" i="9"/>
  <c r="CU6" i="9"/>
  <c r="J36" i="8"/>
  <c r="C55" i="6"/>
  <c r="C56" i="6"/>
  <c r="C57" i="6"/>
  <c r="C58" i="6"/>
  <c r="C54" i="6"/>
  <c r="C45" i="6"/>
  <c r="C46" i="6"/>
  <c r="C47" i="6"/>
  <c r="C48" i="6"/>
  <c r="C49" i="6"/>
  <c r="C50" i="6"/>
  <c r="C44" i="6"/>
  <c r="CR11" i="6"/>
  <c r="CS11" i="6"/>
  <c r="CT11" i="6"/>
  <c r="CR12" i="6"/>
  <c r="CS12" i="6"/>
  <c r="CT12" i="6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24" i="4"/>
  <c r="R119" i="8"/>
  <c r="S119" i="8"/>
  <c r="AA119" i="8"/>
  <c r="BO119" i="8"/>
  <c r="P123" i="8"/>
  <c r="P85" i="8"/>
  <c r="N17" i="8"/>
  <c r="N16" i="8"/>
  <c r="DD7" i="8"/>
  <c r="DC7" i="8"/>
  <c r="DB7" i="8"/>
  <c r="DA7" i="8"/>
  <c r="CZ7" i="8"/>
  <c r="CY7" i="8"/>
  <c r="CX7" i="8"/>
  <c r="CW7" i="8"/>
  <c r="CV7" i="8"/>
  <c r="CU7" i="8"/>
  <c r="DD6" i="8"/>
  <c r="DC6" i="8"/>
  <c r="DB6" i="8"/>
  <c r="DA6" i="8"/>
  <c r="CZ6" i="8"/>
  <c r="CY6" i="8"/>
  <c r="CX6" i="8"/>
  <c r="CW6" i="8"/>
  <c r="CV6" i="8"/>
  <c r="CU6" i="8"/>
  <c r="CR16" i="6"/>
  <c r="CS16" i="6"/>
  <c r="CT16" i="6"/>
  <c r="CR17" i="6"/>
  <c r="CS17" i="6"/>
  <c r="CT17" i="6"/>
  <c r="CR37" i="6"/>
  <c r="CS37" i="6"/>
  <c r="CT37" i="6"/>
  <c r="CR38" i="6"/>
  <c r="CS38" i="6"/>
  <c r="CT38" i="6"/>
  <c r="CR39" i="6"/>
  <c r="CS39" i="6"/>
  <c r="CS70" i="6" s="1"/>
  <c r="CT39" i="6"/>
  <c r="CT70" i="6" s="1"/>
  <c r="CR70" i="6"/>
  <c r="CT18" i="8" l="1"/>
  <c r="CT27" i="8" s="1"/>
  <c r="CT119" i="8"/>
  <c r="CS119" i="8"/>
  <c r="N44" i="9"/>
  <c r="Q73" i="13"/>
  <c r="R60" i="13"/>
  <c r="N18" i="11"/>
  <c r="N19" i="11"/>
  <c r="N43" i="9"/>
  <c r="N46" i="8"/>
  <c r="N119" i="8" l="1"/>
  <c r="R73" i="13"/>
  <c r="S60" i="13"/>
  <c r="T60" i="13" l="1"/>
  <c r="S73" i="13"/>
  <c r="T73" i="13" l="1"/>
  <c r="U60" i="13"/>
  <c r="U73" i="13" l="1"/>
  <c r="V60" i="13"/>
  <c r="V73" i="13" l="1"/>
  <c r="W60" i="13"/>
  <c r="W73" i="13" l="1"/>
  <c r="X60" i="13"/>
  <c r="X73" i="13" l="1"/>
  <c r="Y60" i="13"/>
  <c r="Y73" i="13" l="1"/>
  <c r="Z60" i="13"/>
  <c r="Z73" i="13" l="1"/>
  <c r="AA60" i="13"/>
  <c r="AA73" i="13" l="1"/>
  <c r="AB60" i="13"/>
  <c r="AB73" i="13" l="1"/>
  <c r="AC60" i="13"/>
  <c r="AC73" i="13" l="1"/>
  <c r="AD60" i="13"/>
  <c r="AD73" i="13" l="1"/>
  <c r="AE60" i="13"/>
  <c r="AE73" i="13" l="1"/>
  <c r="AF60" i="13"/>
  <c r="AF73" i="13" l="1"/>
  <c r="AG60" i="13"/>
  <c r="AH60" i="13" l="1"/>
  <c r="AG73" i="13"/>
  <c r="AH73" i="13" l="1"/>
  <c r="AI60" i="13"/>
  <c r="AJ60" i="13" l="1"/>
  <c r="AI73" i="13"/>
  <c r="AJ73" i="13" l="1"/>
  <c r="AK60" i="13"/>
  <c r="AK73" i="13" l="1"/>
  <c r="AL60" i="13"/>
  <c r="AL73" i="13" l="1"/>
  <c r="AM60" i="13"/>
  <c r="AM73" i="13" l="1"/>
  <c r="AN60" i="13"/>
  <c r="AN73" i="13" l="1"/>
  <c r="AO60" i="13"/>
  <c r="AP60" i="13" l="1"/>
  <c r="AO73" i="13"/>
  <c r="AP73" i="13" l="1"/>
  <c r="AQ60" i="13"/>
  <c r="AR60" i="13" l="1"/>
  <c r="AQ73" i="13"/>
  <c r="AR73" i="13" l="1"/>
  <c r="AS60" i="13"/>
  <c r="AS73" i="13" l="1"/>
  <c r="AT60" i="13"/>
  <c r="AT73" i="13" l="1"/>
  <c r="AU60" i="13"/>
  <c r="AU73" i="13" l="1"/>
  <c r="AV60" i="13"/>
  <c r="AV73" i="13" l="1"/>
  <c r="AW60" i="13"/>
  <c r="AW73" i="13" l="1"/>
  <c r="AX60" i="13"/>
  <c r="AX73" i="13" l="1"/>
  <c r="AY60" i="13"/>
  <c r="AZ60" i="13" l="1"/>
  <c r="AY73" i="13"/>
  <c r="AZ73" i="13" l="1"/>
  <c r="BA60" i="13"/>
  <c r="BA73" i="13" l="1"/>
  <c r="BB60" i="13"/>
  <c r="BB73" i="13" l="1"/>
  <c r="BC60" i="13"/>
  <c r="BC73" i="13" l="1"/>
  <c r="BD60" i="13"/>
  <c r="BD73" i="13" l="1"/>
  <c r="BE60" i="13"/>
  <c r="BE73" i="13" l="1"/>
  <c r="BF60" i="13"/>
  <c r="BF73" i="13" l="1"/>
  <c r="BG60" i="13"/>
  <c r="BG73" i="13" l="1"/>
  <c r="BH60" i="13"/>
  <c r="BH73" i="13" l="1"/>
  <c r="BI60" i="13"/>
  <c r="BI73" i="13" l="1"/>
  <c r="BJ60" i="13"/>
  <c r="BJ73" i="13" l="1"/>
  <c r="BK60" i="13"/>
  <c r="BK73" i="13" l="1"/>
  <c r="BL60" i="13"/>
  <c r="BL73" i="13" l="1"/>
  <c r="BM60" i="13"/>
  <c r="BN60" i="13" l="1"/>
  <c r="BM73" i="13"/>
  <c r="BN73" i="13" l="1"/>
  <c r="BO60" i="13"/>
  <c r="BP60" i="13" l="1"/>
  <c r="BO73" i="13"/>
  <c r="BP73" i="13" l="1"/>
  <c r="BQ60" i="13"/>
  <c r="BQ73" i="13" l="1"/>
  <c r="BR60" i="13"/>
  <c r="BR73" i="13" l="1"/>
  <c r="BS60" i="13"/>
  <c r="BS73" i="13" l="1"/>
  <c r="BT60" i="13"/>
  <c r="BT73" i="13" l="1"/>
  <c r="BU60" i="13"/>
  <c r="BV60" i="13" l="1"/>
  <c r="BU73" i="13"/>
  <c r="BV73" i="13" l="1"/>
  <c r="BW60" i="13"/>
  <c r="BX60" i="13" l="1"/>
  <c r="BW73" i="13"/>
  <c r="BX73" i="13" l="1"/>
  <c r="BY60" i="13"/>
  <c r="BY73" i="13" l="1"/>
  <c r="BZ60" i="13"/>
  <c r="BZ73" i="13" l="1"/>
  <c r="CA60" i="13"/>
  <c r="CA73" i="13" l="1"/>
  <c r="CB60" i="13"/>
  <c r="CB73" i="13" l="1"/>
  <c r="CC60" i="13"/>
  <c r="CC73" i="13" l="1"/>
  <c r="CD60" i="13"/>
  <c r="CD73" i="13" l="1"/>
  <c r="CE60" i="13"/>
  <c r="CF60" i="13" l="1"/>
  <c r="CE73" i="13"/>
  <c r="CF73" i="13" l="1"/>
  <c r="CG60" i="13"/>
  <c r="CG73" i="13" l="1"/>
  <c r="CH60" i="13"/>
  <c r="CH73" i="13" l="1"/>
  <c r="CI60" i="13"/>
  <c r="CI73" i="13" l="1"/>
  <c r="CJ60" i="13"/>
  <c r="CJ73" i="13" l="1"/>
  <c r="CK60" i="13"/>
  <c r="CK73" i="13" l="1"/>
  <c r="CL60" i="13"/>
  <c r="CL73" i="13" l="1"/>
  <c r="CM60" i="13"/>
  <c r="CM73" i="13" l="1"/>
  <c r="CN60" i="13"/>
  <c r="CN73" i="13" l="1"/>
  <c r="CO60" i="13"/>
  <c r="CO73" i="13" l="1"/>
  <c r="CP60" i="13"/>
  <c r="CP73" i="13" l="1"/>
  <c r="CQ60" i="13"/>
  <c r="CQ73" i="13" l="1"/>
  <c r="DD7" i="7" l="1"/>
  <c r="DC7" i="7"/>
  <c r="DB7" i="7"/>
  <c r="DA7" i="7"/>
  <c r="CZ7" i="7"/>
  <c r="CY7" i="7"/>
  <c r="CX7" i="7"/>
  <c r="CW7" i="7"/>
  <c r="CV7" i="7"/>
  <c r="CU7" i="7"/>
  <c r="DD6" i="7"/>
  <c r="DC6" i="7"/>
  <c r="DB6" i="7"/>
  <c r="DA6" i="7"/>
  <c r="CZ6" i="7"/>
  <c r="CY6" i="7"/>
  <c r="CX6" i="7"/>
  <c r="CW6" i="7"/>
  <c r="CV6" i="7"/>
  <c r="CU6" i="7"/>
  <c r="P17" i="6"/>
  <c r="C88" i="6"/>
  <c r="C87" i="6"/>
  <c r="ET79" i="6"/>
  <c r="ES79" i="6"/>
  <c r="ER79" i="6"/>
  <c r="EQ79" i="6"/>
  <c r="EP79" i="6"/>
  <c r="EO79" i="6"/>
  <c r="EN79" i="6"/>
  <c r="EM79" i="6"/>
  <c r="EL79" i="6"/>
  <c r="EK79" i="6"/>
  <c r="EJ79" i="6"/>
  <c r="EI79" i="6"/>
  <c r="EH79" i="6"/>
  <c r="EG79" i="6"/>
  <c r="EF79" i="6"/>
  <c r="EE79" i="6"/>
  <c r="ED79" i="6"/>
  <c r="EC79" i="6"/>
  <c r="EB79" i="6"/>
  <c r="EA79" i="6"/>
  <c r="DZ79" i="6"/>
  <c r="DY79" i="6"/>
  <c r="DX79" i="6"/>
  <c r="DW79" i="6"/>
  <c r="DV79" i="6"/>
  <c r="DU79" i="6"/>
  <c r="DT79" i="6"/>
  <c r="DS79" i="6"/>
  <c r="DR79" i="6"/>
  <c r="DQ79" i="6"/>
  <c r="DP79" i="6"/>
  <c r="DO79" i="6"/>
  <c r="DN79" i="6"/>
  <c r="DM79" i="6"/>
  <c r="DL79" i="6"/>
  <c r="DK79" i="6"/>
  <c r="DJ79" i="6"/>
  <c r="DI79" i="6"/>
  <c r="DH79" i="6"/>
  <c r="DG79" i="6"/>
  <c r="DF79" i="6"/>
  <c r="DE79" i="6"/>
  <c r="DD79" i="6"/>
  <c r="DC79" i="6"/>
  <c r="DB79" i="6"/>
  <c r="DA79" i="6"/>
  <c r="CZ79" i="6"/>
  <c r="CY79" i="6"/>
  <c r="CX79" i="6"/>
  <c r="CW79" i="6"/>
  <c r="CV79" i="6"/>
  <c r="CU79" i="6"/>
  <c r="P78" i="6"/>
  <c r="ET70" i="6"/>
  <c r="ES70" i="6"/>
  <c r="ER70" i="6"/>
  <c r="EQ70" i="6"/>
  <c r="EP70" i="6"/>
  <c r="EO70" i="6"/>
  <c r="EN70" i="6"/>
  <c r="EM70" i="6"/>
  <c r="EL70" i="6"/>
  <c r="EK70" i="6"/>
  <c r="EJ70" i="6"/>
  <c r="EI70" i="6"/>
  <c r="EH70" i="6"/>
  <c r="EG70" i="6"/>
  <c r="EF70" i="6"/>
  <c r="EE70" i="6"/>
  <c r="ED70" i="6"/>
  <c r="EC70" i="6"/>
  <c r="EB70" i="6"/>
  <c r="EA70" i="6"/>
  <c r="DZ70" i="6"/>
  <c r="DY70" i="6"/>
  <c r="DX70" i="6"/>
  <c r="DW70" i="6"/>
  <c r="DV70" i="6"/>
  <c r="DU70" i="6"/>
  <c r="DT70" i="6"/>
  <c r="DS70" i="6"/>
  <c r="DR70" i="6"/>
  <c r="DQ70" i="6"/>
  <c r="DP70" i="6"/>
  <c r="DO70" i="6"/>
  <c r="DN70" i="6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P69" i="6"/>
  <c r="DD7" i="6"/>
  <c r="DC7" i="6"/>
  <c r="DB7" i="6"/>
  <c r="DA7" i="6"/>
  <c r="CZ7" i="6"/>
  <c r="CY7" i="6"/>
  <c r="CX7" i="6"/>
  <c r="CW7" i="6"/>
  <c r="CV7" i="6"/>
  <c r="CU7" i="6"/>
  <c r="DD6" i="6"/>
  <c r="DC6" i="6"/>
  <c r="DB6" i="6"/>
  <c r="DA6" i="6"/>
  <c r="CZ6" i="6"/>
  <c r="CY6" i="6"/>
  <c r="CX6" i="6"/>
  <c r="CW6" i="6"/>
  <c r="CV6" i="6"/>
  <c r="CU6" i="6"/>
  <c r="Q14" i="5"/>
  <c r="Q16" i="6" s="1"/>
  <c r="R14" i="5"/>
  <c r="R16" i="6" s="1"/>
  <c r="S14" i="5"/>
  <c r="S16" i="6" s="1"/>
  <c r="T14" i="5"/>
  <c r="T16" i="6" s="1"/>
  <c r="U14" i="5"/>
  <c r="U16" i="6" s="1"/>
  <c r="V14" i="5"/>
  <c r="V16" i="6" s="1"/>
  <c r="W14" i="5"/>
  <c r="W16" i="6" s="1"/>
  <c r="X14" i="5"/>
  <c r="X16" i="6" s="1"/>
  <c r="Y14" i="5"/>
  <c r="Y16" i="6" s="1"/>
  <c r="Z14" i="5"/>
  <c r="Z16" i="6" s="1"/>
  <c r="AA14" i="5"/>
  <c r="AA16" i="6" s="1"/>
  <c r="AB14" i="5"/>
  <c r="AB16" i="6" s="1"/>
  <c r="AC14" i="5"/>
  <c r="AC16" i="6" s="1"/>
  <c r="AD14" i="5"/>
  <c r="AD16" i="6" s="1"/>
  <c r="AE14" i="5"/>
  <c r="AE16" i="6" s="1"/>
  <c r="AF14" i="5"/>
  <c r="AF16" i="6" s="1"/>
  <c r="AG14" i="5"/>
  <c r="AG16" i="6" s="1"/>
  <c r="AH14" i="5"/>
  <c r="AH16" i="6" s="1"/>
  <c r="AI14" i="5"/>
  <c r="AI16" i="6" s="1"/>
  <c r="AJ14" i="5"/>
  <c r="AJ16" i="6" s="1"/>
  <c r="AK14" i="5"/>
  <c r="AK16" i="6" s="1"/>
  <c r="AL14" i="5"/>
  <c r="AL16" i="6" s="1"/>
  <c r="AM14" i="5"/>
  <c r="AM16" i="6" s="1"/>
  <c r="AN14" i="5"/>
  <c r="AN16" i="6" s="1"/>
  <c r="AO14" i="5"/>
  <c r="AO16" i="6" s="1"/>
  <c r="AP14" i="5"/>
  <c r="AP16" i="6" s="1"/>
  <c r="AQ14" i="5"/>
  <c r="AQ16" i="6" s="1"/>
  <c r="AR14" i="5"/>
  <c r="AR16" i="6" s="1"/>
  <c r="AS14" i="5"/>
  <c r="AS16" i="6" s="1"/>
  <c r="AT14" i="5"/>
  <c r="AT16" i="6" s="1"/>
  <c r="AU14" i="5"/>
  <c r="AU16" i="6" s="1"/>
  <c r="AV14" i="5"/>
  <c r="AV16" i="6" s="1"/>
  <c r="AW14" i="5"/>
  <c r="AW16" i="6" s="1"/>
  <c r="AX14" i="5"/>
  <c r="AX16" i="6" s="1"/>
  <c r="AY14" i="5"/>
  <c r="AY16" i="6" s="1"/>
  <c r="AZ14" i="5"/>
  <c r="AZ16" i="6" s="1"/>
  <c r="BA14" i="5"/>
  <c r="BA16" i="6" s="1"/>
  <c r="BB14" i="5"/>
  <c r="BB16" i="6" s="1"/>
  <c r="BC14" i="5"/>
  <c r="BC16" i="6" s="1"/>
  <c r="BD14" i="5"/>
  <c r="BD16" i="6" s="1"/>
  <c r="BE14" i="5"/>
  <c r="BE16" i="6" s="1"/>
  <c r="BF14" i="5"/>
  <c r="BF16" i="6" s="1"/>
  <c r="BG14" i="5"/>
  <c r="BG16" i="6" s="1"/>
  <c r="BH14" i="5"/>
  <c r="BH16" i="6" s="1"/>
  <c r="BI14" i="5"/>
  <c r="BI16" i="6" s="1"/>
  <c r="BJ14" i="5"/>
  <c r="BJ16" i="6" s="1"/>
  <c r="BK14" i="5"/>
  <c r="BK16" i="6" s="1"/>
  <c r="BL14" i="5"/>
  <c r="BL16" i="6" s="1"/>
  <c r="BM14" i="5"/>
  <c r="BM16" i="6" s="1"/>
  <c r="BN14" i="5"/>
  <c r="BN16" i="6" s="1"/>
  <c r="BO14" i="5"/>
  <c r="BO16" i="6" s="1"/>
  <c r="BP14" i="5"/>
  <c r="BP16" i="6" s="1"/>
  <c r="BQ14" i="5"/>
  <c r="BQ16" i="6" s="1"/>
  <c r="BR14" i="5"/>
  <c r="BR16" i="6" s="1"/>
  <c r="BS14" i="5"/>
  <c r="BS16" i="6" s="1"/>
  <c r="BT14" i="5"/>
  <c r="BT16" i="6" s="1"/>
  <c r="BU14" i="5"/>
  <c r="BU16" i="6" s="1"/>
  <c r="BV14" i="5"/>
  <c r="BV16" i="6" s="1"/>
  <c r="BW14" i="5"/>
  <c r="BW16" i="6" s="1"/>
  <c r="BX14" i="5"/>
  <c r="BX16" i="6" s="1"/>
  <c r="BY14" i="5"/>
  <c r="BY16" i="6" s="1"/>
  <c r="BZ14" i="5"/>
  <c r="BZ16" i="6" s="1"/>
  <c r="CA14" i="5"/>
  <c r="CA16" i="6" s="1"/>
  <c r="CB14" i="5"/>
  <c r="CB16" i="6" s="1"/>
  <c r="CC14" i="5"/>
  <c r="CC16" i="6" s="1"/>
  <c r="CD14" i="5"/>
  <c r="CD16" i="6" s="1"/>
  <c r="CE14" i="5"/>
  <c r="CE16" i="6" s="1"/>
  <c r="CF14" i="5"/>
  <c r="CF16" i="6" s="1"/>
  <c r="CG14" i="5"/>
  <c r="CG16" i="6" s="1"/>
  <c r="CH14" i="5"/>
  <c r="CH16" i="6" s="1"/>
  <c r="CI14" i="5"/>
  <c r="CI16" i="6" s="1"/>
  <c r="CJ14" i="5"/>
  <c r="CJ16" i="6" s="1"/>
  <c r="CK14" i="5"/>
  <c r="CK16" i="6" s="1"/>
  <c r="CL14" i="5"/>
  <c r="CL16" i="6" s="1"/>
  <c r="CM14" i="5"/>
  <c r="CM16" i="6" s="1"/>
  <c r="CN14" i="5"/>
  <c r="CN16" i="6" s="1"/>
  <c r="CO14" i="5"/>
  <c r="CO16" i="6" s="1"/>
  <c r="CP14" i="5"/>
  <c r="CP16" i="6" s="1"/>
  <c r="CQ14" i="5"/>
  <c r="CQ16" i="6" s="1"/>
  <c r="P14" i="5"/>
  <c r="P16" i="6" s="1"/>
  <c r="C22" i="5"/>
  <c r="C23" i="5"/>
  <c r="C24" i="5"/>
  <c r="C21" i="5"/>
  <c r="DD7" i="5"/>
  <c r="DC7" i="5"/>
  <c r="DB7" i="5"/>
  <c r="DA7" i="5"/>
  <c r="CZ7" i="5"/>
  <c r="CY7" i="5"/>
  <c r="CX7" i="5"/>
  <c r="CW7" i="5"/>
  <c r="CV7" i="5"/>
  <c r="CU7" i="5"/>
  <c r="DD6" i="5"/>
  <c r="DC6" i="5"/>
  <c r="DB6" i="5"/>
  <c r="DA6" i="5"/>
  <c r="CZ6" i="5"/>
  <c r="CY6" i="5"/>
  <c r="CX6" i="5"/>
  <c r="CW6" i="5"/>
  <c r="CV6" i="5"/>
  <c r="CU6" i="5"/>
  <c r="Q15" i="5" l="1"/>
  <c r="Q17" i="6" s="1"/>
  <c r="R15" i="5"/>
  <c r="R17" i="6" s="1"/>
  <c r="P41" i="4"/>
  <c r="P40" i="4"/>
  <c r="P39" i="4"/>
  <c r="P38" i="4"/>
  <c r="L38" i="4" s="1"/>
  <c r="P37" i="4"/>
  <c r="L37" i="4" s="1"/>
  <c r="P36" i="4"/>
  <c r="L36" i="4" s="1"/>
  <c r="P35" i="4"/>
  <c r="L35" i="4" s="1"/>
  <c r="P34" i="4"/>
  <c r="L34" i="4" s="1"/>
  <c r="P33" i="4"/>
  <c r="L33" i="4" s="1"/>
  <c r="P32" i="4"/>
  <c r="L32" i="4" s="1"/>
  <c r="P31" i="4"/>
  <c r="L31" i="4" s="1"/>
  <c r="P30" i="4"/>
  <c r="L30" i="4" s="1"/>
  <c r="P29" i="4"/>
  <c r="L29" i="4" s="1"/>
  <c r="P28" i="4"/>
  <c r="L28" i="4" s="1"/>
  <c r="P27" i="4"/>
  <c r="L27" i="4" s="1"/>
  <c r="P26" i="4"/>
  <c r="L26" i="4" s="1"/>
  <c r="P25" i="4"/>
  <c r="L25" i="4" s="1"/>
  <c r="P24" i="4"/>
  <c r="L24" i="4" s="1"/>
  <c r="S15" i="5" l="1"/>
  <c r="S17" i="6" s="1"/>
  <c r="L43" i="4"/>
  <c r="L52" i="2"/>
  <c r="K154" i="3"/>
  <c r="J25" i="9" s="1"/>
  <c r="K150" i="3"/>
  <c r="J18" i="12" s="1"/>
  <c r="K144" i="3"/>
  <c r="K143" i="3"/>
  <c r="K142" i="3"/>
  <c r="K139" i="3"/>
  <c r="K132" i="3"/>
  <c r="K131" i="3"/>
  <c r="J135" i="8" s="1"/>
  <c r="K128" i="3"/>
  <c r="J117" i="8" s="1"/>
  <c r="K123" i="3"/>
  <c r="K122" i="3"/>
  <c r="J95" i="8" s="1"/>
  <c r="K118" i="3"/>
  <c r="K117" i="3"/>
  <c r="K116" i="3"/>
  <c r="K115" i="3"/>
  <c r="K114" i="3"/>
  <c r="K113" i="3"/>
  <c r="K112" i="3"/>
  <c r="K111" i="3"/>
  <c r="K110" i="3"/>
  <c r="K109" i="3"/>
  <c r="B109" i="3"/>
  <c r="B110" i="3" s="1"/>
  <c r="B111" i="3" s="1"/>
  <c r="B112" i="3" s="1"/>
  <c r="K108" i="3"/>
  <c r="K107" i="3"/>
  <c r="K102" i="3"/>
  <c r="K101" i="3"/>
  <c r="K89" i="3"/>
  <c r="Q86" i="3"/>
  <c r="Q87" i="3" s="1"/>
  <c r="P86" i="3"/>
  <c r="P87" i="3" s="1"/>
  <c r="O86" i="3"/>
  <c r="O87" i="3" s="1"/>
  <c r="N86" i="3"/>
  <c r="N87" i="3" s="1"/>
  <c r="M86" i="3"/>
  <c r="M87" i="3" s="1"/>
  <c r="K85" i="3"/>
  <c r="K84" i="3"/>
  <c r="K81" i="3"/>
  <c r="J51" i="13" s="1"/>
  <c r="J71" i="13" s="1"/>
  <c r="K77" i="3"/>
  <c r="J56" i="8" s="1"/>
  <c r="J3" i="8" s="1"/>
  <c r="Q73" i="3"/>
  <c r="P73" i="3"/>
  <c r="O73" i="3"/>
  <c r="N73" i="3"/>
  <c r="M73" i="3"/>
  <c r="K73" i="3" s="1"/>
  <c r="K72" i="3"/>
  <c r="J55" i="8" s="1"/>
  <c r="J2" i="8" s="1"/>
  <c r="K64" i="3"/>
  <c r="K63" i="3"/>
  <c r="K62" i="3"/>
  <c r="K61" i="3"/>
  <c r="K60" i="3"/>
  <c r="K59" i="3"/>
  <c r="K58" i="3"/>
  <c r="K57" i="3"/>
  <c r="K56" i="3"/>
  <c r="K55" i="3"/>
  <c r="B55" i="3"/>
  <c r="B56" i="3" s="1"/>
  <c r="B57" i="3" s="1"/>
  <c r="B58" i="3" s="1"/>
  <c r="B59" i="3" s="1"/>
  <c r="K54" i="3"/>
  <c r="K53" i="3"/>
  <c r="J80" i="6"/>
  <c r="J71" i="6"/>
  <c r="J58" i="6"/>
  <c r="J57" i="6"/>
  <c r="J56" i="6"/>
  <c r="J55" i="6"/>
  <c r="J54" i="6"/>
  <c r="J50" i="6"/>
  <c r="J49" i="6"/>
  <c r="J48" i="6"/>
  <c r="J47" i="6"/>
  <c r="J46" i="6"/>
  <c r="J45" i="6"/>
  <c r="K48" i="3"/>
  <c r="J44" i="6" s="1"/>
  <c r="K40" i="3"/>
  <c r="J21" i="7" s="1"/>
  <c r="K39" i="3"/>
  <c r="J24" i="6" s="1"/>
  <c r="J36" i="5"/>
  <c r="J28" i="6"/>
  <c r="J34" i="5"/>
  <c r="J27" i="5"/>
  <c r="Q32" i="3"/>
  <c r="P32" i="3"/>
  <c r="O32" i="3"/>
  <c r="N32" i="3"/>
  <c r="M32" i="3"/>
  <c r="K32" i="3" s="1"/>
  <c r="K31" i="3"/>
  <c r="J24" i="5" s="1"/>
  <c r="K30" i="3"/>
  <c r="J23" i="5" s="1"/>
  <c r="K29" i="3"/>
  <c r="J22" i="5" s="1"/>
  <c r="K28" i="3"/>
  <c r="J21" i="5" s="1"/>
  <c r="K21" i="3"/>
  <c r="I44" i="17" s="1"/>
  <c r="Q16" i="3"/>
  <c r="Q20" i="3" s="1"/>
  <c r="P16" i="3"/>
  <c r="P20" i="3" s="1"/>
  <c r="O16" i="3"/>
  <c r="O20" i="3" s="1"/>
  <c r="O140" i="3" s="1"/>
  <c r="N16" i="3"/>
  <c r="N20" i="3" s="1"/>
  <c r="M16" i="3"/>
  <c r="K16" i="3" s="1"/>
  <c r="L25" i="2" s="1"/>
  <c r="K15" i="3"/>
  <c r="K14" i="3"/>
  <c r="L23" i="2" s="1"/>
  <c r="R5" i="2" s="1"/>
  <c r="P5" i="18" s="1"/>
  <c r="P57" i="18" s="1"/>
  <c r="K3" i="3"/>
  <c r="N2" i="3"/>
  <c r="O2" i="3" s="1"/>
  <c r="P2" i="3" s="1"/>
  <c r="Q2" i="3" s="1"/>
  <c r="R14" i="2"/>
  <c r="D125" i="1"/>
  <c r="D116" i="1"/>
  <c r="D139" i="1"/>
  <c r="D138" i="1"/>
  <c r="D137" i="1"/>
  <c r="D136" i="1"/>
  <c r="D135" i="1"/>
  <c r="D134" i="1"/>
  <c r="D133" i="1"/>
  <c r="D115" i="1"/>
  <c r="D131" i="1"/>
  <c r="D130" i="1"/>
  <c r="D112" i="1"/>
  <c r="D128" i="1"/>
  <c r="D127" i="1"/>
  <c r="D126" i="1"/>
  <c r="D108" i="1"/>
  <c r="N60" i="1"/>
  <c r="J33" i="7" l="1"/>
  <c r="I13" i="17"/>
  <c r="P140" i="3"/>
  <c r="P95" i="3"/>
  <c r="P124" i="3" s="1"/>
  <c r="P22" i="3"/>
  <c r="K86" i="3"/>
  <c r="CR24" i="6"/>
  <c r="CS24" i="6"/>
  <c r="CT24" i="6"/>
  <c r="CR50" i="6"/>
  <c r="CT50" i="6"/>
  <c r="CS50" i="6"/>
  <c r="CS44" i="6"/>
  <c r="CR44" i="6"/>
  <c r="CT44" i="6"/>
  <c r="J51" i="6"/>
  <c r="CP21" i="5"/>
  <c r="P21" i="5"/>
  <c r="AW21" i="5"/>
  <c r="AH21" i="5"/>
  <c r="S21" i="5"/>
  <c r="CE21" i="5"/>
  <c r="BP21" i="5"/>
  <c r="BA21" i="5"/>
  <c r="AM21" i="5"/>
  <c r="AL21" i="5"/>
  <c r="CH21" i="5"/>
  <c r="CB21" i="5"/>
  <c r="BE21" i="5"/>
  <c r="AP21" i="5"/>
  <c r="AA21" i="5"/>
  <c r="CM21" i="5"/>
  <c r="BX21" i="5"/>
  <c r="BI21" i="5"/>
  <c r="AU21" i="5"/>
  <c r="BR21" i="5"/>
  <c r="X21" i="5"/>
  <c r="AD21" i="5"/>
  <c r="BM21" i="5"/>
  <c r="AX21" i="5"/>
  <c r="AI21" i="5"/>
  <c r="T21" i="5"/>
  <c r="CF21" i="5"/>
  <c r="BQ21" i="5"/>
  <c r="BC21" i="5"/>
  <c r="AN21" i="5"/>
  <c r="BD21" i="5"/>
  <c r="BU21" i="5"/>
  <c r="BF21" i="5"/>
  <c r="AQ21" i="5"/>
  <c r="AB21" i="5"/>
  <c r="CN21" i="5"/>
  <c r="BY21" i="5"/>
  <c r="BK21" i="5"/>
  <c r="BT21" i="5"/>
  <c r="CJ21" i="5"/>
  <c r="Q21" i="5"/>
  <c r="CC21" i="5"/>
  <c r="BN21" i="5"/>
  <c r="AY21" i="5"/>
  <c r="AJ21" i="5"/>
  <c r="U21" i="5"/>
  <c r="CG21" i="5"/>
  <c r="BS21" i="5"/>
  <c r="AT21" i="5"/>
  <c r="AF21" i="5"/>
  <c r="Y21" i="5"/>
  <c r="CK21" i="5"/>
  <c r="BV21" i="5"/>
  <c r="BG21" i="5"/>
  <c r="AR21" i="5"/>
  <c r="AC21" i="5"/>
  <c r="CO21" i="5"/>
  <c r="CA21" i="5"/>
  <c r="BZ21" i="5"/>
  <c r="AV21" i="5"/>
  <c r="AG21" i="5"/>
  <c r="R21" i="5"/>
  <c r="CD21" i="5"/>
  <c r="BO21" i="5"/>
  <c r="AZ21" i="5"/>
  <c r="AK21" i="5"/>
  <c r="W21" i="5"/>
  <c r="CI21" i="5"/>
  <c r="V21" i="5"/>
  <c r="BJ21" i="5"/>
  <c r="CQ21" i="5"/>
  <c r="AO21" i="5"/>
  <c r="BB21" i="5"/>
  <c r="AE21" i="5"/>
  <c r="Z21" i="5"/>
  <c r="BL21" i="5"/>
  <c r="CL21" i="5"/>
  <c r="BW21" i="5"/>
  <c r="AS21" i="5"/>
  <c r="BH21" i="5"/>
  <c r="T23" i="5"/>
  <c r="CL23" i="5"/>
  <c r="AA23" i="5"/>
  <c r="BB23" i="5"/>
  <c r="CA23" i="5"/>
  <c r="BL23" i="5"/>
  <c r="AW23" i="5"/>
  <c r="AH23" i="5"/>
  <c r="BQ23" i="5"/>
  <c r="BV23" i="5"/>
  <c r="BP23" i="5"/>
  <c r="AE23" i="5"/>
  <c r="CQ23" i="5"/>
  <c r="CB23" i="5"/>
  <c r="BM23" i="5"/>
  <c r="U23" i="5"/>
  <c r="CG23" i="5"/>
  <c r="BN23" i="5"/>
  <c r="BF23" i="5"/>
  <c r="V23" i="5"/>
  <c r="AU23" i="5"/>
  <c r="AF23" i="5"/>
  <c r="Q23" i="5"/>
  <c r="CC23" i="5"/>
  <c r="AK23" i="5"/>
  <c r="CE23" i="5"/>
  <c r="CH23" i="5"/>
  <c r="AD23" i="5"/>
  <c r="BC23" i="5"/>
  <c r="AN23" i="5"/>
  <c r="Y23" i="5"/>
  <c r="CK23" i="5"/>
  <c r="AS23" i="5"/>
  <c r="BO23" i="5"/>
  <c r="BR23" i="5"/>
  <c r="AL23" i="5"/>
  <c r="BK23" i="5"/>
  <c r="AV23" i="5"/>
  <c r="AG23" i="5"/>
  <c r="R23" i="5"/>
  <c r="BA23" i="5"/>
  <c r="AX23" i="5"/>
  <c r="X23" i="5"/>
  <c r="AP23" i="5"/>
  <c r="BD23" i="5"/>
  <c r="AC23" i="5"/>
  <c r="AB23" i="5"/>
  <c r="BT23" i="5"/>
  <c r="BI23" i="5"/>
  <c r="CD23" i="5"/>
  <c r="AZ23" i="5"/>
  <c r="CF23" i="5"/>
  <c r="AT23" i="5"/>
  <c r="CJ23" i="5"/>
  <c r="BY23" i="5"/>
  <c r="S23" i="5"/>
  <c r="AR23" i="5"/>
  <c r="CP23" i="5"/>
  <c r="AY23" i="5"/>
  <c r="W23" i="5"/>
  <c r="AO23" i="5"/>
  <c r="CO23" i="5"/>
  <c r="AM23" i="5"/>
  <c r="BE23" i="5"/>
  <c r="BS23" i="5"/>
  <c r="BU23" i="5"/>
  <c r="CN23" i="5"/>
  <c r="BX23" i="5"/>
  <c r="BH23" i="5"/>
  <c r="CM23" i="5"/>
  <c r="BW23" i="5"/>
  <c r="AI23" i="5"/>
  <c r="BZ23" i="5"/>
  <c r="AJ23" i="5"/>
  <c r="BG23" i="5"/>
  <c r="BJ23" i="5"/>
  <c r="CI23" i="5"/>
  <c r="AQ23" i="5"/>
  <c r="Z23" i="5"/>
  <c r="P23" i="5"/>
  <c r="CR45" i="6"/>
  <c r="CT45" i="6"/>
  <c r="CS45" i="6"/>
  <c r="AP22" i="5"/>
  <c r="AA22" i="5"/>
  <c r="CM22" i="5"/>
  <c r="BX22" i="5"/>
  <c r="BI22" i="5"/>
  <c r="AT22" i="5"/>
  <c r="AF22" i="5"/>
  <c r="W22" i="5"/>
  <c r="CQ22" i="5"/>
  <c r="CA22" i="5"/>
  <c r="BF22" i="5"/>
  <c r="AQ22" i="5"/>
  <c r="AB22" i="5"/>
  <c r="CN22" i="5"/>
  <c r="BY22" i="5"/>
  <c r="BJ22" i="5"/>
  <c r="AV22" i="5"/>
  <c r="CI22" i="5"/>
  <c r="BS22" i="5"/>
  <c r="AG22" i="5"/>
  <c r="BV22" i="5"/>
  <c r="BG22" i="5"/>
  <c r="AR22" i="5"/>
  <c r="AC22" i="5"/>
  <c r="CO22" i="5"/>
  <c r="BZ22" i="5"/>
  <c r="BL22" i="5"/>
  <c r="BE22" i="5"/>
  <c r="BU22" i="5"/>
  <c r="R22" i="5"/>
  <c r="CD22" i="5"/>
  <c r="BO22" i="5"/>
  <c r="AZ22" i="5"/>
  <c r="AK22" i="5"/>
  <c r="V22" i="5"/>
  <c r="CH22" i="5"/>
  <c r="BT22" i="5"/>
  <c r="CK22" i="5"/>
  <c r="AU22" i="5"/>
  <c r="Z22" i="5"/>
  <c r="CL22" i="5"/>
  <c r="BW22" i="5"/>
  <c r="BH22" i="5"/>
  <c r="AS22" i="5"/>
  <c r="AD22" i="5"/>
  <c r="CP22" i="5"/>
  <c r="CB22" i="5"/>
  <c r="AE22" i="5"/>
  <c r="AW22" i="5"/>
  <c r="T22" i="5"/>
  <c r="AL22" i="5"/>
  <c r="Y22" i="5"/>
  <c r="AH22" i="5"/>
  <c r="AJ22" i="5"/>
  <c r="BB22" i="5"/>
  <c r="BK22" i="5"/>
  <c r="AX22" i="5"/>
  <c r="BP22" i="5"/>
  <c r="BR22" i="5"/>
  <c r="AM22" i="5"/>
  <c r="BN22" i="5"/>
  <c r="CF22" i="5"/>
  <c r="X22" i="5"/>
  <c r="AO22" i="5"/>
  <c r="P22" i="5"/>
  <c r="S22" i="5"/>
  <c r="U22" i="5"/>
  <c r="AN22" i="5"/>
  <c r="BM22" i="5"/>
  <c r="AI22" i="5"/>
  <c r="BA22" i="5"/>
  <c r="BD22" i="5"/>
  <c r="CC22" i="5"/>
  <c r="AY22" i="5"/>
  <c r="BQ22" i="5"/>
  <c r="CJ22" i="5"/>
  <c r="CE22" i="5"/>
  <c r="CG22" i="5"/>
  <c r="BC22" i="5"/>
  <c r="Q22" i="5"/>
  <c r="T24" i="5"/>
  <c r="BP24" i="5"/>
  <c r="U24" i="5"/>
  <c r="BN24" i="5"/>
  <c r="X24" i="5"/>
  <c r="R24" i="5"/>
  <c r="CO24" i="5"/>
  <c r="AY24" i="5"/>
  <c r="CE24" i="5"/>
  <c r="AW24" i="5"/>
  <c r="AN24" i="5"/>
  <c r="AH24" i="5"/>
  <c r="AA24" i="5"/>
  <c r="CC24" i="5"/>
  <c r="W24" i="5"/>
  <c r="BO24" i="5"/>
  <c r="Q24" i="5"/>
  <c r="AD24" i="5"/>
  <c r="BM24" i="5"/>
  <c r="CN24" i="5"/>
  <c r="BG24" i="5"/>
  <c r="CL24" i="5"/>
  <c r="Y24" i="5"/>
  <c r="AL24" i="5"/>
  <c r="CF24" i="5"/>
  <c r="AX24" i="5"/>
  <c r="CD24" i="5"/>
  <c r="AG24" i="5"/>
  <c r="AT24" i="5"/>
  <c r="BX24" i="5"/>
  <c r="CM24" i="5"/>
  <c r="BV24" i="5"/>
  <c r="BQ24" i="5"/>
  <c r="AI24" i="5"/>
  <c r="BH24" i="5"/>
  <c r="BW24" i="5"/>
  <c r="BF24" i="5"/>
  <c r="S24" i="5"/>
  <c r="AM24" i="5"/>
  <c r="AK24" i="5"/>
  <c r="BY24" i="5"/>
  <c r="AJ24" i="5"/>
  <c r="AF24" i="5"/>
  <c r="AE24" i="5"/>
  <c r="AV24" i="5"/>
  <c r="AZ24" i="5"/>
  <c r="AO24" i="5"/>
  <c r="CK24" i="5"/>
  <c r="Z24" i="5"/>
  <c r="BU24" i="5"/>
  <c r="CG24" i="5"/>
  <c r="V24" i="5"/>
  <c r="BE24" i="5"/>
  <c r="AP24" i="5"/>
  <c r="BL24" i="5"/>
  <c r="CQ24" i="5"/>
  <c r="AQ24" i="5"/>
  <c r="AB24" i="5"/>
  <c r="BD24" i="5"/>
  <c r="CI24" i="5"/>
  <c r="AU24" i="5"/>
  <c r="AS24" i="5"/>
  <c r="CA24" i="5"/>
  <c r="CP24" i="5"/>
  <c r="BI24" i="5"/>
  <c r="BS24" i="5"/>
  <c r="CH24" i="5"/>
  <c r="P24" i="5"/>
  <c r="BK24" i="5"/>
  <c r="BZ24" i="5"/>
  <c r="BR24" i="5"/>
  <c r="BB24" i="5"/>
  <c r="CJ24" i="5"/>
  <c r="BC24" i="5"/>
  <c r="CB24" i="5"/>
  <c r="AR24" i="5"/>
  <c r="BJ24" i="5"/>
  <c r="BT24" i="5"/>
  <c r="BA24" i="5"/>
  <c r="AC24" i="5"/>
  <c r="CS46" i="6"/>
  <c r="CT46" i="6"/>
  <c r="CR46" i="6"/>
  <c r="CR48" i="6"/>
  <c r="CS48" i="6"/>
  <c r="CT48" i="6"/>
  <c r="CR49" i="6"/>
  <c r="CT49" i="6"/>
  <c r="CS49" i="6"/>
  <c r="J59" i="6"/>
  <c r="CR47" i="6"/>
  <c r="CS47" i="6"/>
  <c r="CT47" i="6"/>
  <c r="C107" i="3"/>
  <c r="C111" i="3" s="1"/>
  <c r="C14" i="16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K74" i="13"/>
  <c r="CK75" i="13" s="1"/>
  <c r="CJ74" i="13"/>
  <c r="CJ75" i="13" s="1"/>
  <c r="X74" i="13"/>
  <c r="X75" i="13" s="1"/>
  <c r="AU74" i="13"/>
  <c r="AU75" i="13" s="1"/>
  <c r="BJ74" i="13"/>
  <c r="BJ75" i="13" s="1"/>
  <c r="BY74" i="13"/>
  <c r="BY75" i="13" s="1"/>
  <c r="CN74" i="13"/>
  <c r="CN75" i="13" s="1"/>
  <c r="AB74" i="13"/>
  <c r="AB75" i="13" s="1"/>
  <c r="AP74" i="13"/>
  <c r="AP75" i="13" s="1"/>
  <c r="BO74" i="13"/>
  <c r="BO75" i="13" s="1"/>
  <c r="AY74" i="13"/>
  <c r="AY75" i="13" s="1"/>
  <c r="W74" i="13"/>
  <c r="W75" i="13" s="1"/>
  <c r="BA74" i="13"/>
  <c r="BA75" i="13" s="1"/>
  <c r="CD74" i="13"/>
  <c r="CD75" i="13" s="1"/>
  <c r="BV74" i="13"/>
  <c r="BV75" i="13" s="1"/>
  <c r="AC74" i="13"/>
  <c r="AC75" i="13" s="1"/>
  <c r="U74" i="13"/>
  <c r="U75" i="13" s="1"/>
  <c r="CB74" i="13"/>
  <c r="CB75" i="13" s="1"/>
  <c r="P74" i="13"/>
  <c r="P75" i="13" s="1"/>
  <c r="AM74" i="13"/>
  <c r="AM75" i="13" s="1"/>
  <c r="BB74" i="13"/>
  <c r="BB75" i="13" s="1"/>
  <c r="BQ74" i="13"/>
  <c r="BQ75" i="13" s="1"/>
  <c r="CF74" i="13"/>
  <c r="CF75" i="13" s="1"/>
  <c r="T74" i="13"/>
  <c r="T75" i="13" s="1"/>
  <c r="AH74" i="13"/>
  <c r="AH75" i="13" s="1"/>
  <c r="AI74" i="13"/>
  <c r="AI75" i="13" s="1"/>
  <c r="S74" i="13"/>
  <c r="S75" i="13" s="1"/>
  <c r="BG74" i="13"/>
  <c r="BG75" i="13" s="1"/>
  <c r="BM74" i="13"/>
  <c r="BM75" i="13" s="1"/>
  <c r="AR74" i="13"/>
  <c r="AR75" i="13" s="1"/>
  <c r="CG74" i="13"/>
  <c r="CG75" i="13" s="1"/>
  <c r="CE74" i="13"/>
  <c r="CE75" i="13" s="1"/>
  <c r="BT74" i="13"/>
  <c r="BT75" i="13" s="1"/>
  <c r="CQ74" i="13"/>
  <c r="CQ75" i="13" s="1"/>
  <c r="AE74" i="13"/>
  <c r="AE75" i="13" s="1"/>
  <c r="AT74" i="13"/>
  <c r="AT75" i="13" s="1"/>
  <c r="BI74" i="13"/>
  <c r="BI75" i="13" s="1"/>
  <c r="BX74" i="13"/>
  <c r="BX75" i="13" s="1"/>
  <c r="CL74" i="13"/>
  <c r="CL75" i="13" s="1"/>
  <c r="Z74" i="13"/>
  <c r="Z75" i="13" s="1"/>
  <c r="CM74" i="13"/>
  <c r="CM75" i="13" s="1"/>
  <c r="Q74" i="13"/>
  <c r="Q75" i="13" s="1"/>
  <c r="AL74" i="13"/>
  <c r="AL75" i="13" s="1"/>
  <c r="BP74" i="13"/>
  <c r="BP75" i="13" s="1"/>
  <c r="R74" i="13"/>
  <c r="R75" i="13" s="1"/>
  <c r="AA74" i="13"/>
  <c r="AA75" i="13" s="1"/>
  <c r="AZ74" i="13"/>
  <c r="AZ75" i="13" s="1"/>
  <c r="BN74" i="13"/>
  <c r="BN75" i="13" s="1"/>
  <c r="BU74" i="13"/>
  <c r="BU75" i="13" s="1"/>
  <c r="CC74" i="13"/>
  <c r="CC75" i="13" s="1"/>
  <c r="AX74" i="13"/>
  <c r="AX75" i="13" s="1"/>
  <c r="BL74" i="13"/>
  <c r="BL75" i="13" s="1"/>
  <c r="CI74" i="13"/>
  <c r="CI75" i="13" s="1"/>
  <c r="CO74" i="13"/>
  <c r="CO75" i="13" s="1"/>
  <c r="AJ74" i="13"/>
  <c r="AJ75" i="13" s="1"/>
  <c r="BD74" i="13"/>
  <c r="BD75" i="13" s="1"/>
  <c r="CA74" i="13"/>
  <c r="CA75" i="13" s="1"/>
  <c r="CP74" i="13"/>
  <c r="CP75" i="13" s="1"/>
  <c r="AD74" i="13"/>
  <c r="AD75" i="13" s="1"/>
  <c r="AS74" i="13"/>
  <c r="AS75" i="13" s="1"/>
  <c r="BH74" i="13"/>
  <c r="BH75" i="13" s="1"/>
  <c r="BW74" i="13"/>
  <c r="BW75" i="13" s="1"/>
  <c r="Y74" i="13"/>
  <c r="Y75" i="13" s="1"/>
  <c r="AG74" i="13"/>
  <c r="AG75" i="13" s="1"/>
  <c r="AF74" i="13"/>
  <c r="AF75" i="13" s="1"/>
  <c r="AV74" i="13"/>
  <c r="AV75" i="13" s="1"/>
  <c r="BS74" i="13"/>
  <c r="BS75" i="13" s="1"/>
  <c r="CH74" i="13"/>
  <c r="CH75" i="13" s="1"/>
  <c r="V74" i="13"/>
  <c r="V75" i="13" s="1"/>
  <c r="AK74" i="13"/>
  <c r="AK75" i="13" s="1"/>
  <c r="AQ74" i="13"/>
  <c r="AQ75" i="13" s="1"/>
  <c r="AW74" i="13"/>
  <c r="AW75" i="13" s="1"/>
  <c r="BC74" i="13"/>
  <c r="BC75" i="13" s="1"/>
  <c r="BE74" i="13"/>
  <c r="BE75" i="13" s="1"/>
  <c r="AN74" i="13"/>
  <c r="AN75" i="13" s="1"/>
  <c r="BK74" i="13"/>
  <c r="BK75" i="13" s="1"/>
  <c r="BZ74" i="13"/>
  <c r="BZ75" i="13" s="1"/>
  <c r="BF74" i="13"/>
  <c r="BF75" i="13" s="1"/>
  <c r="BR74" i="13"/>
  <c r="BR75" i="13" s="1"/>
  <c r="AO74" i="13"/>
  <c r="AO75" i="13" s="1"/>
  <c r="R5" i="4"/>
  <c r="P5" i="15"/>
  <c r="P5" i="14"/>
  <c r="P5" i="13"/>
  <c r="P5" i="12"/>
  <c r="P5" i="11"/>
  <c r="P5" i="10"/>
  <c r="P5" i="9"/>
  <c r="P5" i="8"/>
  <c r="P5" i="7"/>
  <c r="P5" i="5"/>
  <c r="P5" i="6"/>
  <c r="T15" i="5"/>
  <c r="T17" i="6" s="1"/>
  <c r="P5" i="1"/>
  <c r="P18" i="1" s="1"/>
  <c r="P58" i="1" s="1"/>
  <c r="N140" i="3"/>
  <c r="N95" i="3"/>
  <c r="N22" i="3"/>
  <c r="Q22" i="3"/>
  <c r="Q140" i="3"/>
  <c r="Q95" i="3"/>
  <c r="B60" i="3"/>
  <c r="M20" i="3"/>
  <c r="O22" i="3"/>
  <c r="O95" i="3"/>
  <c r="P97" i="3"/>
  <c r="P129" i="3"/>
  <c r="B113" i="3"/>
  <c r="R52" i="2"/>
  <c r="P14" i="1" s="1"/>
  <c r="P24" i="1" s="1"/>
  <c r="P35" i="1" s="1"/>
  <c r="R18" i="2"/>
  <c r="R6" i="2" s="1"/>
  <c r="P6" i="18" s="1"/>
  <c r="R25" i="2"/>
  <c r="R23" i="2"/>
  <c r="S5" i="2"/>
  <c r="Q5" i="18" s="1"/>
  <c r="Q57" i="18" s="1"/>
  <c r="S14" i="2"/>
  <c r="T14" i="2" s="1"/>
  <c r="U14" i="2" s="1"/>
  <c r="V14" i="2" s="1"/>
  <c r="W14" i="2" s="1"/>
  <c r="X14" i="2" s="1"/>
  <c r="Y14" i="2" s="1"/>
  <c r="Z14" i="2" s="1"/>
  <c r="AA14" i="2" s="1"/>
  <c r="AB14" i="2" s="1"/>
  <c r="AC14" i="2" s="1"/>
  <c r="AD14" i="2" s="1"/>
  <c r="AE14" i="2" s="1"/>
  <c r="AF14" i="2" s="1"/>
  <c r="AG14" i="2" s="1"/>
  <c r="AH14" i="2" s="1"/>
  <c r="AI14" i="2" s="1"/>
  <c r="AJ14" i="2" s="1"/>
  <c r="AK14" i="2" s="1"/>
  <c r="AL14" i="2" s="1"/>
  <c r="AM14" i="2" s="1"/>
  <c r="AN14" i="2" s="1"/>
  <c r="AO14" i="2" s="1"/>
  <c r="AP14" i="2" s="1"/>
  <c r="AQ14" i="2" s="1"/>
  <c r="AR14" i="2" s="1"/>
  <c r="AS14" i="2" s="1"/>
  <c r="AT14" i="2" s="1"/>
  <c r="AU14" i="2" s="1"/>
  <c r="AV14" i="2" s="1"/>
  <c r="AW14" i="2" s="1"/>
  <c r="AX14" i="2" s="1"/>
  <c r="AY14" i="2" s="1"/>
  <c r="AZ14" i="2" s="1"/>
  <c r="BA14" i="2" s="1"/>
  <c r="BB14" i="2" s="1"/>
  <c r="BC14" i="2" s="1"/>
  <c r="BD14" i="2" s="1"/>
  <c r="BE14" i="2" s="1"/>
  <c r="BF14" i="2" s="1"/>
  <c r="BG14" i="2" s="1"/>
  <c r="BH14" i="2" s="1"/>
  <c r="BI14" i="2" s="1"/>
  <c r="BJ14" i="2" s="1"/>
  <c r="BK14" i="2" s="1"/>
  <c r="BL14" i="2" s="1"/>
  <c r="BM14" i="2" s="1"/>
  <c r="BN14" i="2" s="1"/>
  <c r="BO14" i="2" s="1"/>
  <c r="BP14" i="2" s="1"/>
  <c r="BQ14" i="2" s="1"/>
  <c r="BR14" i="2" s="1"/>
  <c r="BS14" i="2" s="1"/>
  <c r="BT14" i="2" s="1"/>
  <c r="BU14" i="2" s="1"/>
  <c r="BV14" i="2" s="1"/>
  <c r="BW14" i="2" s="1"/>
  <c r="BX14" i="2" s="1"/>
  <c r="BY14" i="2" s="1"/>
  <c r="BZ14" i="2" s="1"/>
  <c r="CA14" i="2" s="1"/>
  <c r="CB14" i="2" s="1"/>
  <c r="CC14" i="2" s="1"/>
  <c r="CD14" i="2" s="1"/>
  <c r="CE14" i="2" s="1"/>
  <c r="CF14" i="2" s="1"/>
  <c r="CG14" i="2" s="1"/>
  <c r="CH14" i="2" s="1"/>
  <c r="CI14" i="2" s="1"/>
  <c r="CJ14" i="2" s="1"/>
  <c r="CK14" i="2" s="1"/>
  <c r="CL14" i="2" s="1"/>
  <c r="CM14" i="2" s="1"/>
  <c r="CN14" i="2" s="1"/>
  <c r="CO14" i="2" s="1"/>
  <c r="CP14" i="2" s="1"/>
  <c r="CQ14" i="2" s="1"/>
  <c r="CR14" i="2" s="1"/>
  <c r="CS14" i="2" s="1"/>
  <c r="CT14" i="2" s="1"/>
  <c r="CU14" i="2" s="1"/>
  <c r="CV14" i="2" s="1"/>
  <c r="CW14" i="2" s="1"/>
  <c r="CX14" i="2" s="1"/>
  <c r="CY14" i="2" s="1"/>
  <c r="CZ14" i="2" s="1"/>
  <c r="DA14" i="2" s="1"/>
  <c r="DB14" i="2" s="1"/>
  <c r="DC14" i="2" s="1"/>
  <c r="DD14" i="2" s="1"/>
  <c r="DE14" i="2" s="1"/>
  <c r="DF14" i="2" s="1"/>
  <c r="D120" i="1"/>
  <c r="D129" i="1"/>
  <c r="D132" i="1"/>
  <c r="D109" i="1"/>
  <c r="D117" i="1"/>
  <c r="D110" i="1"/>
  <c r="D118" i="1"/>
  <c r="D111" i="1"/>
  <c r="D119" i="1"/>
  <c r="D113" i="1"/>
  <c r="D121" i="1"/>
  <c r="D114" i="1"/>
  <c r="D122" i="1"/>
  <c r="C108" i="3" l="1"/>
  <c r="C109" i="3"/>
  <c r="C110" i="3"/>
  <c r="BQ25" i="5"/>
  <c r="BQ27" i="5" s="1"/>
  <c r="BQ29" i="5" s="1"/>
  <c r="C112" i="3"/>
  <c r="BJ25" i="5"/>
  <c r="BJ27" i="5" s="1"/>
  <c r="BJ29" i="5" s="1"/>
  <c r="BJ15" i="13" s="1"/>
  <c r="R25" i="5"/>
  <c r="R27" i="5" s="1"/>
  <c r="BG25" i="5"/>
  <c r="BG27" i="5" s="1"/>
  <c r="BG29" i="5" s="1"/>
  <c r="BG28" i="7" s="1"/>
  <c r="BK25" i="5"/>
  <c r="BK27" i="5" s="1"/>
  <c r="BK29" i="5" s="1"/>
  <c r="BK15" i="13" s="1"/>
  <c r="CR51" i="6"/>
  <c r="AP25" i="5"/>
  <c r="AP27" i="5" s="1"/>
  <c r="AP29" i="5" s="1"/>
  <c r="N22" i="5"/>
  <c r="CL25" i="5"/>
  <c r="CL27" i="5" s="1"/>
  <c r="CL29" i="5" s="1"/>
  <c r="V25" i="5"/>
  <c r="V27" i="5" s="1"/>
  <c r="V29" i="5" s="1"/>
  <c r="V15" i="13" s="1"/>
  <c r="AG25" i="5"/>
  <c r="AG27" i="5" s="1"/>
  <c r="AG29" i="5" s="1"/>
  <c r="BV25" i="5"/>
  <c r="BV27" i="5" s="1"/>
  <c r="BV29" i="5" s="1"/>
  <c r="AJ25" i="5"/>
  <c r="AJ27" i="5" s="1"/>
  <c r="AJ29" i="5" s="1"/>
  <c r="BY25" i="5"/>
  <c r="BY27" i="5" s="1"/>
  <c r="BY29" i="5" s="1"/>
  <c r="BC25" i="5"/>
  <c r="BC27" i="5" s="1"/>
  <c r="BC29" i="5" s="1"/>
  <c r="X25" i="5"/>
  <c r="X27" i="5" s="1"/>
  <c r="X29" i="5" s="1"/>
  <c r="BE25" i="5"/>
  <c r="BE27" i="5" s="1"/>
  <c r="BE29" i="5" s="1"/>
  <c r="S25" i="5"/>
  <c r="S27" i="5" s="1"/>
  <c r="S29" i="5" s="1"/>
  <c r="CS51" i="6"/>
  <c r="BL25" i="5"/>
  <c r="BL27" i="5" s="1"/>
  <c r="BL29" i="5" s="1"/>
  <c r="CI25" i="5"/>
  <c r="CI27" i="5" s="1"/>
  <c r="CI29" i="5" s="1"/>
  <c r="AV25" i="5"/>
  <c r="AV27" i="5" s="1"/>
  <c r="AV29" i="5" s="1"/>
  <c r="CK25" i="5"/>
  <c r="CK27" i="5" s="1"/>
  <c r="CK29" i="5" s="1"/>
  <c r="AY25" i="5"/>
  <c r="AY27" i="5" s="1"/>
  <c r="AY29" i="5" s="1"/>
  <c r="CN25" i="5"/>
  <c r="CN27" i="5" s="1"/>
  <c r="CN29" i="5" s="1"/>
  <c r="BR25" i="5"/>
  <c r="BR27" i="5" s="1"/>
  <c r="BR29" i="5" s="1"/>
  <c r="BR15" i="13" s="1"/>
  <c r="CB25" i="5"/>
  <c r="CB27" i="5" s="1"/>
  <c r="CB29" i="5" s="1"/>
  <c r="AH25" i="5"/>
  <c r="AH27" i="5" s="1"/>
  <c r="AH29" i="5" s="1"/>
  <c r="AH15" i="8" s="1"/>
  <c r="Z25" i="5"/>
  <c r="Z27" i="5" s="1"/>
  <c r="Z29" i="5" s="1"/>
  <c r="W25" i="5"/>
  <c r="W27" i="5" s="1"/>
  <c r="W29" i="5" s="1"/>
  <c r="W28" i="7" s="1"/>
  <c r="BZ25" i="5"/>
  <c r="BZ27" i="5" s="1"/>
  <c r="BZ29" i="5" s="1"/>
  <c r="BZ15" i="8" s="1"/>
  <c r="BZ17" i="11" s="1"/>
  <c r="Y25" i="5"/>
  <c r="Y27" i="5" s="1"/>
  <c r="Y29" i="5" s="1"/>
  <c r="BN25" i="5"/>
  <c r="BN27" i="5" s="1"/>
  <c r="BN29" i="5" s="1"/>
  <c r="AB25" i="5"/>
  <c r="AB27" i="5" s="1"/>
  <c r="AB29" i="5" s="1"/>
  <c r="CF25" i="5"/>
  <c r="CF27" i="5" s="1"/>
  <c r="CF29" i="5" s="1"/>
  <c r="AU25" i="5"/>
  <c r="AU27" i="5" s="1"/>
  <c r="AU29" i="5" s="1"/>
  <c r="CH25" i="5"/>
  <c r="CH27" i="5" s="1"/>
  <c r="CH29" i="5" s="1"/>
  <c r="CH15" i="13" s="1"/>
  <c r="AW25" i="5"/>
  <c r="AW27" i="5" s="1"/>
  <c r="AW29" i="5" s="1"/>
  <c r="AE25" i="5"/>
  <c r="AE27" i="5" s="1"/>
  <c r="AE29" i="5" s="1"/>
  <c r="AK25" i="5"/>
  <c r="AK27" i="5" s="1"/>
  <c r="AK29" i="5" s="1"/>
  <c r="CA25" i="5"/>
  <c r="CA27" i="5" s="1"/>
  <c r="CA29" i="5" s="1"/>
  <c r="AF25" i="5"/>
  <c r="AF27" i="5" s="1"/>
  <c r="AF29" i="5" s="1"/>
  <c r="CC25" i="5"/>
  <c r="CC27" i="5" s="1"/>
  <c r="CC29" i="5" s="1"/>
  <c r="AQ25" i="5"/>
  <c r="AQ27" i="5" s="1"/>
  <c r="AQ29" i="5" s="1"/>
  <c r="T25" i="5"/>
  <c r="T27" i="5" s="1"/>
  <c r="T29" i="5" s="1"/>
  <c r="BI25" i="5"/>
  <c r="BI27" i="5" s="1"/>
  <c r="BI29" i="5" s="1"/>
  <c r="AL25" i="5"/>
  <c r="AL27" i="5" s="1"/>
  <c r="AL29" i="5" s="1"/>
  <c r="AL15" i="8" s="1"/>
  <c r="AL17" i="11" s="1"/>
  <c r="N21" i="5"/>
  <c r="P25" i="5"/>
  <c r="BB25" i="5"/>
  <c r="BB27" i="5" s="1"/>
  <c r="BB29" i="5" s="1"/>
  <c r="BB15" i="13" s="1"/>
  <c r="AZ25" i="5"/>
  <c r="AZ27" i="5" s="1"/>
  <c r="AZ29" i="5" s="1"/>
  <c r="CO25" i="5"/>
  <c r="CO27" i="5" s="1"/>
  <c r="CO29" i="5" s="1"/>
  <c r="AT25" i="5"/>
  <c r="AT27" i="5" s="1"/>
  <c r="AT29" i="5" s="1"/>
  <c r="AT15" i="13" s="1"/>
  <c r="Q25" i="5"/>
  <c r="Q27" i="5" s="1"/>
  <c r="Q29" i="5" s="1"/>
  <c r="BF25" i="5"/>
  <c r="BF27" i="5" s="1"/>
  <c r="BF29" i="5" s="1"/>
  <c r="AI25" i="5"/>
  <c r="AI27" i="5" s="1"/>
  <c r="AI29" i="5" s="1"/>
  <c r="BX25" i="5"/>
  <c r="BX27" i="5" s="1"/>
  <c r="BX29" i="5" s="1"/>
  <c r="AM25" i="5"/>
  <c r="AM27" i="5" s="1"/>
  <c r="AM29" i="5" s="1"/>
  <c r="CP25" i="5"/>
  <c r="CP27" i="5" s="1"/>
  <c r="CP29" i="5" s="1"/>
  <c r="BW25" i="5"/>
  <c r="BW27" i="5" s="1"/>
  <c r="BW29" i="5" s="1"/>
  <c r="U25" i="5"/>
  <c r="U27" i="5" s="1"/>
  <c r="U29" i="5" s="1"/>
  <c r="AD25" i="5"/>
  <c r="AD27" i="5" s="1"/>
  <c r="AD29" i="5" s="1"/>
  <c r="AD15" i="8" s="1"/>
  <c r="CE25" i="5"/>
  <c r="CE27" i="5" s="1"/>
  <c r="CE29" i="5" s="1"/>
  <c r="N24" i="5"/>
  <c r="N23" i="5"/>
  <c r="BH25" i="5"/>
  <c r="BH27" i="5" s="1"/>
  <c r="BH29" i="5" s="1"/>
  <c r="AO25" i="5"/>
  <c r="AO27" i="5" s="1"/>
  <c r="AO29" i="5" s="1"/>
  <c r="BO25" i="5"/>
  <c r="BO27" i="5" s="1"/>
  <c r="BO29" i="5" s="1"/>
  <c r="AC25" i="5"/>
  <c r="AC27" i="5" s="1"/>
  <c r="AC29" i="5" s="1"/>
  <c r="BS25" i="5"/>
  <c r="BS27" i="5" s="1"/>
  <c r="BS29" i="5" s="1"/>
  <c r="CJ25" i="5"/>
  <c r="CJ27" i="5" s="1"/>
  <c r="CJ29" i="5" s="1"/>
  <c r="BU25" i="5"/>
  <c r="BU27" i="5" s="1"/>
  <c r="BU29" i="5" s="1"/>
  <c r="AX25" i="5"/>
  <c r="AX27" i="5" s="1"/>
  <c r="AX29" i="5" s="1"/>
  <c r="CM25" i="5"/>
  <c r="CM27" i="5" s="1"/>
  <c r="CM29" i="5" s="1"/>
  <c r="BA25" i="5"/>
  <c r="BA27" i="5" s="1"/>
  <c r="BA29" i="5" s="1"/>
  <c r="AN25" i="5"/>
  <c r="AN27" i="5" s="1"/>
  <c r="AN29" i="5" s="1"/>
  <c r="AS25" i="5"/>
  <c r="AS27" i="5" s="1"/>
  <c r="AS29" i="5" s="1"/>
  <c r="CQ25" i="5"/>
  <c r="CQ27" i="5" s="1"/>
  <c r="CQ29" i="5" s="1"/>
  <c r="CD25" i="5"/>
  <c r="CD27" i="5" s="1"/>
  <c r="CD29" i="5" s="1"/>
  <c r="CD15" i="13" s="1"/>
  <c r="AR25" i="5"/>
  <c r="AR27" i="5" s="1"/>
  <c r="AR29" i="5" s="1"/>
  <c r="CG25" i="5"/>
  <c r="BT25" i="5"/>
  <c r="BT27" i="5" s="1"/>
  <c r="BT29" i="5" s="1"/>
  <c r="BT15" i="8" s="1"/>
  <c r="BT17" i="11" s="1"/>
  <c r="BD25" i="5"/>
  <c r="BD27" i="5" s="1"/>
  <c r="BD29" i="5" s="1"/>
  <c r="BM25" i="5"/>
  <c r="BM27" i="5" s="1"/>
  <c r="BM29" i="5" s="1"/>
  <c r="BM28" i="7" s="1"/>
  <c r="AA25" i="5"/>
  <c r="AA27" i="5" s="1"/>
  <c r="AA29" i="5" s="1"/>
  <c r="BP25" i="5"/>
  <c r="BP27" i="5" s="1"/>
  <c r="BP29" i="5" s="1"/>
  <c r="CT51" i="6"/>
  <c r="Q5" i="14"/>
  <c r="Q5" i="15"/>
  <c r="Q5" i="13"/>
  <c r="Q5" i="12"/>
  <c r="Q5" i="11"/>
  <c r="Q5" i="10"/>
  <c r="Q5" i="9"/>
  <c r="Q5" i="8"/>
  <c r="Q5" i="6"/>
  <c r="Q5" i="5"/>
  <c r="Q5" i="7"/>
  <c r="P6" i="15"/>
  <c r="P6" i="14"/>
  <c r="P6" i="13"/>
  <c r="P6" i="11"/>
  <c r="P6" i="10"/>
  <c r="P6" i="9"/>
  <c r="P6" i="12"/>
  <c r="P6" i="8"/>
  <c r="P6" i="7"/>
  <c r="P6" i="6"/>
  <c r="P6" i="5"/>
  <c r="U15" i="5"/>
  <c r="U17" i="6" s="1"/>
  <c r="S5" i="4"/>
  <c r="Q5" i="1"/>
  <c r="Q18" i="1" s="1"/>
  <c r="Q58" i="1" s="1"/>
  <c r="R6" i="4"/>
  <c r="P6" i="1"/>
  <c r="M95" i="3"/>
  <c r="M22" i="3"/>
  <c r="K22" i="3" s="1"/>
  <c r="K20" i="3"/>
  <c r="L28" i="2" s="1"/>
  <c r="R28" i="2" s="1"/>
  <c r="R29" i="2" s="1"/>
  <c r="C53" i="3"/>
  <c r="C60" i="3" s="1"/>
  <c r="M140" i="3"/>
  <c r="K140" i="3" s="1"/>
  <c r="N97" i="3"/>
  <c r="N124" i="3"/>
  <c r="N129" i="3"/>
  <c r="O129" i="3"/>
  <c r="O124" i="3"/>
  <c r="O97" i="3"/>
  <c r="Q124" i="3"/>
  <c r="Q129" i="3"/>
  <c r="Q97" i="3"/>
  <c r="C113" i="3"/>
  <c r="B114" i="3"/>
  <c r="B61" i="3"/>
  <c r="P130" i="3"/>
  <c r="P141" i="3"/>
  <c r="S52" i="2"/>
  <c r="Q14" i="1" s="1"/>
  <c r="S23" i="2"/>
  <c r="T5" i="2"/>
  <c r="R5" i="18" s="1"/>
  <c r="R57" i="18" s="1"/>
  <c r="S25" i="2"/>
  <c r="S18" i="2"/>
  <c r="S6" i="2" s="1"/>
  <c r="Q6" i="18" s="1"/>
  <c r="R24" i="2"/>
  <c r="P11" i="5" s="1"/>
  <c r="P11" i="6" s="1"/>
  <c r="P11" i="7" s="1"/>
  <c r="R53" i="2"/>
  <c r="P15" i="1" s="1"/>
  <c r="AH28" i="7" l="1"/>
  <c r="W15" i="8"/>
  <c r="W42" i="9" s="1"/>
  <c r="W15" i="13"/>
  <c r="AT28" i="7"/>
  <c r="AT15" i="8"/>
  <c r="AT17" i="11" s="1"/>
  <c r="AH15" i="13"/>
  <c r="R29" i="5"/>
  <c r="R28" i="7" s="1"/>
  <c r="BT28" i="7"/>
  <c r="BT15" i="13"/>
  <c r="AD15" i="13"/>
  <c r="CH28" i="7"/>
  <c r="CH15" i="8"/>
  <c r="AD28" i="7"/>
  <c r="CD28" i="7"/>
  <c r="CD15" i="8"/>
  <c r="CD17" i="11" s="1"/>
  <c r="V28" i="7"/>
  <c r="AL28" i="7"/>
  <c r="BR28" i="7"/>
  <c r="BJ28" i="7"/>
  <c r="AL15" i="13"/>
  <c r="BR15" i="8"/>
  <c r="V15" i="8"/>
  <c r="V17" i="11" s="1"/>
  <c r="BB15" i="8"/>
  <c r="BB17" i="11" s="1"/>
  <c r="BZ15" i="13"/>
  <c r="BM15" i="13"/>
  <c r="BG15" i="8"/>
  <c r="BG17" i="11" s="1"/>
  <c r="BG15" i="13"/>
  <c r="BB28" i="7"/>
  <c r="BM15" i="8"/>
  <c r="BJ15" i="8"/>
  <c r="BQ28" i="7"/>
  <c r="BQ15" i="8"/>
  <c r="BQ17" i="11" s="1"/>
  <c r="BQ15" i="13"/>
  <c r="BZ28" i="7"/>
  <c r="BK28" i="7"/>
  <c r="BK15" i="8"/>
  <c r="BK17" i="11" s="1"/>
  <c r="AR28" i="7"/>
  <c r="AR15" i="13"/>
  <c r="AR15" i="8"/>
  <c r="AR17" i="11" s="1"/>
  <c r="CM28" i="7"/>
  <c r="CM15" i="13"/>
  <c r="CM15" i="8"/>
  <c r="CM17" i="11" s="1"/>
  <c r="BH15" i="13"/>
  <c r="BH15" i="8"/>
  <c r="BH17" i="11" s="1"/>
  <c r="BH28" i="7"/>
  <c r="BW15" i="13"/>
  <c r="BW15" i="8"/>
  <c r="BW17" i="11" s="1"/>
  <c r="BW28" i="7"/>
  <c r="Q15" i="8"/>
  <c r="Q28" i="7"/>
  <c r="Q15" i="13"/>
  <c r="P27" i="5"/>
  <c r="N25" i="5"/>
  <c r="CA15" i="8"/>
  <c r="CA17" i="11" s="1"/>
  <c r="CA28" i="7"/>
  <c r="CA15" i="13"/>
  <c r="CF28" i="7"/>
  <c r="CF15" i="13"/>
  <c r="CF15" i="8"/>
  <c r="CF17" i="11" s="1"/>
  <c r="BL28" i="7"/>
  <c r="BL15" i="13"/>
  <c r="BL15" i="8"/>
  <c r="BL17" i="11" s="1"/>
  <c r="BV15" i="8"/>
  <c r="BV17" i="11" s="1"/>
  <c r="BV28" i="7"/>
  <c r="BV15" i="13"/>
  <c r="AX15" i="13"/>
  <c r="AX28" i="7"/>
  <c r="AX15" i="8"/>
  <c r="AX17" i="11" s="1"/>
  <c r="AK15" i="13"/>
  <c r="AK15" i="8"/>
  <c r="AK17" i="11" s="1"/>
  <c r="AK28" i="7"/>
  <c r="AB15" i="8"/>
  <c r="AB15" i="13"/>
  <c r="AB28" i="7"/>
  <c r="CB15" i="13"/>
  <c r="CB15" i="8"/>
  <c r="CB17" i="11" s="1"/>
  <c r="CB28" i="7"/>
  <c r="AG28" i="7"/>
  <c r="AG15" i="8"/>
  <c r="AG15" i="13"/>
  <c r="BP15" i="8"/>
  <c r="BP17" i="11" s="1"/>
  <c r="BP28" i="7"/>
  <c r="BP15" i="13"/>
  <c r="CQ15" i="13"/>
  <c r="CQ15" i="8"/>
  <c r="CQ17" i="11" s="1"/>
  <c r="CQ28" i="7"/>
  <c r="BU15" i="8"/>
  <c r="BU17" i="11" s="1"/>
  <c r="BU15" i="13"/>
  <c r="BU28" i="7"/>
  <c r="CO15" i="13"/>
  <c r="CO15" i="8"/>
  <c r="CO17" i="11" s="1"/>
  <c r="CO28" i="7"/>
  <c r="AE15" i="13"/>
  <c r="AE28" i="7"/>
  <c r="AE15" i="8"/>
  <c r="BN15" i="8"/>
  <c r="BN17" i="11" s="1"/>
  <c r="BN15" i="13"/>
  <c r="BN28" i="7"/>
  <c r="S15" i="13"/>
  <c r="S15" i="8"/>
  <c r="S28" i="7"/>
  <c r="AA15" i="13"/>
  <c r="AA15" i="8"/>
  <c r="AA28" i="7"/>
  <c r="AS15" i="8"/>
  <c r="AS17" i="11" s="1"/>
  <c r="AS15" i="13"/>
  <c r="AS28" i="7"/>
  <c r="CJ15" i="8"/>
  <c r="CJ17" i="11" s="1"/>
  <c r="CJ15" i="13"/>
  <c r="CJ28" i="7"/>
  <c r="CP15" i="8"/>
  <c r="CP17" i="11" s="1"/>
  <c r="CP15" i="13"/>
  <c r="CP28" i="7"/>
  <c r="AZ15" i="8"/>
  <c r="AZ17" i="11" s="1"/>
  <c r="AZ28" i="7"/>
  <c r="AZ15" i="13"/>
  <c r="BI15" i="13"/>
  <c r="BI15" i="8"/>
  <c r="BI17" i="11" s="1"/>
  <c r="BI28" i="7"/>
  <c r="Y15" i="13"/>
  <c r="Y28" i="7"/>
  <c r="Y15" i="8"/>
  <c r="CN15" i="8"/>
  <c r="CN17" i="11" s="1"/>
  <c r="CN15" i="13"/>
  <c r="CN28" i="7"/>
  <c r="BE15" i="13"/>
  <c r="BE15" i="8"/>
  <c r="BE17" i="11" s="1"/>
  <c r="BE28" i="7"/>
  <c r="CL28" i="7"/>
  <c r="CL15" i="8"/>
  <c r="CL17" i="11" s="1"/>
  <c r="CL15" i="13"/>
  <c r="BS28" i="7"/>
  <c r="BS15" i="13"/>
  <c r="BS15" i="8"/>
  <c r="BS17" i="11" s="1"/>
  <c r="AM28" i="7"/>
  <c r="AM15" i="13"/>
  <c r="AM15" i="8"/>
  <c r="AM17" i="11" s="1"/>
  <c r="T28" i="7"/>
  <c r="T15" i="13"/>
  <c r="T15" i="8"/>
  <c r="AY15" i="13"/>
  <c r="AY15" i="8"/>
  <c r="AY17" i="11" s="1"/>
  <c r="AY28" i="7"/>
  <c r="X28" i="7"/>
  <c r="X15" i="8"/>
  <c r="X15" i="13"/>
  <c r="BD28" i="7"/>
  <c r="BD15" i="13"/>
  <c r="BD15" i="8"/>
  <c r="BD17" i="11" s="1"/>
  <c r="AN15" i="8"/>
  <c r="AN17" i="11" s="1"/>
  <c r="AN28" i="7"/>
  <c r="AN15" i="13"/>
  <c r="AC15" i="13"/>
  <c r="AC28" i="7"/>
  <c r="AC15" i="8"/>
  <c r="CE15" i="13"/>
  <c r="CE15" i="8"/>
  <c r="CE17" i="11" s="1"/>
  <c r="CE28" i="7"/>
  <c r="BX15" i="13"/>
  <c r="BX15" i="8"/>
  <c r="BX17" i="11" s="1"/>
  <c r="BX28" i="7"/>
  <c r="AQ15" i="13"/>
  <c r="AQ15" i="8"/>
  <c r="AQ17" i="11" s="1"/>
  <c r="AQ28" i="7"/>
  <c r="AW15" i="8"/>
  <c r="AW17" i="11" s="1"/>
  <c r="AW15" i="13"/>
  <c r="AW28" i="7"/>
  <c r="CK15" i="13"/>
  <c r="CK28" i="7"/>
  <c r="CK15" i="8"/>
  <c r="CK17" i="11" s="1"/>
  <c r="BC28" i="7"/>
  <c r="BC15" i="13"/>
  <c r="BC15" i="8"/>
  <c r="BC17" i="11" s="1"/>
  <c r="BO28" i="7"/>
  <c r="BO15" i="8"/>
  <c r="BO17" i="11" s="1"/>
  <c r="BO15" i="13"/>
  <c r="AI15" i="13"/>
  <c r="AI15" i="8"/>
  <c r="AI28" i="7"/>
  <c r="CC15" i="13"/>
  <c r="CC15" i="8"/>
  <c r="CC17" i="11" s="1"/>
  <c r="CC28" i="7"/>
  <c r="Z28" i="7"/>
  <c r="Z15" i="13"/>
  <c r="Z15" i="8"/>
  <c r="AV15" i="8"/>
  <c r="AV17" i="11" s="1"/>
  <c r="AV15" i="13"/>
  <c r="AV28" i="7"/>
  <c r="BY28" i="7"/>
  <c r="BY15" i="8"/>
  <c r="BY17" i="11" s="1"/>
  <c r="BY15" i="13"/>
  <c r="CG27" i="5"/>
  <c r="CG29" i="5" s="1"/>
  <c r="BA28" i="7"/>
  <c r="BA15" i="13"/>
  <c r="BA15" i="8"/>
  <c r="BA17" i="11" s="1"/>
  <c r="AO15" i="13"/>
  <c r="AO15" i="8"/>
  <c r="AO17" i="11" s="1"/>
  <c r="AO28" i="7"/>
  <c r="U15" i="13"/>
  <c r="U15" i="8"/>
  <c r="U28" i="7"/>
  <c r="BF28" i="7"/>
  <c r="BF15" i="8"/>
  <c r="BF17" i="11" s="1"/>
  <c r="BF15" i="13"/>
  <c r="AF15" i="13"/>
  <c r="AF28" i="7"/>
  <c r="AF15" i="8"/>
  <c r="AU15" i="13"/>
  <c r="AU15" i="8"/>
  <c r="AU17" i="11" s="1"/>
  <c r="AU28" i="7"/>
  <c r="CI28" i="7"/>
  <c r="CI15" i="13"/>
  <c r="CI15" i="8"/>
  <c r="CI17" i="11" s="1"/>
  <c r="AJ15" i="13"/>
  <c r="AJ15" i="8"/>
  <c r="AJ28" i="7"/>
  <c r="AP28" i="7"/>
  <c r="AP15" i="8"/>
  <c r="AP17" i="11" s="1"/>
  <c r="AP15" i="13"/>
  <c r="J16" i="1"/>
  <c r="I11" i="17" s="1"/>
  <c r="L30" i="2"/>
  <c r="T30" i="2" s="1"/>
  <c r="R13" i="7" s="1"/>
  <c r="S28" i="2"/>
  <c r="P35" i="9"/>
  <c r="P12" i="5"/>
  <c r="P12" i="6" s="1"/>
  <c r="Q6" i="14"/>
  <c r="Q6" i="15"/>
  <c r="Q6" i="13"/>
  <c r="Q6" i="12"/>
  <c r="Q6" i="9"/>
  <c r="Q6" i="11"/>
  <c r="Q6" i="10"/>
  <c r="Q6" i="8"/>
  <c r="Q6" i="6"/>
  <c r="Q6" i="5"/>
  <c r="Q6" i="7"/>
  <c r="R5" i="15"/>
  <c r="R5" i="14"/>
  <c r="R5" i="11"/>
  <c r="R5" i="12"/>
  <c r="R5" i="13"/>
  <c r="R5" i="10"/>
  <c r="R5" i="9"/>
  <c r="R5" i="8"/>
  <c r="R5" i="7"/>
  <c r="R5" i="6"/>
  <c r="R5" i="5"/>
  <c r="Q24" i="1"/>
  <c r="AD18" i="8"/>
  <c r="AD42" i="9"/>
  <c r="AD17" i="11"/>
  <c r="AH42" i="9"/>
  <c r="AH18" i="8"/>
  <c r="AH17" i="11"/>
  <c r="BT18" i="8"/>
  <c r="BT42" i="9"/>
  <c r="AT18" i="8"/>
  <c r="AT42" i="9"/>
  <c r="W18" i="8"/>
  <c r="BZ18" i="8"/>
  <c r="BZ42" i="9"/>
  <c r="AL18" i="8"/>
  <c r="AL42" i="9"/>
  <c r="V15" i="5"/>
  <c r="V17" i="6" s="1"/>
  <c r="T5" i="4"/>
  <c r="R5" i="1"/>
  <c r="R18" i="1" s="1"/>
  <c r="R58" i="1" s="1"/>
  <c r="S6" i="4"/>
  <c r="Q6" i="1"/>
  <c r="N141" i="3"/>
  <c r="N130" i="3"/>
  <c r="B115" i="3"/>
  <c r="C114" i="3"/>
  <c r="C54" i="3"/>
  <c r="C55" i="3"/>
  <c r="C57" i="3"/>
  <c r="C59" i="3"/>
  <c r="C58" i="3"/>
  <c r="C56" i="3"/>
  <c r="O130" i="3"/>
  <c r="O141" i="3"/>
  <c r="Q130" i="3"/>
  <c r="Q141" i="3"/>
  <c r="B62" i="3"/>
  <c r="C61" i="3"/>
  <c r="M97" i="3"/>
  <c r="K95" i="3"/>
  <c r="L39" i="2" s="1"/>
  <c r="M124" i="3"/>
  <c r="K124" i="3" s="1"/>
  <c r="L46" i="2" s="1"/>
  <c r="T46" i="2" s="1"/>
  <c r="M129" i="3"/>
  <c r="K129" i="3" s="1"/>
  <c r="R57" i="2"/>
  <c r="R8" i="2" s="1"/>
  <c r="R56" i="2"/>
  <c r="T52" i="2"/>
  <c r="R14" i="1" s="1"/>
  <c r="R24" i="1" s="1"/>
  <c r="R35" i="1" s="1"/>
  <c r="T23" i="2"/>
  <c r="T25" i="2"/>
  <c r="T28" i="2"/>
  <c r="T18" i="2"/>
  <c r="T6" i="2" s="1"/>
  <c r="R6" i="18" s="1"/>
  <c r="U5" i="2"/>
  <c r="S5" i="18" s="1"/>
  <c r="S57" i="18" s="1"/>
  <c r="R32" i="2"/>
  <c r="S24" i="2"/>
  <c r="Q11" i="5" s="1"/>
  <c r="Q11" i="6" s="1"/>
  <c r="Q11" i="7" s="1"/>
  <c r="R19" i="2"/>
  <c r="R7" i="2" s="1"/>
  <c r="P7" i="18" s="1"/>
  <c r="W17" i="11" l="1"/>
  <c r="R15" i="13"/>
  <c r="R15" i="8"/>
  <c r="BJ18" i="8"/>
  <c r="BJ27" i="8" s="1"/>
  <c r="BJ17" i="11"/>
  <c r="BM42" i="9"/>
  <c r="BM17" i="11"/>
  <c r="BR18" i="8"/>
  <c r="BR27" i="8" s="1"/>
  <c r="BR17" i="11"/>
  <c r="CH18" i="8"/>
  <c r="CH17" i="11"/>
  <c r="CH42" i="9"/>
  <c r="BJ42" i="9"/>
  <c r="V18" i="8"/>
  <c r="V27" i="8" s="1"/>
  <c r="CD18" i="8"/>
  <c r="CD27" i="8" s="1"/>
  <c r="CD42" i="9"/>
  <c r="BR42" i="9"/>
  <c r="T59" i="2"/>
  <c r="BB42" i="9"/>
  <c r="BB18" i="8"/>
  <c r="BB27" i="8" s="1"/>
  <c r="V42" i="9"/>
  <c r="BM18" i="8"/>
  <c r="BM27" i="8" s="1"/>
  <c r="BK18" i="8"/>
  <c r="BK27" i="8" s="1"/>
  <c r="BK42" i="9"/>
  <c r="BG18" i="8"/>
  <c r="BG27" i="8" s="1"/>
  <c r="BG42" i="9"/>
  <c r="BQ18" i="8"/>
  <c r="BQ27" i="8" s="1"/>
  <c r="BQ42" i="9"/>
  <c r="BF42" i="9"/>
  <c r="BF18" i="8"/>
  <c r="BF27" i="8" s="1"/>
  <c r="BA18" i="8"/>
  <c r="BA27" i="8" s="1"/>
  <c r="BA42" i="9"/>
  <c r="T18" i="8"/>
  <c r="T27" i="8" s="1"/>
  <c r="T17" i="11"/>
  <c r="T42" i="9"/>
  <c r="CJ42" i="9"/>
  <c r="CJ18" i="8"/>
  <c r="CJ27" i="8" s="1"/>
  <c r="S42" i="9"/>
  <c r="S18" i="8"/>
  <c r="S27" i="8" s="1"/>
  <c r="S17" i="11"/>
  <c r="CB18" i="8"/>
  <c r="CB27" i="8" s="1"/>
  <c r="CB42" i="9"/>
  <c r="AX42" i="9"/>
  <c r="AX18" i="8"/>
  <c r="AX27" i="8" s="1"/>
  <c r="P29" i="5"/>
  <c r="N27" i="5"/>
  <c r="BH42" i="9"/>
  <c r="BH18" i="8"/>
  <c r="BH27" i="8" s="1"/>
  <c r="AP42" i="9"/>
  <c r="AP18" i="8"/>
  <c r="AP27" i="8" s="1"/>
  <c r="AQ42" i="9"/>
  <c r="AQ18" i="8"/>
  <c r="AQ27" i="8" s="1"/>
  <c r="AC18" i="8"/>
  <c r="AC27" i="8" s="1"/>
  <c r="AC17" i="11"/>
  <c r="AC42" i="9"/>
  <c r="CN42" i="9"/>
  <c r="CN18" i="8"/>
  <c r="CN27" i="8" s="1"/>
  <c r="CO18" i="8"/>
  <c r="CO27" i="8" s="1"/>
  <c r="CO42" i="9"/>
  <c r="CF18" i="8"/>
  <c r="CF27" i="8" s="1"/>
  <c r="CF42" i="9"/>
  <c r="AU42" i="9"/>
  <c r="AU18" i="8"/>
  <c r="AU27" i="8" s="1"/>
  <c r="AV42" i="9"/>
  <c r="AV18" i="8"/>
  <c r="AV27" i="8" s="1"/>
  <c r="CK42" i="9"/>
  <c r="CK18" i="8"/>
  <c r="CK27" i="8" s="1"/>
  <c r="CL18" i="8"/>
  <c r="CL27" i="8" s="1"/>
  <c r="CL42" i="9"/>
  <c r="Y17" i="11"/>
  <c r="Y18" i="8"/>
  <c r="Y27" i="8" s="1"/>
  <c r="Y42" i="9"/>
  <c r="AZ42" i="9"/>
  <c r="AZ18" i="8"/>
  <c r="AZ27" i="8" s="1"/>
  <c r="CM42" i="9"/>
  <c r="CM18" i="8"/>
  <c r="CM27" i="8" s="1"/>
  <c r="U18" i="8"/>
  <c r="U27" i="8" s="1"/>
  <c r="U17" i="11"/>
  <c r="U42" i="9"/>
  <c r="CG15" i="13"/>
  <c r="CG15" i="8"/>
  <c r="CG17" i="11" s="1"/>
  <c r="CG28" i="7"/>
  <c r="Z17" i="11"/>
  <c r="Z18" i="8"/>
  <c r="Z27" i="8" s="1"/>
  <c r="Z42" i="9"/>
  <c r="X18" i="8"/>
  <c r="X27" i="8" s="1"/>
  <c r="X42" i="9"/>
  <c r="X17" i="11"/>
  <c r="AM42" i="9"/>
  <c r="AM18" i="8"/>
  <c r="AM27" i="8" s="1"/>
  <c r="AS42" i="9"/>
  <c r="AS18" i="8"/>
  <c r="AS27" i="8" s="1"/>
  <c r="BP18" i="8"/>
  <c r="BP27" i="8" s="1"/>
  <c r="BP42" i="9"/>
  <c r="Q18" i="8"/>
  <c r="Q42" i="9"/>
  <c r="Q17" i="11"/>
  <c r="AJ42" i="9"/>
  <c r="AJ17" i="11"/>
  <c r="AJ18" i="8"/>
  <c r="AJ27" i="8" s="1"/>
  <c r="AF42" i="9"/>
  <c r="AF18" i="8"/>
  <c r="AF27" i="8" s="1"/>
  <c r="AF17" i="11"/>
  <c r="BX18" i="8"/>
  <c r="BX27" i="8" s="1"/>
  <c r="BX42" i="9"/>
  <c r="BN18" i="8"/>
  <c r="BN27" i="8" s="1"/>
  <c r="BN42" i="9"/>
  <c r="AB42" i="9"/>
  <c r="AB18" i="8"/>
  <c r="AB27" i="8" s="1"/>
  <c r="AB17" i="11"/>
  <c r="BO42" i="9"/>
  <c r="BO18" i="8"/>
  <c r="BO27" i="8" s="1"/>
  <c r="BE18" i="8"/>
  <c r="BE27" i="8" s="1"/>
  <c r="BE42" i="9"/>
  <c r="CP18" i="8"/>
  <c r="CP27" i="8" s="1"/>
  <c r="CP42" i="9"/>
  <c r="AA42" i="9"/>
  <c r="AA18" i="8"/>
  <c r="AA27" i="8" s="1"/>
  <c r="AA17" i="11"/>
  <c r="AE18" i="8"/>
  <c r="AE27" i="8" s="1"/>
  <c r="AE17" i="11"/>
  <c r="AE42" i="9"/>
  <c r="BU18" i="8"/>
  <c r="BU27" i="8" s="1"/>
  <c r="BU42" i="9"/>
  <c r="AG42" i="9"/>
  <c r="AG17" i="11"/>
  <c r="AG18" i="8"/>
  <c r="AG27" i="8" s="1"/>
  <c r="BV18" i="8"/>
  <c r="BV27" i="8" s="1"/>
  <c r="BV42" i="9"/>
  <c r="BW42" i="9"/>
  <c r="BW18" i="8"/>
  <c r="BW27" i="8" s="1"/>
  <c r="AR42" i="9"/>
  <c r="AR18" i="8"/>
  <c r="AR27" i="8" s="1"/>
  <c r="AI18" i="8"/>
  <c r="AI27" i="8" s="1"/>
  <c r="AI17" i="11"/>
  <c r="AI42" i="9"/>
  <c r="CI18" i="8"/>
  <c r="CI27" i="8" s="1"/>
  <c r="CI42" i="9"/>
  <c r="AO18" i="8"/>
  <c r="AO27" i="8" s="1"/>
  <c r="AO42" i="9"/>
  <c r="BY18" i="8"/>
  <c r="BY27" i="8" s="1"/>
  <c r="BY42" i="9"/>
  <c r="AN18" i="8"/>
  <c r="AN27" i="8" s="1"/>
  <c r="AN42" i="9"/>
  <c r="AY42" i="9"/>
  <c r="AY18" i="8"/>
  <c r="AY27" i="8" s="1"/>
  <c r="BS18" i="8"/>
  <c r="BS27" i="8" s="1"/>
  <c r="BS42" i="9"/>
  <c r="BI42" i="9"/>
  <c r="BI18" i="8"/>
  <c r="BI27" i="8" s="1"/>
  <c r="AK42" i="9"/>
  <c r="AK18" i="8"/>
  <c r="AK27" i="8" s="1"/>
  <c r="BL18" i="8"/>
  <c r="BL27" i="8" s="1"/>
  <c r="BL42" i="9"/>
  <c r="CA42" i="9"/>
  <c r="CA18" i="8"/>
  <c r="CA27" i="8" s="1"/>
  <c r="CC42" i="9"/>
  <c r="CC18" i="8"/>
  <c r="CC27" i="8" s="1"/>
  <c r="BC18" i="8"/>
  <c r="BC27" i="8" s="1"/>
  <c r="BC42" i="9"/>
  <c r="AW42" i="9"/>
  <c r="AW18" i="8"/>
  <c r="AW27" i="8" s="1"/>
  <c r="CE18" i="8"/>
  <c r="CE27" i="8" s="1"/>
  <c r="CE42" i="9"/>
  <c r="BD18" i="8"/>
  <c r="BD27" i="8" s="1"/>
  <c r="BD42" i="9"/>
  <c r="CQ18" i="8"/>
  <c r="CQ27" i="8" s="1"/>
  <c r="CQ42" i="9"/>
  <c r="R39" i="2"/>
  <c r="S39" i="2"/>
  <c r="Q35" i="8" s="1"/>
  <c r="L54" i="2"/>
  <c r="U60" i="2" s="1"/>
  <c r="S55" i="1" s="1"/>
  <c r="R59" i="2"/>
  <c r="R30" i="2"/>
  <c r="S59" i="2"/>
  <c r="S30" i="2"/>
  <c r="Q13" i="7" s="1"/>
  <c r="R46" i="2"/>
  <c r="R47" i="2" s="1"/>
  <c r="S46" i="2"/>
  <c r="T39" i="2"/>
  <c r="R35" i="8" s="1"/>
  <c r="R6" i="14"/>
  <c r="R6" i="15"/>
  <c r="R6" i="13"/>
  <c r="R6" i="12"/>
  <c r="R6" i="11"/>
  <c r="R6" i="9"/>
  <c r="R6" i="10"/>
  <c r="R6" i="8"/>
  <c r="R6" i="7"/>
  <c r="R6" i="5"/>
  <c r="R6" i="6"/>
  <c r="P36" i="9"/>
  <c r="P14" i="6"/>
  <c r="P15" i="7"/>
  <c r="P12" i="7"/>
  <c r="P45" i="6"/>
  <c r="P48" i="6"/>
  <c r="P50" i="6"/>
  <c r="P46" i="6"/>
  <c r="P47" i="6"/>
  <c r="P44" i="6"/>
  <c r="P24" i="6"/>
  <c r="P49" i="6"/>
  <c r="S5" i="15"/>
  <c r="S5" i="14"/>
  <c r="S5" i="13"/>
  <c r="S5" i="11"/>
  <c r="S5" i="12"/>
  <c r="S5" i="9"/>
  <c r="S5" i="10"/>
  <c r="S5" i="8"/>
  <c r="S5" i="7"/>
  <c r="S5" i="5"/>
  <c r="S5" i="6"/>
  <c r="P7" i="14"/>
  <c r="P7" i="15"/>
  <c r="P7" i="13"/>
  <c r="P7" i="12"/>
  <c r="P7" i="11"/>
  <c r="P7" i="10"/>
  <c r="P7" i="9"/>
  <c r="P7" i="8"/>
  <c r="P7" i="7"/>
  <c r="P7" i="5"/>
  <c r="P7" i="6"/>
  <c r="Q35" i="1"/>
  <c r="AH27" i="8"/>
  <c r="BT27" i="8"/>
  <c r="BZ27" i="8"/>
  <c r="AL27" i="8"/>
  <c r="R42" i="9"/>
  <c r="R18" i="8"/>
  <c r="R17" i="11"/>
  <c r="W27" i="8"/>
  <c r="AT27" i="8"/>
  <c r="CH27" i="8"/>
  <c r="AD27" i="8"/>
  <c r="W15" i="5"/>
  <c r="W17" i="6" s="1"/>
  <c r="R8" i="4"/>
  <c r="P8" i="1"/>
  <c r="T6" i="4"/>
  <c r="R6" i="1"/>
  <c r="U5" i="4"/>
  <c r="S5" i="1"/>
  <c r="S18" i="1" s="1"/>
  <c r="S58" i="1" s="1"/>
  <c r="R7" i="4"/>
  <c r="P7" i="1"/>
  <c r="C62" i="3"/>
  <c r="B63" i="3"/>
  <c r="B116" i="3"/>
  <c r="C115" i="3"/>
  <c r="M130" i="3"/>
  <c r="K130" i="3" s="1"/>
  <c r="M141" i="3"/>
  <c r="K141" i="3" s="1"/>
  <c r="K97" i="3"/>
  <c r="U59" i="2"/>
  <c r="U52" i="2"/>
  <c r="S14" i="1" s="1"/>
  <c r="U39" i="2"/>
  <c r="S35" i="8" s="1"/>
  <c r="U46" i="2"/>
  <c r="U23" i="2"/>
  <c r="U30" i="2"/>
  <c r="S13" i="7" s="1"/>
  <c r="U25" i="2"/>
  <c r="V5" i="2"/>
  <c r="T5" i="18" s="1"/>
  <c r="T57" i="18" s="1"/>
  <c r="U28" i="2"/>
  <c r="U18" i="2"/>
  <c r="U6" i="2" s="1"/>
  <c r="S6" i="18" s="1"/>
  <c r="R34" i="2"/>
  <c r="S19" i="2"/>
  <c r="S7" i="2" s="1"/>
  <c r="Q7" i="18" s="1"/>
  <c r="T24" i="2"/>
  <c r="R11" i="5" s="1"/>
  <c r="R11" i="6" s="1"/>
  <c r="R11" i="7" s="1"/>
  <c r="U54" i="2" l="1"/>
  <c r="S16" i="1" s="1"/>
  <c r="S56" i="1" s="1"/>
  <c r="CG18" i="8"/>
  <c r="CG27" i="8" s="1"/>
  <c r="CG42" i="9"/>
  <c r="P28" i="7"/>
  <c r="N28" i="7" s="1"/>
  <c r="P15" i="8"/>
  <c r="P15" i="13"/>
  <c r="N15" i="13" s="1"/>
  <c r="N29" i="5"/>
  <c r="I43" i="17" s="1"/>
  <c r="P93" i="8"/>
  <c r="P13" i="7"/>
  <c r="S29" i="2"/>
  <c r="L41" i="2"/>
  <c r="L48" i="2"/>
  <c r="V48" i="2" s="1"/>
  <c r="R60" i="2"/>
  <c r="P55" i="1" s="1"/>
  <c r="R54" i="2"/>
  <c r="S54" i="2"/>
  <c r="Q16" i="1" s="1"/>
  <c r="Q56" i="1" s="1"/>
  <c r="S60" i="2"/>
  <c r="Q55" i="1" s="1"/>
  <c r="T54" i="2"/>
  <c r="R16" i="1" s="1"/>
  <c r="R56" i="1" s="1"/>
  <c r="T60" i="2"/>
  <c r="R55" i="1" s="1"/>
  <c r="P35" i="8"/>
  <c r="P75" i="8" s="1"/>
  <c r="R40" i="2"/>
  <c r="P51" i="6"/>
  <c r="S6" i="14"/>
  <c r="S6" i="15"/>
  <c r="S6" i="13"/>
  <c r="S6" i="12"/>
  <c r="S6" i="11"/>
  <c r="S6" i="9"/>
  <c r="S6" i="10"/>
  <c r="S6" i="8"/>
  <c r="S6" i="6"/>
  <c r="S6" i="7"/>
  <c r="S6" i="5"/>
  <c r="Q7" i="14"/>
  <c r="Q7" i="15"/>
  <c r="Q7" i="13"/>
  <c r="Q7" i="12"/>
  <c r="Q7" i="11"/>
  <c r="Q7" i="10"/>
  <c r="Q7" i="9"/>
  <c r="Q7" i="8"/>
  <c r="Q7" i="6"/>
  <c r="Q7" i="7"/>
  <c r="Q7" i="5"/>
  <c r="P27" i="6"/>
  <c r="P28" i="6" s="1"/>
  <c r="P30" i="6" s="1"/>
  <c r="P34" i="5"/>
  <c r="P36" i="5" s="1"/>
  <c r="T5" i="15"/>
  <c r="T5" i="14"/>
  <c r="T5" i="13"/>
  <c r="T5" i="12"/>
  <c r="T5" i="11"/>
  <c r="T5" i="9"/>
  <c r="T5" i="10"/>
  <c r="T5" i="8"/>
  <c r="T5" i="6"/>
  <c r="T5" i="5"/>
  <c r="T5" i="7"/>
  <c r="P19" i="7"/>
  <c r="P39" i="7"/>
  <c r="S61" i="1"/>
  <c r="S70" i="1" s="1"/>
  <c r="S24" i="1"/>
  <c r="X15" i="5"/>
  <c r="X17" i="6" s="1"/>
  <c r="S7" i="4"/>
  <c r="Q7" i="1"/>
  <c r="V5" i="4"/>
  <c r="T5" i="1"/>
  <c r="T18" i="1" s="1"/>
  <c r="T58" i="1" s="1"/>
  <c r="U6" i="4"/>
  <c r="S6" i="1"/>
  <c r="C116" i="3"/>
  <c r="B117" i="3"/>
  <c r="B64" i="3"/>
  <c r="C64" i="3" s="1"/>
  <c r="C63" i="3"/>
  <c r="V60" i="2"/>
  <c r="T55" i="1" s="1"/>
  <c r="V59" i="2"/>
  <c r="V52" i="2"/>
  <c r="T14" i="1" s="1"/>
  <c r="T24" i="1" s="1"/>
  <c r="T35" i="1" s="1"/>
  <c r="V46" i="2"/>
  <c r="V54" i="2"/>
  <c r="T16" i="1" s="1"/>
  <c r="T56" i="1" s="1"/>
  <c r="V39" i="2"/>
  <c r="T35" i="8" s="1"/>
  <c r="V41" i="2"/>
  <c r="T37" i="8" s="1"/>
  <c r="V23" i="2"/>
  <c r="V30" i="2"/>
  <c r="T13" i="7" s="1"/>
  <c r="V25" i="2"/>
  <c r="V28" i="2"/>
  <c r="V18" i="2"/>
  <c r="V6" i="2" s="1"/>
  <c r="T6" i="18" s="1"/>
  <c r="W5" i="2"/>
  <c r="U5" i="18" s="1"/>
  <c r="U57" i="18" s="1"/>
  <c r="U24" i="2"/>
  <c r="S11" i="5" s="1"/>
  <c r="S11" i="6" s="1"/>
  <c r="S11" i="7" s="1"/>
  <c r="Q61" i="1" l="1"/>
  <c r="Q70" i="1" s="1"/>
  <c r="P42" i="9"/>
  <c r="N42" i="9" s="1"/>
  <c r="P18" i="8"/>
  <c r="N18" i="8" s="1"/>
  <c r="J52" i="8" s="1"/>
  <c r="P17" i="11"/>
  <c r="N17" i="11" s="1"/>
  <c r="N15" i="8"/>
  <c r="R48" i="2"/>
  <c r="S47" i="2" s="1"/>
  <c r="S48" i="2"/>
  <c r="T48" i="2"/>
  <c r="U48" i="2"/>
  <c r="P16" i="1"/>
  <c r="P56" i="1" s="1"/>
  <c r="P61" i="1" s="1"/>
  <c r="P70" i="1" s="1"/>
  <c r="S53" i="2"/>
  <c r="R41" i="2"/>
  <c r="P37" i="8" s="1"/>
  <c r="S41" i="2"/>
  <c r="Q37" i="8" s="1"/>
  <c r="T41" i="2"/>
  <c r="R37" i="8" s="1"/>
  <c r="U41" i="2"/>
  <c r="S37" i="8" s="1"/>
  <c r="R61" i="1"/>
  <c r="R70" i="1" s="1"/>
  <c r="P13" i="12"/>
  <c r="P18" i="12" s="1"/>
  <c r="P39" i="13"/>
  <c r="P115" i="8"/>
  <c r="R43" i="2"/>
  <c r="P36" i="8"/>
  <c r="S32" i="2"/>
  <c r="Q12" i="5"/>
  <c r="Q12" i="6" s="1"/>
  <c r="T29" i="2"/>
  <c r="T19" i="2" s="1"/>
  <c r="T7" i="2" s="1"/>
  <c r="Q35" i="9"/>
  <c r="P57" i="6"/>
  <c r="P56" i="6"/>
  <c r="P55" i="6"/>
  <c r="P54" i="6"/>
  <c r="P58" i="6"/>
  <c r="P40" i="7"/>
  <c r="P20" i="7"/>
  <c r="P21" i="7" s="1"/>
  <c r="P37" i="6"/>
  <c r="P38" i="5"/>
  <c r="T6" i="15"/>
  <c r="T6" i="13"/>
  <c r="T6" i="14"/>
  <c r="T6" i="12"/>
  <c r="T6" i="10"/>
  <c r="T6" i="9"/>
  <c r="T6" i="11"/>
  <c r="T6" i="8"/>
  <c r="T6" i="6"/>
  <c r="T6" i="7"/>
  <c r="T6" i="5"/>
  <c r="U5" i="14"/>
  <c r="U5" i="13"/>
  <c r="U5" i="12"/>
  <c r="U5" i="15"/>
  <c r="U5" i="9"/>
  <c r="U5" i="11"/>
  <c r="U5" i="10"/>
  <c r="U5" i="8"/>
  <c r="U5" i="6"/>
  <c r="U5" i="7"/>
  <c r="U5" i="5"/>
  <c r="T61" i="1"/>
  <c r="T70" i="1" s="1"/>
  <c r="S35" i="1"/>
  <c r="Y15" i="5"/>
  <c r="Y17" i="6" s="1"/>
  <c r="W5" i="4"/>
  <c r="U5" i="1"/>
  <c r="U18" i="1" s="1"/>
  <c r="U58" i="1" s="1"/>
  <c r="V6" i="4"/>
  <c r="T6" i="1"/>
  <c r="B118" i="3"/>
  <c r="C118" i="3" s="1"/>
  <c r="C117" i="3"/>
  <c r="W60" i="2"/>
  <c r="U55" i="1" s="1"/>
  <c r="W52" i="2"/>
  <c r="U14" i="1" s="1"/>
  <c r="W59" i="2"/>
  <c r="W54" i="2"/>
  <c r="U16" i="1" s="1"/>
  <c r="W48" i="2"/>
  <c r="W39" i="2"/>
  <c r="U35" i="8" s="1"/>
  <c r="W46" i="2"/>
  <c r="W41" i="2"/>
  <c r="U37" i="8" s="1"/>
  <c r="W30" i="2"/>
  <c r="U13" i="7" s="1"/>
  <c r="W25" i="2"/>
  <c r="W28" i="2"/>
  <c r="W23" i="2"/>
  <c r="W18" i="2"/>
  <c r="W6" i="2" s="1"/>
  <c r="U6" i="18" s="1"/>
  <c r="X5" i="2"/>
  <c r="V5" i="18" s="1"/>
  <c r="V57" i="18" s="1"/>
  <c r="V24" i="2"/>
  <c r="T11" i="5" s="1"/>
  <c r="T11" i="6" s="1"/>
  <c r="T11" i="7" s="1"/>
  <c r="R7" i="11" l="1"/>
  <c r="R7" i="18"/>
  <c r="X32" i="17"/>
  <c r="J13" i="18"/>
  <c r="J18" i="18" s="1"/>
  <c r="J16" i="8"/>
  <c r="S40" i="2"/>
  <c r="Q39" i="13" s="1"/>
  <c r="J17" i="8"/>
  <c r="R7" i="12"/>
  <c r="R7" i="5"/>
  <c r="R7" i="14"/>
  <c r="R7" i="6"/>
  <c r="R7" i="15"/>
  <c r="R7" i="8"/>
  <c r="R7" i="9"/>
  <c r="R7" i="7"/>
  <c r="R7" i="10"/>
  <c r="R7" i="1"/>
  <c r="T7" i="4"/>
  <c r="R7" i="13"/>
  <c r="J15" i="8"/>
  <c r="P130" i="8"/>
  <c r="P135" i="8"/>
  <c r="U29" i="2"/>
  <c r="U19" i="2" s="1"/>
  <c r="U7" i="2" s="1"/>
  <c r="S7" i="6" s="1"/>
  <c r="R35" i="9"/>
  <c r="R12" i="5"/>
  <c r="R12" i="6" s="1"/>
  <c r="Q15" i="1"/>
  <c r="S56" i="2"/>
  <c r="S57" i="2"/>
  <c r="S8" i="2" s="1"/>
  <c r="T53" i="2"/>
  <c r="Q44" i="6"/>
  <c r="Q49" i="6"/>
  <c r="Q48" i="6"/>
  <c r="Q24" i="6"/>
  <c r="Q45" i="6"/>
  <c r="Q50" i="6"/>
  <c r="Q46" i="6"/>
  <c r="Q12" i="7"/>
  <c r="Q47" i="6"/>
  <c r="T32" i="2"/>
  <c r="S34" i="2"/>
  <c r="Q15" i="7"/>
  <c r="Q36" i="9"/>
  <c r="Q14" i="6"/>
  <c r="P55" i="8"/>
  <c r="P56" i="8"/>
  <c r="P58" i="8" s="1"/>
  <c r="P39" i="8"/>
  <c r="P40" i="8"/>
  <c r="Q93" i="8"/>
  <c r="T47" i="2"/>
  <c r="P38" i="6"/>
  <c r="P41" i="7"/>
  <c r="P59" i="6"/>
  <c r="P61" i="6" s="1"/>
  <c r="V5" i="14"/>
  <c r="V5" i="15"/>
  <c r="V5" i="13"/>
  <c r="V5" i="12"/>
  <c r="V5" i="11"/>
  <c r="V5" i="9"/>
  <c r="V5" i="10"/>
  <c r="V5" i="8"/>
  <c r="V5" i="7"/>
  <c r="V5" i="5"/>
  <c r="V5" i="6"/>
  <c r="U6" i="14"/>
  <c r="U6" i="15"/>
  <c r="U6" i="13"/>
  <c r="U6" i="12"/>
  <c r="U6" i="11"/>
  <c r="U6" i="10"/>
  <c r="U6" i="9"/>
  <c r="U6" i="8"/>
  <c r="U6" i="7"/>
  <c r="U6" i="5"/>
  <c r="U6" i="6"/>
  <c r="P29" i="7"/>
  <c r="P16" i="13"/>
  <c r="P11" i="11"/>
  <c r="P45" i="9"/>
  <c r="U56" i="1"/>
  <c r="U24" i="1"/>
  <c r="Z15" i="5"/>
  <c r="Z17" i="6" s="1"/>
  <c r="X5" i="4"/>
  <c r="V5" i="1"/>
  <c r="V18" i="1" s="1"/>
  <c r="V58" i="1" s="1"/>
  <c r="W6" i="4"/>
  <c r="U6" i="1"/>
  <c r="X59" i="2"/>
  <c r="X60" i="2"/>
  <c r="V55" i="1" s="1"/>
  <c r="X52" i="2"/>
  <c r="V14" i="1" s="1"/>
  <c r="V24" i="1" s="1"/>
  <c r="V35" i="1" s="1"/>
  <c r="X46" i="2"/>
  <c r="X54" i="2"/>
  <c r="V16" i="1" s="1"/>
  <c r="V56" i="1" s="1"/>
  <c r="X48" i="2"/>
  <c r="X39" i="2"/>
  <c r="X41" i="2"/>
  <c r="V37" i="8" s="1"/>
  <c r="X30" i="2"/>
  <c r="V13" i="7" s="1"/>
  <c r="X25" i="2"/>
  <c r="X28" i="2"/>
  <c r="X18" i="2"/>
  <c r="X6" i="2" s="1"/>
  <c r="V6" i="18" s="1"/>
  <c r="X23" i="2"/>
  <c r="Y5" i="2"/>
  <c r="W5" i="18" s="1"/>
  <c r="W57" i="18" s="1"/>
  <c r="W24" i="2"/>
  <c r="U11" i="5" s="1"/>
  <c r="U11" i="6" s="1"/>
  <c r="U11" i="7" s="1"/>
  <c r="S7" i="13" l="1"/>
  <c r="S7" i="18"/>
  <c r="T40" i="2"/>
  <c r="R13" i="12" s="1"/>
  <c r="R18" i="12" s="1"/>
  <c r="S43" i="2"/>
  <c r="T43" i="2" s="1"/>
  <c r="Q36" i="8"/>
  <c r="S7" i="14"/>
  <c r="Q115" i="8"/>
  <c r="Q135" i="8" s="1"/>
  <c r="Q13" i="12"/>
  <c r="Q18" i="12" s="1"/>
  <c r="J18" i="8"/>
  <c r="X35" i="17"/>
  <c r="Y32" i="17" s="1"/>
  <c r="U7" i="4"/>
  <c r="S7" i="8"/>
  <c r="S7" i="10"/>
  <c r="S7" i="15"/>
  <c r="S7" i="1"/>
  <c r="S7" i="7"/>
  <c r="S7" i="9"/>
  <c r="S7" i="12"/>
  <c r="S7" i="11"/>
  <c r="S7" i="5"/>
  <c r="R49" i="6"/>
  <c r="R48" i="6"/>
  <c r="R44" i="6"/>
  <c r="R50" i="6"/>
  <c r="R24" i="6"/>
  <c r="R46" i="6"/>
  <c r="R12" i="7"/>
  <c r="R47" i="6"/>
  <c r="R45" i="6"/>
  <c r="Q27" i="6"/>
  <c r="Q28" i="6" s="1"/>
  <c r="Q30" i="6" s="1"/>
  <c r="Q34" i="5"/>
  <c r="Q36" i="5" s="1"/>
  <c r="Q38" i="5" s="1"/>
  <c r="P100" i="8"/>
  <c r="P42" i="13"/>
  <c r="R15" i="7"/>
  <c r="U32" i="2"/>
  <c r="R36" i="9"/>
  <c r="T34" i="2"/>
  <c r="R14" i="6"/>
  <c r="S12" i="5"/>
  <c r="S12" i="6" s="1"/>
  <c r="S35" i="9"/>
  <c r="V29" i="2"/>
  <c r="R93" i="8"/>
  <c r="U47" i="2"/>
  <c r="P99" i="8"/>
  <c r="P134" i="8" s="1"/>
  <c r="P136" i="8" s="1"/>
  <c r="P138" i="8" s="1"/>
  <c r="P21" i="10" s="1"/>
  <c r="P40" i="11" s="1"/>
  <c r="P41" i="13"/>
  <c r="P41" i="8"/>
  <c r="Q51" i="6"/>
  <c r="Q19" i="7"/>
  <c r="Q39" i="7"/>
  <c r="R15" i="1"/>
  <c r="U53" i="2"/>
  <c r="T56" i="2"/>
  <c r="T57" i="2"/>
  <c r="T8" i="2" s="1"/>
  <c r="R39" i="13"/>
  <c r="U40" i="2"/>
  <c r="R36" i="8"/>
  <c r="R115" i="8"/>
  <c r="R135" i="8" s="1"/>
  <c r="S8" i="4"/>
  <c r="Q8" i="1"/>
  <c r="Q39" i="8"/>
  <c r="Q56" i="8"/>
  <c r="Q58" i="8" s="1"/>
  <c r="Q55" i="8"/>
  <c r="Q40" i="8"/>
  <c r="V6" i="14"/>
  <c r="V6" i="15"/>
  <c r="V6" i="13"/>
  <c r="V6" i="12"/>
  <c r="V6" i="10"/>
  <c r="V6" i="11"/>
  <c r="V6" i="9"/>
  <c r="V6" i="8"/>
  <c r="V6" i="6"/>
  <c r="V6" i="5"/>
  <c r="V6" i="7"/>
  <c r="V35" i="8"/>
  <c r="W5" i="15"/>
  <c r="W5" i="14"/>
  <c r="W5" i="13"/>
  <c r="W5" i="12"/>
  <c r="W5" i="11"/>
  <c r="W5" i="10"/>
  <c r="W5" i="9"/>
  <c r="W5" i="8"/>
  <c r="W5" i="7"/>
  <c r="W5" i="5"/>
  <c r="W5" i="6"/>
  <c r="P26" i="7"/>
  <c r="P14" i="13"/>
  <c r="P11" i="10"/>
  <c r="P79" i="6"/>
  <c r="P80" i="6" s="1"/>
  <c r="P81" i="6" s="1"/>
  <c r="P39" i="6"/>
  <c r="P25" i="7"/>
  <c r="V61" i="1"/>
  <c r="V70" i="1" s="1"/>
  <c r="U35" i="1"/>
  <c r="U61" i="1"/>
  <c r="AA15" i="5"/>
  <c r="AA17" i="6" s="1"/>
  <c r="X6" i="4"/>
  <c r="V6" i="1"/>
  <c r="Y5" i="4"/>
  <c r="W5" i="1"/>
  <c r="W18" i="1" s="1"/>
  <c r="W58" i="1" s="1"/>
  <c r="Y52" i="2"/>
  <c r="W14" i="1" s="1"/>
  <c r="Y46" i="2"/>
  <c r="Y59" i="2"/>
  <c r="Y54" i="2"/>
  <c r="W16" i="1" s="1"/>
  <c r="W56" i="1" s="1"/>
  <c r="Y48" i="2"/>
  <c r="Y60" i="2"/>
  <c r="W55" i="1" s="1"/>
  <c r="Y41" i="2"/>
  <c r="W37" i="8" s="1"/>
  <c r="Y25" i="2"/>
  <c r="Y28" i="2"/>
  <c r="Y18" i="2"/>
  <c r="Y6" i="2" s="1"/>
  <c r="W6" i="18" s="1"/>
  <c r="Y30" i="2"/>
  <c r="W13" i="7" s="1"/>
  <c r="Y39" i="2"/>
  <c r="Y23" i="2"/>
  <c r="Z5" i="2"/>
  <c r="X5" i="18" s="1"/>
  <c r="X57" i="18" s="1"/>
  <c r="X24" i="2"/>
  <c r="V11" i="5" s="1"/>
  <c r="V11" i="6" s="1"/>
  <c r="V11" i="7" s="1"/>
  <c r="Y34" i="17" l="1"/>
  <c r="Y33" i="17"/>
  <c r="Y35" i="17" s="1"/>
  <c r="U43" i="2"/>
  <c r="Q40" i="7"/>
  <c r="Q54" i="6"/>
  <c r="Q57" i="6"/>
  <c r="Q58" i="6"/>
  <c r="Q55" i="6"/>
  <c r="Q56" i="6"/>
  <c r="Q100" i="8"/>
  <c r="Q42" i="13"/>
  <c r="Q20" i="7"/>
  <c r="Q21" i="7" s="1"/>
  <c r="Q37" i="6"/>
  <c r="R56" i="8"/>
  <c r="R58" i="8" s="1"/>
  <c r="R40" i="8"/>
  <c r="R39" i="8"/>
  <c r="R55" i="8"/>
  <c r="T35" i="9"/>
  <c r="V19" i="2"/>
  <c r="V7" i="2" s="1"/>
  <c r="T7" i="18" s="1"/>
  <c r="T12" i="5"/>
  <c r="T12" i="6" s="1"/>
  <c r="W29" i="2"/>
  <c r="V40" i="2"/>
  <c r="S13" i="12"/>
  <c r="S18" i="12" s="1"/>
  <c r="S39" i="13"/>
  <c r="S115" i="8"/>
  <c r="S135" i="8" s="1"/>
  <c r="S36" i="8"/>
  <c r="Q41" i="8"/>
  <c r="Q41" i="13"/>
  <c r="Q99" i="8"/>
  <c r="Q134" i="8" s="1"/>
  <c r="Q136" i="8" s="1"/>
  <c r="P43" i="13"/>
  <c r="P101" i="8"/>
  <c r="P103" i="8" s="1"/>
  <c r="P108" i="8" s="1"/>
  <c r="P61" i="18" s="1"/>
  <c r="P43" i="8"/>
  <c r="P79" i="8"/>
  <c r="S50" i="6"/>
  <c r="S45" i="6"/>
  <c r="S47" i="6"/>
  <c r="S46" i="6"/>
  <c r="S44" i="6"/>
  <c r="S12" i="7"/>
  <c r="S49" i="6"/>
  <c r="S24" i="6"/>
  <c r="S48" i="6"/>
  <c r="Q16" i="13"/>
  <c r="Q29" i="7"/>
  <c r="Q11" i="11"/>
  <c r="Q45" i="9"/>
  <c r="R51" i="6"/>
  <c r="U34" i="2"/>
  <c r="S36" i="9"/>
  <c r="S15" i="7"/>
  <c r="S14" i="6"/>
  <c r="V32" i="2"/>
  <c r="T8" i="4"/>
  <c r="R8" i="1"/>
  <c r="R19" i="7"/>
  <c r="R39" i="7"/>
  <c r="R27" i="6"/>
  <c r="R28" i="6" s="1"/>
  <c r="R30" i="6" s="1"/>
  <c r="R34" i="5"/>
  <c r="R36" i="5" s="1"/>
  <c r="R38" i="5" s="1"/>
  <c r="R45" i="9" s="1"/>
  <c r="S15" i="1"/>
  <c r="U57" i="2"/>
  <c r="U8" i="2" s="1"/>
  <c r="U56" i="2"/>
  <c r="V53" i="2"/>
  <c r="S93" i="8"/>
  <c r="V47" i="2"/>
  <c r="W35" i="8"/>
  <c r="W6" i="15"/>
  <c r="W6" i="14"/>
  <c r="W6" i="11"/>
  <c r="W6" i="13"/>
  <c r="W6" i="12"/>
  <c r="W6" i="10"/>
  <c r="W6" i="9"/>
  <c r="W6" i="8"/>
  <c r="W6" i="7"/>
  <c r="W6" i="6"/>
  <c r="W6" i="5"/>
  <c r="P70" i="6"/>
  <c r="P13" i="13"/>
  <c r="P10" i="10"/>
  <c r="P63" i="6"/>
  <c r="X5" i="15"/>
  <c r="X5" i="14"/>
  <c r="X5" i="13"/>
  <c r="X5" i="12"/>
  <c r="X5" i="11"/>
  <c r="X5" i="10"/>
  <c r="X5" i="9"/>
  <c r="X5" i="8"/>
  <c r="X5" i="7"/>
  <c r="X5" i="6"/>
  <c r="X5" i="5"/>
  <c r="P29" i="14"/>
  <c r="Q78" i="6"/>
  <c r="P83" i="6"/>
  <c r="P88" i="6" s="1"/>
  <c r="W61" i="1"/>
  <c r="W70" i="1" s="1"/>
  <c r="U70" i="1"/>
  <c r="W24" i="1"/>
  <c r="AB15" i="5"/>
  <c r="AB17" i="6" s="1"/>
  <c r="Y6" i="4"/>
  <c r="W6" i="1"/>
  <c r="Z5" i="4"/>
  <c r="X5" i="1"/>
  <c r="X18" i="1" s="1"/>
  <c r="X58" i="1" s="1"/>
  <c r="Y24" i="2"/>
  <c r="W11" i="5" s="1"/>
  <c r="W11" i="6" s="1"/>
  <c r="W11" i="7" s="1"/>
  <c r="Z59" i="2"/>
  <c r="Z60" i="2"/>
  <c r="X55" i="1" s="1"/>
  <c r="Z52" i="2"/>
  <c r="X14" i="1" s="1"/>
  <c r="X24" i="1" s="1"/>
  <c r="X35" i="1" s="1"/>
  <c r="Z46" i="2"/>
  <c r="Z54" i="2"/>
  <c r="X16" i="1" s="1"/>
  <c r="X56" i="1" s="1"/>
  <c r="Z48" i="2"/>
  <c r="Z41" i="2"/>
  <c r="X37" i="8" s="1"/>
  <c r="Z30" i="2"/>
  <c r="X13" i="7" s="1"/>
  <c r="Z39" i="2"/>
  <c r="Z28" i="2"/>
  <c r="Z18" i="2"/>
  <c r="Z6" i="2" s="1"/>
  <c r="X6" i="18" s="1"/>
  <c r="Z25" i="2"/>
  <c r="AA5" i="2"/>
  <c r="Y5" i="18" s="1"/>
  <c r="Y57" i="18" s="1"/>
  <c r="Z23" i="2"/>
  <c r="V43" i="2" l="1"/>
  <c r="T7" i="12"/>
  <c r="T7" i="1"/>
  <c r="T7" i="9"/>
  <c r="T7" i="10"/>
  <c r="T7" i="8"/>
  <c r="T7" i="14"/>
  <c r="T7" i="6"/>
  <c r="T7" i="13"/>
  <c r="T7" i="7"/>
  <c r="T7" i="11"/>
  <c r="T7" i="5"/>
  <c r="V7" i="4"/>
  <c r="T7" i="15"/>
  <c r="R11" i="11"/>
  <c r="T93" i="8"/>
  <c r="W47" i="2"/>
  <c r="R56" i="6"/>
  <c r="R58" i="6"/>
  <c r="R54" i="6"/>
  <c r="R57" i="6"/>
  <c r="R55" i="6"/>
  <c r="R40" i="7"/>
  <c r="S39" i="8"/>
  <c r="S55" i="8"/>
  <c r="S56" i="8"/>
  <c r="S58" i="8" s="1"/>
  <c r="S40" i="8"/>
  <c r="R29" i="7"/>
  <c r="R37" i="6"/>
  <c r="R20" i="7"/>
  <c r="R21" i="7" s="1"/>
  <c r="Q43" i="13"/>
  <c r="Q101" i="8"/>
  <c r="R16" i="13"/>
  <c r="T15" i="1"/>
  <c r="V57" i="2"/>
  <c r="V8" i="2" s="1"/>
  <c r="W53" i="2"/>
  <c r="V56" i="2"/>
  <c r="S27" i="6"/>
  <c r="S28" i="6" s="1"/>
  <c r="S30" i="6" s="1"/>
  <c r="S34" i="5"/>
  <c r="S36" i="5" s="1"/>
  <c r="S38" i="5" s="1"/>
  <c r="P44" i="8"/>
  <c r="P48" i="8" s="1"/>
  <c r="Q43" i="8"/>
  <c r="R99" i="8"/>
  <c r="R134" i="8" s="1"/>
  <c r="R136" i="8" s="1"/>
  <c r="R41" i="8"/>
  <c r="R41" i="13"/>
  <c r="S19" i="7"/>
  <c r="S39" i="7"/>
  <c r="P20" i="10"/>
  <c r="H14" i="16"/>
  <c r="P30" i="11"/>
  <c r="R42" i="13"/>
  <c r="R100" i="8"/>
  <c r="U8" i="4"/>
  <c r="S8" i="1"/>
  <c r="S51" i="6"/>
  <c r="T13" i="12"/>
  <c r="T18" i="12" s="1"/>
  <c r="T115" i="8"/>
  <c r="T135" i="8" s="1"/>
  <c r="T36" i="8"/>
  <c r="W40" i="2"/>
  <c r="W43" i="2" s="1"/>
  <c r="T39" i="13"/>
  <c r="X29" i="2"/>
  <c r="U35" i="9"/>
  <c r="U12" i="5"/>
  <c r="U12" i="6" s="1"/>
  <c r="W19" i="2"/>
  <c r="W7" i="2" s="1"/>
  <c r="U7" i="18" s="1"/>
  <c r="Q59" i="6"/>
  <c r="Q61" i="6" s="1"/>
  <c r="T15" i="7"/>
  <c r="T14" i="6"/>
  <c r="T36" i="9"/>
  <c r="V34" i="2"/>
  <c r="W32" i="2"/>
  <c r="T50" i="6"/>
  <c r="T12" i="7"/>
  <c r="T44" i="6"/>
  <c r="T24" i="6"/>
  <c r="T45" i="6"/>
  <c r="T46" i="6"/>
  <c r="T48" i="6"/>
  <c r="T49" i="6"/>
  <c r="T47" i="6"/>
  <c r="Q38" i="6"/>
  <c r="Q41" i="7"/>
  <c r="P13" i="10"/>
  <c r="P71" i="6"/>
  <c r="P72" i="6" s="1"/>
  <c r="X6" i="15"/>
  <c r="X6" i="13"/>
  <c r="X6" i="14"/>
  <c r="X6" i="11"/>
  <c r="X6" i="10"/>
  <c r="X6" i="12"/>
  <c r="X6" i="9"/>
  <c r="X6" i="8"/>
  <c r="X6" i="7"/>
  <c r="X6" i="6"/>
  <c r="X6" i="5"/>
  <c r="X35" i="8"/>
  <c r="Y5" i="14"/>
  <c r="Y5" i="15"/>
  <c r="Y5" i="13"/>
  <c r="Y5" i="11"/>
  <c r="Y5" i="10"/>
  <c r="Y5" i="12"/>
  <c r="Y5" i="8"/>
  <c r="Y5" i="9"/>
  <c r="Y5" i="6"/>
  <c r="Y5" i="7"/>
  <c r="Y5" i="5"/>
  <c r="X61" i="1"/>
  <c r="X70" i="1" s="1"/>
  <c r="W35" i="1"/>
  <c r="AC15" i="5"/>
  <c r="AC17" i="6" s="1"/>
  <c r="AA5" i="4"/>
  <c r="Y5" i="1"/>
  <c r="Y18" i="1" s="1"/>
  <c r="Y58" i="1" s="1"/>
  <c r="Z6" i="4"/>
  <c r="X6" i="1"/>
  <c r="Z24" i="2"/>
  <c r="X11" i="5" s="1"/>
  <c r="X11" i="6" s="1"/>
  <c r="X11" i="7" s="1"/>
  <c r="AA59" i="2"/>
  <c r="AA54" i="2"/>
  <c r="Y16" i="1" s="1"/>
  <c r="Y56" i="1" s="1"/>
  <c r="AA48" i="2"/>
  <c r="AA60" i="2"/>
  <c r="Y55" i="1" s="1"/>
  <c r="AA41" i="2"/>
  <c r="Y37" i="8" s="1"/>
  <c r="AA30" i="2"/>
  <c r="Y13" i="7" s="1"/>
  <c r="AA46" i="2"/>
  <c r="AA52" i="2"/>
  <c r="Y14" i="1" s="1"/>
  <c r="AA39" i="2"/>
  <c r="AA23" i="2"/>
  <c r="AA28" i="2"/>
  <c r="AA25" i="2"/>
  <c r="AB5" i="2"/>
  <c r="Z5" i="18" s="1"/>
  <c r="Z57" i="18" s="1"/>
  <c r="AA18" i="2"/>
  <c r="AA6" i="2" s="1"/>
  <c r="Y6" i="18" s="1"/>
  <c r="R43" i="8" l="1"/>
  <c r="Q44" i="8"/>
  <c r="Q48" i="8" s="1"/>
  <c r="U50" i="6"/>
  <c r="U46" i="6"/>
  <c r="U47" i="6"/>
  <c r="U12" i="7"/>
  <c r="U45" i="6"/>
  <c r="U44" i="6"/>
  <c r="U24" i="6"/>
  <c r="U49" i="6"/>
  <c r="U48" i="6"/>
  <c r="S99" i="8"/>
  <c r="S134" i="8" s="1"/>
  <c r="S136" i="8" s="1"/>
  <c r="S41" i="8"/>
  <c r="S41" i="13"/>
  <c r="U7" i="14"/>
  <c r="U7" i="7"/>
  <c r="U7" i="13"/>
  <c r="U7" i="6"/>
  <c r="U7" i="5"/>
  <c r="U7" i="12"/>
  <c r="U7" i="15"/>
  <c r="U7" i="11"/>
  <c r="U7" i="9"/>
  <c r="W7" i="4"/>
  <c r="U7" i="10"/>
  <c r="U7" i="1"/>
  <c r="U7" i="8"/>
  <c r="U36" i="9"/>
  <c r="W34" i="2"/>
  <c r="U14" i="6"/>
  <c r="X32" i="2"/>
  <c r="U15" i="7"/>
  <c r="S29" i="7"/>
  <c r="S45" i="9"/>
  <c r="S11" i="11"/>
  <c r="S16" i="13"/>
  <c r="R41" i="7"/>
  <c r="R38" i="6"/>
  <c r="T27" i="6"/>
  <c r="T28" i="6" s="1"/>
  <c r="T30" i="6" s="1"/>
  <c r="T34" i="5"/>
  <c r="T36" i="5" s="1"/>
  <c r="T38" i="5" s="1"/>
  <c r="V35" i="9"/>
  <c r="X19" i="2"/>
  <c r="X7" i="2" s="1"/>
  <c r="V7" i="18" s="1"/>
  <c r="V12" i="5"/>
  <c r="V12" i="6" s="1"/>
  <c r="Y29" i="2"/>
  <c r="S37" i="6"/>
  <c r="S20" i="7"/>
  <c r="S21" i="7" s="1"/>
  <c r="S40" i="7"/>
  <c r="S57" i="6"/>
  <c r="S58" i="6"/>
  <c r="S55" i="6"/>
  <c r="S56" i="6"/>
  <c r="S54" i="6"/>
  <c r="T39" i="7"/>
  <c r="T19" i="7"/>
  <c r="U93" i="8"/>
  <c r="X47" i="2"/>
  <c r="R59" i="6"/>
  <c r="R61" i="6" s="1"/>
  <c r="U15" i="1"/>
  <c r="W56" i="2"/>
  <c r="W57" i="2"/>
  <c r="W8" i="2" s="1"/>
  <c r="X53" i="2"/>
  <c r="X40" i="2"/>
  <c r="U39" i="13"/>
  <c r="U13" i="12"/>
  <c r="U18" i="12" s="1"/>
  <c r="U115" i="8"/>
  <c r="U135" i="8" s="1"/>
  <c r="U36" i="8"/>
  <c r="R101" i="8"/>
  <c r="R43" i="13"/>
  <c r="V8" i="4"/>
  <c r="T8" i="1"/>
  <c r="S42" i="13"/>
  <c r="S100" i="8"/>
  <c r="Q25" i="7"/>
  <c r="Q39" i="6"/>
  <c r="T51" i="6"/>
  <c r="Q79" i="6"/>
  <c r="Q26" i="7"/>
  <c r="Q11" i="10"/>
  <c r="Q14" i="13"/>
  <c r="T40" i="8"/>
  <c r="T55" i="8"/>
  <c r="T39" i="8"/>
  <c r="T56" i="8"/>
  <c r="T58" i="8" s="1"/>
  <c r="P10" i="11"/>
  <c r="P14" i="10"/>
  <c r="Y35" i="8"/>
  <c r="Y6" i="13"/>
  <c r="Y6" i="14"/>
  <c r="Y6" i="15"/>
  <c r="Y6" i="12"/>
  <c r="Y6" i="11"/>
  <c r="Y6" i="9"/>
  <c r="Y6" i="10"/>
  <c r="Y6" i="8"/>
  <c r="Y6" i="6"/>
  <c r="Y6" i="5"/>
  <c r="Y6" i="7"/>
  <c r="Z5" i="15"/>
  <c r="Z5" i="11"/>
  <c r="Z5" i="13"/>
  <c r="Z5" i="12"/>
  <c r="Z5" i="14"/>
  <c r="Z5" i="10"/>
  <c r="Z5" i="9"/>
  <c r="Z5" i="8"/>
  <c r="Z5" i="7"/>
  <c r="Z5" i="6"/>
  <c r="Z5" i="5"/>
  <c r="P18" i="14"/>
  <c r="P74" i="6"/>
  <c r="P87" i="6" s="1"/>
  <c r="P89" i="6" s="1"/>
  <c r="Q69" i="6"/>
  <c r="Y61" i="1"/>
  <c r="Y70" i="1" s="1"/>
  <c r="Y24" i="1"/>
  <c r="AD15" i="5"/>
  <c r="AD17" i="6" s="1"/>
  <c r="AA6" i="4"/>
  <c r="Y6" i="1"/>
  <c r="AB5" i="4"/>
  <c r="Z5" i="1"/>
  <c r="Z18" i="1" s="1"/>
  <c r="Z58" i="1" s="1"/>
  <c r="AA24" i="2"/>
  <c r="Y11" i="5" s="1"/>
  <c r="Y11" i="6" s="1"/>
  <c r="Y11" i="7" s="1"/>
  <c r="AB59" i="2"/>
  <c r="AB54" i="2"/>
  <c r="Z16" i="1" s="1"/>
  <c r="Z56" i="1" s="1"/>
  <c r="AB60" i="2"/>
  <c r="Z55" i="1" s="1"/>
  <c r="AB48" i="2"/>
  <c r="AB52" i="2"/>
  <c r="Z14" i="1" s="1"/>
  <c r="Z24" i="1" s="1"/>
  <c r="Z35" i="1" s="1"/>
  <c r="AB46" i="2"/>
  <c r="AB39" i="2"/>
  <c r="AB23" i="2"/>
  <c r="AB30" i="2"/>
  <c r="Z13" i="7" s="1"/>
  <c r="AB18" i="2"/>
  <c r="AB6" i="2" s="1"/>
  <c r="Z6" i="18" s="1"/>
  <c r="AB28" i="2"/>
  <c r="AB41" i="2"/>
  <c r="Z37" i="8" s="1"/>
  <c r="AB25" i="2"/>
  <c r="AC5" i="2"/>
  <c r="AA5" i="18" s="1"/>
  <c r="AA57" i="18" s="1"/>
  <c r="S59" i="6" l="1"/>
  <c r="S61" i="6" s="1"/>
  <c r="Y32" i="2"/>
  <c r="X34" i="2"/>
  <c r="V36" i="9"/>
  <c r="V15" i="7"/>
  <c r="V14" i="6"/>
  <c r="Q80" i="6"/>
  <c r="Q81" i="6" s="1"/>
  <c r="V15" i="1"/>
  <c r="Y53" i="2"/>
  <c r="X56" i="2"/>
  <c r="X57" i="2"/>
  <c r="X8" i="2" s="1"/>
  <c r="U19" i="7"/>
  <c r="U39" i="7"/>
  <c r="W8" i="4"/>
  <c r="U8" i="1"/>
  <c r="T20" i="7"/>
  <c r="T21" i="7" s="1"/>
  <c r="T37" i="6"/>
  <c r="R25" i="7"/>
  <c r="R39" i="6"/>
  <c r="U27" i="6"/>
  <c r="U28" i="6" s="1"/>
  <c r="U30" i="6" s="1"/>
  <c r="U34" i="5"/>
  <c r="U36" i="5" s="1"/>
  <c r="U38" i="5" s="1"/>
  <c r="U11" i="11" s="1"/>
  <c r="S43" i="13"/>
  <c r="S101" i="8"/>
  <c r="T41" i="13"/>
  <c r="T99" i="8"/>
  <c r="T134" i="8" s="1"/>
  <c r="T136" i="8" s="1"/>
  <c r="T41" i="8"/>
  <c r="Q13" i="13"/>
  <c r="Q70" i="6"/>
  <c r="Q71" i="6" s="1"/>
  <c r="Q72" i="6" s="1"/>
  <c r="Q10" i="10"/>
  <c r="Q13" i="10" s="1"/>
  <c r="Q63" i="6"/>
  <c r="U56" i="8"/>
  <c r="U58" i="8" s="1"/>
  <c r="U55" i="8"/>
  <c r="U40" i="8"/>
  <c r="U39" i="8"/>
  <c r="W12" i="5"/>
  <c r="W12" i="6" s="1"/>
  <c r="Y19" i="2"/>
  <c r="Y7" i="2" s="1"/>
  <c r="W7" i="18" s="1"/>
  <c r="W35" i="9"/>
  <c r="Z29" i="2"/>
  <c r="V12" i="7"/>
  <c r="V45" i="6"/>
  <c r="V24" i="6"/>
  <c r="V47" i="6"/>
  <c r="V44" i="6"/>
  <c r="V50" i="6"/>
  <c r="V48" i="6"/>
  <c r="V46" i="6"/>
  <c r="V49" i="6"/>
  <c r="S38" i="6"/>
  <c r="S41" i="7"/>
  <c r="T42" i="13"/>
  <c r="T100" i="8"/>
  <c r="V7" i="12"/>
  <c r="V7" i="9"/>
  <c r="V7" i="8"/>
  <c r="V7" i="1"/>
  <c r="V7" i="10"/>
  <c r="V7" i="14"/>
  <c r="V7" i="6"/>
  <c r="V7" i="15"/>
  <c r="V7" i="7"/>
  <c r="V7" i="13"/>
  <c r="V7" i="5"/>
  <c r="X7" i="4"/>
  <c r="V7" i="11"/>
  <c r="T56" i="6"/>
  <c r="T54" i="6"/>
  <c r="T57" i="6"/>
  <c r="T58" i="6"/>
  <c r="T55" i="6"/>
  <c r="T40" i="7"/>
  <c r="R26" i="7"/>
  <c r="R14" i="13"/>
  <c r="R11" i="10"/>
  <c r="R79" i="6"/>
  <c r="S43" i="8"/>
  <c r="R44" i="8"/>
  <c r="R48" i="8" s="1"/>
  <c r="V36" i="8"/>
  <c r="V115" i="8"/>
  <c r="V135" i="8" s="1"/>
  <c r="V13" i="12"/>
  <c r="V18" i="12" s="1"/>
  <c r="Y40" i="2"/>
  <c r="V39" i="13"/>
  <c r="V93" i="8"/>
  <c r="Y47" i="2"/>
  <c r="T29" i="7"/>
  <c r="T16" i="13"/>
  <c r="T11" i="11"/>
  <c r="T45" i="9"/>
  <c r="U51" i="6"/>
  <c r="X43" i="2"/>
  <c r="AA5" i="15"/>
  <c r="AA5" i="13"/>
  <c r="AA5" i="14"/>
  <c r="AA5" i="11"/>
  <c r="AA5" i="12"/>
  <c r="AA5" i="10"/>
  <c r="AA5" i="9"/>
  <c r="AA5" i="8"/>
  <c r="AA5" i="7"/>
  <c r="AA5" i="6"/>
  <c r="AA5" i="5"/>
  <c r="Z6" i="14"/>
  <c r="Z6" i="13"/>
  <c r="Z6" i="15"/>
  <c r="Z6" i="12"/>
  <c r="Z6" i="11"/>
  <c r="Z6" i="9"/>
  <c r="Z6" i="10"/>
  <c r="Z6" i="8"/>
  <c r="Z6" i="7"/>
  <c r="Z6" i="5"/>
  <c r="Z6" i="6"/>
  <c r="Z35" i="8"/>
  <c r="P13" i="11"/>
  <c r="P18" i="13" s="1"/>
  <c r="P30" i="7"/>
  <c r="Z61" i="1"/>
  <c r="Z70" i="1" s="1"/>
  <c r="Y35" i="1"/>
  <c r="AE15" i="5"/>
  <c r="AE17" i="6" s="1"/>
  <c r="AB6" i="4"/>
  <c r="Z6" i="1"/>
  <c r="AC5" i="4"/>
  <c r="AA5" i="1"/>
  <c r="AA18" i="1" s="1"/>
  <c r="AA58" i="1" s="1"/>
  <c r="AC60" i="2"/>
  <c r="AA55" i="1" s="1"/>
  <c r="AC59" i="2"/>
  <c r="AC48" i="2"/>
  <c r="AC54" i="2"/>
  <c r="AA16" i="1" s="1"/>
  <c r="AA56" i="1" s="1"/>
  <c r="AC52" i="2"/>
  <c r="AA14" i="1" s="1"/>
  <c r="AA24" i="1" s="1"/>
  <c r="AA35" i="1" s="1"/>
  <c r="AC46" i="2"/>
  <c r="AC39" i="2"/>
  <c r="AC41" i="2"/>
  <c r="AA37" i="8" s="1"/>
  <c r="AC23" i="2"/>
  <c r="AC30" i="2"/>
  <c r="AA13" i="7" s="1"/>
  <c r="AC18" i="2"/>
  <c r="AC6" i="2" s="1"/>
  <c r="AA6" i="18" s="1"/>
  <c r="AC28" i="2"/>
  <c r="AC25" i="2"/>
  <c r="AD5" i="2"/>
  <c r="AB5" i="18" s="1"/>
  <c r="AB57" i="18" s="1"/>
  <c r="AB24" i="2"/>
  <c r="Z11" i="5" s="1"/>
  <c r="Z11" i="6" s="1"/>
  <c r="Z11" i="7" s="1"/>
  <c r="U29" i="7" l="1"/>
  <c r="U45" i="9"/>
  <c r="U16" i="13"/>
  <c r="S26" i="7"/>
  <c r="S11" i="10"/>
  <c r="S79" i="6"/>
  <c r="S14" i="13"/>
  <c r="Q29" i="14"/>
  <c r="Q83" i="6"/>
  <c r="Q88" i="6" s="1"/>
  <c r="R78" i="6"/>
  <c r="R80" i="6" s="1"/>
  <c r="R81" i="6" s="1"/>
  <c r="R29" i="14" s="1"/>
  <c r="Q18" i="14"/>
  <c r="R69" i="6"/>
  <c r="Q74" i="6"/>
  <c r="Q87" i="6" s="1"/>
  <c r="Q14" i="10"/>
  <c r="Q10" i="11"/>
  <c r="V55" i="8"/>
  <c r="V40" i="8"/>
  <c r="V56" i="8"/>
  <c r="V58" i="8" s="1"/>
  <c r="V39" i="8"/>
  <c r="W93" i="8"/>
  <c r="Z47" i="2"/>
  <c r="S44" i="8"/>
  <c r="S48" i="8" s="1"/>
  <c r="T43" i="8"/>
  <c r="W7" i="13"/>
  <c r="W7" i="11"/>
  <c r="W7" i="7"/>
  <c r="W7" i="10"/>
  <c r="W7" i="9"/>
  <c r="W7" i="8"/>
  <c r="W7" i="6"/>
  <c r="W7" i="12"/>
  <c r="W7" i="1"/>
  <c r="W7" i="15"/>
  <c r="W7" i="14"/>
  <c r="W7" i="5"/>
  <c r="Y7" i="4"/>
  <c r="U54" i="6"/>
  <c r="U57" i="6"/>
  <c r="U58" i="6"/>
  <c r="U55" i="6"/>
  <c r="U40" i="7"/>
  <c r="U56" i="6"/>
  <c r="V51" i="6"/>
  <c r="W49" i="6"/>
  <c r="W48" i="6"/>
  <c r="W12" i="7"/>
  <c r="W45" i="6"/>
  <c r="W24" i="6"/>
  <c r="W47" i="6"/>
  <c r="W46" i="6"/>
  <c r="W44" i="6"/>
  <c r="W50" i="6"/>
  <c r="U20" i="7"/>
  <c r="U21" i="7" s="1"/>
  <c r="U37" i="6"/>
  <c r="T59" i="6"/>
  <c r="T61" i="6" s="1"/>
  <c r="U41" i="13"/>
  <c r="U41" i="8"/>
  <c r="U99" i="8"/>
  <c r="U134" i="8" s="1"/>
  <c r="U136" i="8" s="1"/>
  <c r="T43" i="13"/>
  <c r="T101" i="8"/>
  <c r="R13" i="13"/>
  <c r="R70" i="6"/>
  <c r="R10" i="10"/>
  <c r="R13" i="10" s="1"/>
  <c r="R14" i="10" s="1"/>
  <c r="R63" i="6"/>
  <c r="T38" i="6"/>
  <c r="T41" i="7"/>
  <c r="Y43" i="2"/>
  <c r="W39" i="13"/>
  <c r="W13" i="12"/>
  <c r="W18" i="12" s="1"/>
  <c r="W115" i="8"/>
  <c r="W135" i="8" s="1"/>
  <c r="W36" i="8"/>
  <c r="Z40" i="2"/>
  <c r="S25" i="7"/>
  <c r="S39" i="6"/>
  <c r="U42" i="13"/>
  <c r="U100" i="8"/>
  <c r="X8" i="4"/>
  <c r="V8" i="1"/>
  <c r="AA29" i="2"/>
  <c r="Z19" i="2"/>
  <c r="Z7" i="2" s="1"/>
  <c r="X7" i="18" s="1"/>
  <c r="X35" i="9"/>
  <c r="X12" i="5"/>
  <c r="X12" i="6" s="1"/>
  <c r="V27" i="6"/>
  <c r="V28" i="6" s="1"/>
  <c r="V30" i="6" s="1"/>
  <c r="V34" i="5"/>
  <c r="V36" i="5" s="1"/>
  <c r="V38" i="5" s="1"/>
  <c r="V19" i="7"/>
  <c r="V39" i="7"/>
  <c r="W15" i="1"/>
  <c r="Y57" i="2"/>
  <c r="Y8" i="2" s="1"/>
  <c r="Y56" i="2"/>
  <c r="Z53" i="2"/>
  <c r="W36" i="9"/>
  <c r="Y34" i="2"/>
  <c r="W15" i="7"/>
  <c r="Z32" i="2"/>
  <c r="W14" i="6"/>
  <c r="AA6" i="14"/>
  <c r="AA6" i="15"/>
  <c r="AA6" i="13"/>
  <c r="AA6" i="12"/>
  <c r="AA6" i="11"/>
  <c r="AA6" i="10"/>
  <c r="AA6" i="9"/>
  <c r="AA6" i="8"/>
  <c r="AA6" i="6"/>
  <c r="AA6" i="7"/>
  <c r="AA6" i="5"/>
  <c r="AA35" i="8"/>
  <c r="AB5" i="13"/>
  <c r="AB5" i="15"/>
  <c r="AB5" i="14"/>
  <c r="AB5" i="12"/>
  <c r="AB5" i="11"/>
  <c r="AB5" i="9"/>
  <c r="AB5" i="10"/>
  <c r="AB5" i="8"/>
  <c r="AB5" i="6"/>
  <c r="AB5" i="7"/>
  <c r="AB5" i="5"/>
  <c r="AA61" i="1"/>
  <c r="AA70" i="1" s="1"/>
  <c r="AF15" i="5"/>
  <c r="AF17" i="6" s="1"/>
  <c r="AD5" i="4"/>
  <c r="AB5" i="1"/>
  <c r="AB18" i="1" s="1"/>
  <c r="AB58" i="1" s="1"/>
  <c r="AC6" i="4"/>
  <c r="AA6" i="1"/>
  <c r="AD60" i="2"/>
  <c r="AB55" i="1" s="1"/>
  <c r="AD59" i="2"/>
  <c r="AD54" i="2"/>
  <c r="AB16" i="1" s="1"/>
  <c r="AB56" i="1" s="1"/>
  <c r="AD52" i="2"/>
  <c r="AB14" i="1" s="1"/>
  <c r="AB24" i="1" s="1"/>
  <c r="AB35" i="1" s="1"/>
  <c r="AD46" i="2"/>
  <c r="AD48" i="2"/>
  <c r="AD39" i="2"/>
  <c r="AD41" i="2"/>
  <c r="AB37" i="8" s="1"/>
  <c r="AD23" i="2"/>
  <c r="AD25" i="2"/>
  <c r="AD28" i="2"/>
  <c r="AD30" i="2"/>
  <c r="AB13" i="7" s="1"/>
  <c r="AD18" i="2"/>
  <c r="AD6" i="2" s="1"/>
  <c r="AB6" i="18" s="1"/>
  <c r="AE5" i="2"/>
  <c r="AC5" i="18" s="1"/>
  <c r="AC57" i="18" s="1"/>
  <c r="AC24" i="2"/>
  <c r="AA11" i="5" s="1"/>
  <c r="AA11" i="6" s="1"/>
  <c r="AA11" i="7" s="1"/>
  <c r="R71" i="6" l="1"/>
  <c r="R72" i="6" s="1"/>
  <c r="R18" i="14" s="1"/>
  <c r="R10" i="11"/>
  <c r="Q89" i="6"/>
  <c r="R83" i="6"/>
  <c r="R88" i="6" s="1"/>
  <c r="S78" i="6"/>
  <c r="S80" i="6" s="1"/>
  <c r="S81" i="6" s="1"/>
  <c r="T78" i="6" s="1"/>
  <c r="V37" i="6"/>
  <c r="V20" i="7"/>
  <c r="V21" i="7" s="1"/>
  <c r="W27" i="6"/>
  <c r="W28" i="6" s="1"/>
  <c r="W30" i="6" s="1"/>
  <c r="W34" i="5"/>
  <c r="W36" i="5" s="1"/>
  <c r="W38" i="5" s="1"/>
  <c r="W29" i="7" s="1"/>
  <c r="V29" i="7"/>
  <c r="V16" i="13"/>
  <c r="V45" i="9"/>
  <c r="V11" i="11"/>
  <c r="U59" i="6"/>
  <c r="U61" i="6" s="1"/>
  <c r="X93" i="8"/>
  <c r="AA47" i="2"/>
  <c r="T11" i="10"/>
  <c r="T26" i="7"/>
  <c r="T79" i="6"/>
  <c r="T14" i="13"/>
  <c r="V57" i="6"/>
  <c r="V54" i="6"/>
  <c r="V58" i="6"/>
  <c r="V40" i="7"/>
  <c r="V56" i="6"/>
  <c r="V55" i="6"/>
  <c r="AA19" i="2"/>
  <c r="AA7" i="2" s="1"/>
  <c r="Y7" i="18" s="1"/>
  <c r="Y35" i="9"/>
  <c r="Y12" i="5"/>
  <c r="Y12" i="6" s="1"/>
  <c r="AB29" i="2"/>
  <c r="W40" i="8"/>
  <c r="W56" i="8"/>
  <c r="W58" i="8" s="1"/>
  <c r="W39" i="8"/>
  <c r="W55" i="8"/>
  <c r="T44" i="8"/>
  <c r="T48" i="8" s="1"/>
  <c r="U43" i="8"/>
  <c r="S69" i="6"/>
  <c r="X15" i="1"/>
  <c r="Z57" i="2"/>
  <c r="Z8" i="2" s="1"/>
  <c r="Z56" i="2"/>
  <c r="AA53" i="2"/>
  <c r="W51" i="6"/>
  <c r="V41" i="13"/>
  <c r="V41" i="8"/>
  <c r="V99" i="8"/>
  <c r="V134" i="8" s="1"/>
  <c r="V136" i="8" s="1"/>
  <c r="X46" i="6"/>
  <c r="X48" i="6"/>
  <c r="X49" i="6"/>
  <c r="X47" i="6"/>
  <c r="X44" i="6"/>
  <c r="X12" i="7"/>
  <c r="X45" i="6"/>
  <c r="X50" i="6"/>
  <c r="X24" i="6"/>
  <c r="S70" i="6"/>
  <c r="S13" i="13"/>
  <c r="S10" i="10"/>
  <c r="S13" i="10" s="1"/>
  <c r="S63" i="6"/>
  <c r="T25" i="7"/>
  <c r="T39" i="6"/>
  <c r="Z34" i="2"/>
  <c r="AA32" i="2"/>
  <c r="X36" i="9"/>
  <c r="X15" i="7"/>
  <c r="X14" i="6"/>
  <c r="W19" i="7"/>
  <c r="W39" i="7"/>
  <c r="W8" i="1"/>
  <c r="Y8" i="4"/>
  <c r="U101" i="8"/>
  <c r="U43" i="13"/>
  <c r="U41" i="7"/>
  <c r="U38" i="6"/>
  <c r="V42" i="13"/>
  <c r="V100" i="8"/>
  <c r="X7" i="14"/>
  <c r="X7" i="7"/>
  <c r="X7" i="1"/>
  <c r="X7" i="15"/>
  <c r="X7" i="6"/>
  <c r="X7" i="8"/>
  <c r="X7" i="13"/>
  <c r="X7" i="5"/>
  <c r="Z7" i="4"/>
  <c r="X7" i="12"/>
  <c r="X7" i="11"/>
  <c r="X7" i="10"/>
  <c r="X7" i="9"/>
  <c r="Z43" i="2"/>
  <c r="X13" i="12"/>
  <c r="X18" i="12" s="1"/>
  <c r="AA40" i="2"/>
  <c r="X36" i="8"/>
  <c r="X115" i="8"/>
  <c r="X135" i="8" s="1"/>
  <c r="X39" i="13"/>
  <c r="AB6" i="15"/>
  <c r="AB6" i="14"/>
  <c r="AB6" i="12"/>
  <c r="AB6" i="11"/>
  <c r="AB6" i="10"/>
  <c r="AB6" i="13"/>
  <c r="AB6" i="9"/>
  <c r="AB6" i="8"/>
  <c r="AB6" i="6"/>
  <c r="AB6" i="7"/>
  <c r="AB6" i="5"/>
  <c r="AB35" i="8"/>
  <c r="AC5" i="14"/>
  <c r="AC5" i="13"/>
  <c r="AC5" i="15"/>
  <c r="AC5" i="12"/>
  <c r="AC5" i="11"/>
  <c r="AC5" i="9"/>
  <c r="AC5" i="10"/>
  <c r="AC5" i="8"/>
  <c r="AC5" i="6"/>
  <c r="AC5" i="7"/>
  <c r="AC5" i="5"/>
  <c r="AB61" i="1"/>
  <c r="AB70" i="1" s="1"/>
  <c r="AG15" i="5"/>
  <c r="AG17" i="6" s="1"/>
  <c r="AE5" i="4"/>
  <c r="AC5" i="1"/>
  <c r="AC18" i="1" s="1"/>
  <c r="AC58" i="1" s="1"/>
  <c r="AD6" i="4"/>
  <c r="AB6" i="1"/>
  <c r="AD24" i="2"/>
  <c r="AB11" i="5" s="1"/>
  <c r="AB11" i="6" s="1"/>
  <c r="AB11" i="7" s="1"/>
  <c r="AE60" i="2"/>
  <c r="AC55" i="1" s="1"/>
  <c r="AE54" i="2"/>
  <c r="AC16" i="1" s="1"/>
  <c r="AC56" i="1" s="1"/>
  <c r="AE59" i="2"/>
  <c r="AE52" i="2"/>
  <c r="AC14" i="1" s="1"/>
  <c r="AC24" i="1" s="1"/>
  <c r="AC35" i="1" s="1"/>
  <c r="AE48" i="2"/>
  <c r="AE46" i="2"/>
  <c r="AE39" i="2"/>
  <c r="AE41" i="2"/>
  <c r="AC37" i="8" s="1"/>
  <c r="AE25" i="2"/>
  <c r="AE30" i="2"/>
  <c r="AC13" i="7" s="1"/>
  <c r="AE28" i="2"/>
  <c r="AE18" i="2"/>
  <c r="AE6" i="2" s="1"/>
  <c r="AC6" i="18" s="1"/>
  <c r="AF5" i="2"/>
  <c r="AD5" i="18" s="1"/>
  <c r="AD57" i="18" s="1"/>
  <c r="AE23" i="2"/>
  <c r="R74" i="6" l="1"/>
  <c r="R87" i="6" s="1"/>
  <c r="R89" i="6" s="1"/>
  <c r="T80" i="6"/>
  <c r="T81" i="6" s="1"/>
  <c r="T29" i="14" s="1"/>
  <c r="S71" i="6"/>
  <c r="S72" i="6" s="1"/>
  <c r="S18" i="14" s="1"/>
  <c r="W16" i="13"/>
  <c r="S29" i="14"/>
  <c r="S83" i="6"/>
  <c r="S88" i="6" s="1"/>
  <c r="W11" i="11"/>
  <c r="W45" i="9"/>
  <c r="Q13" i="11"/>
  <c r="Q18" i="13" s="1"/>
  <c r="Q30" i="7"/>
  <c r="X39" i="8"/>
  <c r="X40" i="8"/>
  <c r="X56" i="8"/>
  <c r="X58" i="8" s="1"/>
  <c r="X55" i="8"/>
  <c r="V101" i="8"/>
  <c r="V43" i="13"/>
  <c r="U44" i="8"/>
  <c r="U48" i="8" s="1"/>
  <c r="V43" i="8"/>
  <c r="AA43" i="2"/>
  <c r="Y13" i="12"/>
  <c r="Y18" i="12" s="1"/>
  <c r="Y39" i="13"/>
  <c r="Y115" i="8"/>
  <c r="Y135" i="8" s="1"/>
  <c r="Y36" i="8"/>
  <c r="AB40" i="2"/>
  <c r="W37" i="6"/>
  <c r="W20" i="7"/>
  <c r="W21" i="7" s="1"/>
  <c r="X39" i="7"/>
  <c r="X19" i="7"/>
  <c r="Y7" i="8"/>
  <c r="AA7" i="4"/>
  <c r="Y7" i="14"/>
  <c r="Y7" i="6"/>
  <c r="Y7" i="13"/>
  <c r="Y7" i="1"/>
  <c r="Y7" i="10"/>
  <c r="Y7" i="15"/>
  <c r="Y7" i="7"/>
  <c r="Y7" i="12"/>
  <c r="Y7" i="5"/>
  <c r="Y7" i="11"/>
  <c r="Y7" i="9"/>
  <c r="X51" i="6"/>
  <c r="S10" i="11"/>
  <c r="S14" i="10"/>
  <c r="Y15" i="1"/>
  <c r="AA56" i="2"/>
  <c r="AA57" i="2"/>
  <c r="AA8" i="2" s="1"/>
  <c r="AB53" i="2"/>
  <c r="W41" i="13"/>
  <c r="W99" i="8"/>
  <c r="W134" i="8" s="1"/>
  <c r="W136" i="8" s="1"/>
  <c r="W41" i="8"/>
  <c r="U25" i="7"/>
  <c r="U39" i="6"/>
  <c r="V41" i="7"/>
  <c r="V38" i="6"/>
  <c r="Z8" i="4"/>
  <c r="X8" i="1"/>
  <c r="W42" i="13"/>
  <c r="W100" i="8"/>
  <c r="Y93" i="8"/>
  <c r="AB47" i="2"/>
  <c r="W57" i="6"/>
  <c r="W54" i="6"/>
  <c r="W56" i="6"/>
  <c r="W55" i="6"/>
  <c r="W58" i="6"/>
  <c r="W40" i="7"/>
  <c r="T10" i="10"/>
  <c r="T13" i="10" s="1"/>
  <c r="T10" i="11" s="1"/>
  <c r="T70" i="6"/>
  <c r="T13" i="13"/>
  <c r="T63" i="6"/>
  <c r="Y14" i="6"/>
  <c r="Y15" i="7"/>
  <c r="AA34" i="2"/>
  <c r="AB32" i="2"/>
  <c r="Y36" i="9"/>
  <c r="AC29" i="2"/>
  <c r="Z35" i="9"/>
  <c r="Z12" i="5"/>
  <c r="Z12" i="6" s="1"/>
  <c r="AB19" i="2"/>
  <c r="AB7" i="2" s="1"/>
  <c r="Z7" i="18" s="1"/>
  <c r="V59" i="6"/>
  <c r="V61" i="6" s="1"/>
  <c r="X27" i="6"/>
  <c r="X28" i="6" s="1"/>
  <c r="X30" i="6" s="1"/>
  <c r="X34" i="5"/>
  <c r="X36" i="5" s="1"/>
  <c r="X38" i="5" s="1"/>
  <c r="Y50" i="6"/>
  <c r="Y47" i="6"/>
  <c r="Y44" i="6"/>
  <c r="Y45" i="6"/>
  <c r="Y12" i="7"/>
  <c r="Y48" i="6"/>
  <c r="Y49" i="6"/>
  <c r="Y24" i="6"/>
  <c r="Y46" i="6"/>
  <c r="U79" i="6"/>
  <c r="U14" i="13"/>
  <c r="U26" i="7"/>
  <c r="U11" i="10"/>
  <c r="R30" i="7"/>
  <c r="R13" i="11"/>
  <c r="R18" i="13" s="1"/>
  <c r="AC35" i="8"/>
  <c r="AC6" i="14"/>
  <c r="AC6" i="15"/>
  <c r="AC6" i="13"/>
  <c r="AC6" i="12"/>
  <c r="AC6" i="11"/>
  <c r="AC6" i="10"/>
  <c r="AC6" i="9"/>
  <c r="AC6" i="8"/>
  <c r="AC6" i="7"/>
  <c r="AC6" i="6"/>
  <c r="AC6" i="5"/>
  <c r="AD5" i="14"/>
  <c r="AD5" i="15"/>
  <c r="AD5" i="13"/>
  <c r="AD5" i="12"/>
  <c r="AD5" i="11"/>
  <c r="AD5" i="9"/>
  <c r="AD5" i="10"/>
  <c r="AD5" i="8"/>
  <c r="AD5" i="7"/>
  <c r="AD5" i="6"/>
  <c r="AD5" i="5"/>
  <c r="AC61" i="1"/>
  <c r="AC70" i="1" s="1"/>
  <c r="T83" i="6"/>
  <c r="U78" i="6"/>
  <c r="AH15" i="5"/>
  <c r="AH17" i="6" s="1"/>
  <c r="AF5" i="4"/>
  <c r="AD5" i="1"/>
  <c r="AD18" i="1" s="1"/>
  <c r="AD58" i="1" s="1"/>
  <c r="AE6" i="4"/>
  <c r="AC6" i="1"/>
  <c r="AE24" i="2"/>
  <c r="AC11" i="5" s="1"/>
  <c r="AC11" i="6" s="1"/>
  <c r="AC11" i="7" s="1"/>
  <c r="AF59" i="2"/>
  <c r="AF54" i="2"/>
  <c r="AD16" i="1" s="1"/>
  <c r="AD56" i="1" s="1"/>
  <c r="AF60" i="2"/>
  <c r="AD55" i="1" s="1"/>
  <c r="AF52" i="2"/>
  <c r="AD14" i="1" s="1"/>
  <c r="AD24" i="1" s="1"/>
  <c r="AD35" i="1" s="1"/>
  <c r="AF46" i="2"/>
  <c r="AF48" i="2"/>
  <c r="AF39" i="2"/>
  <c r="AF41" i="2"/>
  <c r="AD37" i="8" s="1"/>
  <c r="AF25" i="2"/>
  <c r="AF30" i="2"/>
  <c r="AD13" i="7" s="1"/>
  <c r="AF28" i="2"/>
  <c r="AF18" i="2"/>
  <c r="AF6" i="2" s="1"/>
  <c r="AD6" i="18" s="1"/>
  <c r="AF23" i="2"/>
  <c r="AG5" i="2"/>
  <c r="AE5" i="18" s="1"/>
  <c r="AE57" i="18" s="1"/>
  <c r="T69" i="6" l="1"/>
  <c r="S74" i="6"/>
  <c r="S87" i="6" s="1"/>
  <c r="T14" i="10"/>
  <c r="T71" i="6"/>
  <c r="T72" i="6" s="1"/>
  <c r="T18" i="14" s="1"/>
  <c r="S89" i="6"/>
  <c r="S30" i="7" s="1"/>
  <c r="Y51" i="6"/>
  <c r="X40" i="7"/>
  <c r="X58" i="6"/>
  <c r="X54" i="6"/>
  <c r="X55" i="6"/>
  <c r="X56" i="6"/>
  <c r="X57" i="6"/>
  <c r="Y19" i="7"/>
  <c r="Y39" i="7"/>
  <c r="Z7" i="12"/>
  <c r="Z7" i="5"/>
  <c r="Z7" i="14"/>
  <c r="Z7" i="7"/>
  <c r="Z7" i="11"/>
  <c r="Z7" i="6"/>
  <c r="Z7" i="13"/>
  <c r="Z7" i="9"/>
  <c r="Z7" i="10"/>
  <c r="AB7" i="4"/>
  <c r="Z7" i="15"/>
  <c r="Z7" i="8"/>
  <c r="Z7" i="1"/>
  <c r="V44" i="8"/>
  <c r="V48" i="8" s="1"/>
  <c r="W43" i="8"/>
  <c r="Z50" i="6"/>
  <c r="Z24" i="6"/>
  <c r="Z49" i="6"/>
  <c r="Z12" i="7"/>
  <c r="Z46" i="6"/>
  <c r="Z48" i="6"/>
  <c r="Z45" i="6"/>
  <c r="Z44" i="6"/>
  <c r="Z47" i="6"/>
  <c r="AA35" i="9"/>
  <c r="AC19" i="2"/>
  <c r="AC7" i="2" s="1"/>
  <c r="AA7" i="18" s="1"/>
  <c r="AA12" i="5"/>
  <c r="AA12" i="6" s="1"/>
  <c r="AD29" i="2"/>
  <c r="W59" i="6"/>
  <c r="W61" i="6" s="1"/>
  <c r="AA8" i="4"/>
  <c r="Y8" i="1"/>
  <c r="Y39" i="8"/>
  <c r="Y56" i="8"/>
  <c r="Y58" i="8" s="1"/>
  <c r="Y55" i="8"/>
  <c r="Y40" i="8"/>
  <c r="V25" i="7"/>
  <c r="V39" i="6"/>
  <c r="Z39" i="13"/>
  <c r="Z13" i="12"/>
  <c r="Z18" i="12" s="1"/>
  <c r="Z115" i="8"/>
  <c r="Z135" i="8" s="1"/>
  <c r="Z36" i="8"/>
  <c r="AC40" i="2"/>
  <c r="X16" i="13"/>
  <c r="X11" i="11"/>
  <c r="X45" i="9"/>
  <c r="X29" i="7"/>
  <c r="Z93" i="8"/>
  <c r="AC47" i="2"/>
  <c r="U70" i="6"/>
  <c r="U63" i="6"/>
  <c r="U13" i="13"/>
  <c r="U10" i="10"/>
  <c r="U13" i="10" s="1"/>
  <c r="Z15" i="1"/>
  <c r="AB57" i="2"/>
  <c r="AB8" i="2" s="1"/>
  <c r="AB56" i="2"/>
  <c r="AC53" i="2"/>
  <c r="AB34" i="2"/>
  <c r="Z36" i="9"/>
  <c r="AC32" i="2"/>
  <c r="Z14" i="6"/>
  <c r="Z15" i="7"/>
  <c r="X42" i="13"/>
  <c r="X100" i="8"/>
  <c r="V26" i="7"/>
  <c r="V79" i="6"/>
  <c r="V11" i="10"/>
  <c r="V14" i="13"/>
  <c r="Y27" i="6"/>
  <c r="Y28" i="6" s="1"/>
  <c r="Y30" i="6" s="1"/>
  <c r="Y34" i="5"/>
  <c r="Y36" i="5" s="1"/>
  <c r="Y38" i="5" s="1"/>
  <c r="W38" i="6"/>
  <c r="W41" i="7"/>
  <c r="W43" i="13"/>
  <c r="W101" i="8"/>
  <c r="X37" i="6"/>
  <c r="X20" i="7"/>
  <c r="X21" i="7" s="1"/>
  <c r="AB43" i="2"/>
  <c r="X41" i="13"/>
  <c r="X99" i="8"/>
  <c r="X134" i="8" s="1"/>
  <c r="X136" i="8" s="1"/>
  <c r="X41" i="8"/>
  <c r="AD6" i="14"/>
  <c r="AD6" i="15"/>
  <c r="AD6" i="13"/>
  <c r="AD6" i="12"/>
  <c r="AD6" i="11"/>
  <c r="AD6" i="10"/>
  <c r="AD6" i="9"/>
  <c r="AD6" i="8"/>
  <c r="AD6" i="6"/>
  <c r="AD6" i="5"/>
  <c r="AD6" i="7"/>
  <c r="AD35" i="8"/>
  <c r="AE5" i="15"/>
  <c r="AE5" i="14"/>
  <c r="AE5" i="13"/>
  <c r="AE5" i="12"/>
  <c r="AE5" i="10"/>
  <c r="AE5" i="11"/>
  <c r="AE5" i="9"/>
  <c r="AE5" i="8"/>
  <c r="AE5" i="7"/>
  <c r="AE5" i="5"/>
  <c r="AE5" i="6"/>
  <c r="U69" i="6"/>
  <c r="T74" i="6"/>
  <c r="T87" i="6" s="1"/>
  <c r="AD61" i="1"/>
  <c r="AD70" i="1" s="1"/>
  <c r="U80" i="6"/>
  <c r="U81" i="6" s="1"/>
  <c r="U29" i="14" s="1"/>
  <c r="T88" i="6"/>
  <c r="AI15" i="5"/>
  <c r="AI17" i="6" s="1"/>
  <c r="AF6" i="4"/>
  <c r="AD6" i="1"/>
  <c r="AG5" i="4"/>
  <c r="AE5" i="1"/>
  <c r="AE18" i="1" s="1"/>
  <c r="AE58" i="1" s="1"/>
  <c r="AF24" i="2"/>
  <c r="AD11" i="5" s="1"/>
  <c r="AD11" i="6" s="1"/>
  <c r="AD11" i="7" s="1"/>
  <c r="AG52" i="2"/>
  <c r="AE14" i="1" s="1"/>
  <c r="AE24" i="1" s="1"/>
  <c r="AE35" i="1" s="1"/>
  <c r="AG46" i="2"/>
  <c r="AG59" i="2"/>
  <c r="AG60" i="2"/>
  <c r="AE55" i="1" s="1"/>
  <c r="AG48" i="2"/>
  <c r="AG54" i="2"/>
  <c r="AE16" i="1" s="1"/>
  <c r="AE56" i="1" s="1"/>
  <c r="AG41" i="2"/>
  <c r="AE37" i="8" s="1"/>
  <c r="AG25" i="2"/>
  <c r="AG30" i="2"/>
  <c r="AE13" i="7" s="1"/>
  <c r="AG28" i="2"/>
  <c r="AG18" i="2"/>
  <c r="AG6" i="2" s="1"/>
  <c r="AE6" i="18" s="1"/>
  <c r="AG39" i="2"/>
  <c r="AG23" i="2"/>
  <c r="AH5" i="2"/>
  <c r="AF5" i="18" s="1"/>
  <c r="AF57" i="18" s="1"/>
  <c r="S13" i="11" l="1"/>
  <c r="S18" i="13" s="1"/>
  <c r="U71" i="6"/>
  <c r="U72" i="6" s="1"/>
  <c r="AC43" i="2"/>
  <c r="T89" i="6"/>
  <c r="T30" i="7" s="1"/>
  <c r="AB8" i="4"/>
  <c r="Z8" i="1"/>
  <c r="Z51" i="6"/>
  <c r="X43" i="8"/>
  <c r="W44" i="8"/>
  <c r="W48" i="8" s="1"/>
  <c r="Y45" i="9"/>
  <c r="Y11" i="11"/>
  <c r="Y16" i="13"/>
  <c r="Y29" i="7"/>
  <c r="V13" i="13"/>
  <c r="V10" i="10"/>
  <c r="V13" i="10" s="1"/>
  <c r="V63" i="6"/>
  <c r="V70" i="6"/>
  <c r="U10" i="11"/>
  <c r="U14" i="10"/>
  <c r="W79" i="6"/>
  <c r="W26" i="7"/>
  <c r="W11" i="10"/>
  <c r="W14" i="13"/>
  <c r="AE61" i="1"/>
  <c r="AE70" i="1" s="1"/>
  <c r="AD32" i="2"/>
  <c r="AA36" i="9"/>
  <c r="AA15" i="7"/>
  <c r="AC34" i="2"/>
  <c r="AA14" i="6"/>
  <c r="AB12" i="5"/>
  <c r="AB12" i="6" s="1"/>
  <c r="AD19" i="2"/>
  <c r="AD7" i="2" s="1"/>
  <c r="AB7" i="18" s="1"/>
  <c r="AE29" i="2"/>
  <c r="AB35" i="9"/>
  <c r="Y40" i="7"/>
  <c r="Y56" i="6"/>
  <c r="Y57" i="6"/>
  <c r="Y58" i="6"/>
  <c r="Y54" i="6"/>
  <c r="Y55" i="6"/>
  <c r="AD40" i="2"/>
  <c r="AD43" i="2" s="1"/>
  <c r="AA13" i="12"/>
  <c r="AA18" i="12" s="1"/>
  <c r="AA39" i="13"/>
  <c r="AA115" i="8"/>
  <c r="AA135" i="8" s="1"/>
  <c r="AA36" i="8"/>
  <c r="Y42" i="13"/>
  <c r="Y100" i="8"/>
  <c r="AA12" i="7"/>
  <c r="AA47" i="6"/>
  <c r="AA46" i="6"/>
  <c r="AA24" i="6"/>
  <c r="AA45" i="6"/>
  <c r="AA48" i="6"/>
  <c r="AA50" i="6"/>
  <c r="AA44" i="6"/>
  <c r="AA49" i="6"/>
  <c r="Z19" i="7"/>
  <c r="Z39" i="7"/>
  <c r="Z27" i="6"/>
  <c r="Z28" i="6" s="1"/>
  <c r="Z30" i="6" s="1"/>
  <c r="Z34" i="5"/>
  <c r="Z36" i="5" s="1"/>
  <c r="Z38" i="5" s="1"/>
  <c r="Z56" i="8"/>
  <c r="Z58" i="8" s="1"/>
  <c r="Z40" i="8"/>
  <c r="Z55" i="8"/>
  <c r="Z39" i="8"/>
  <c r="AA7" i="8"/>
  <c r="AA7" i="15"/>
  <c r="AA7" i="7"/>
  <c r="AA7" i="13"/>
  <c r="AA7" i="6"/>
  <c r="AA7" i="5"/>
  <c r="AA7" i="12"/>
  <c r="AA7" i="11"/>
  <c r="AA7" i="14"/>
  <c r="AA7" i="10"/>
  <c r="AC7" i="4"/>
  <c r="AA7" i="9"/>
  <c r="AA7" i="1"/>
  <c r="X59" i="6"/>
  <c r="X61" i="6" s="1"/>
  <c r="AA15" i="1"/>
  <c r="AC56" i="2"/>
  <c r="AC57" i="2"/>
  <c r="AC8" i="2" s="1"/>
  <c r="AD53" i="2"/>
  <c r="AA93" i="8"/>
  <c r="AD47" i="2"/>
  <c r="X101" i="8"/>
  <c r="X43" i="13"/>
  <c r="W39" i="6"/>
  <c r="W25" i="7"/>
  <c r="Y41" i="8"/>
  <c r="Y41" i="13"/>
  <c r="Y99" i="8"/>
  <c r="Y134" i="8" s="1"/>
  <c r="Y136" i="8" s="1"/>
  <c r="Y20" i="7"/>
  <c r="Y21" i="7" s="1"/>
  <c r="Y37" i="6"/>
  <c r="X38" i="6"/>
  <c r="X41" i="7"/>
  <c r="AE35" i="8"/>
  <c r="AE6" i="15"/>
  <c r="AE6" i="14"/>
  <c r="AE6" i="11"/>
  <c r="AE6" i="13"/>
  <c r="AE6" i="12"/>
  <c r="AE6" i="10"/>
  <c r="AE6" i="9"/>
  <c r="AE6" i="8"/>
  <c r="AE6" i="7"/>
  <c r="AE6" i="6"/>
  <c r="AE6" i="5"/>
  <c r="U18" i="14"/>
  <c r="U74" i="6"/>
  <c r="U87" i="6" s="1"/>
  <c r="V69" i="6"/>
  <c r="AF5" i="15"/>
  <c r="AF5" i="14"/>
  <c r="AF5" i="13"/>
  <c r="AF5" i="12"/>
  <c r="AF5" i="10"/>
  <c r="AF5" i="11"/>
  <c r="AF5" i="9"/>
  <c r="AF5" i="8"/>
  <c r="AF5" i="7"/>
  <c r="AF5" i="5"/>
  <c r="AF5" i="6"/>
  <c r="U83" i="6"/>
  <c r="U88" i="6" s="1"/>
  <c r="V78" i="6"/>
  <c r="AJ15" i="5"/>
  <c r="AJ17" i="6" s="1"/>
  <c r="AG6" i="4"/>
  <c r="AE6" i="1"/>
  <c r="AH5" i="4"/>
  <c r="AF5" i="1"/>
  <c r="AF18" i="1" s="1"/>
  <c r="AF58" i="1" s="1"/>
  <c r="AH59" i="2"/>
  <c r="AH60" i="2"/>
  <c r="AF55" i="1" s="1"/>
  <c r="AH46" i="2"/>
  <c r="AH52" i="2"/>
  <c r="AF14" i="1" s="1"/>
  <c r="AF24" i="1" s="1"/>
  <c r="AF35" i="1" s="1"/>
  <c r="AH48" i="2"/>
  <c r="AH54" i="2"/>
  <c r="AF16" i="1" s="1"/>
  <c r="AF56" i="1" s="1"/>
  <c r="AH41" i="2"/>
  <c r="AF37" i="8" s="1"/>
  <c r="AH30" i="2"/>
  <c r="AF13" i="7" s="1"/>
  <c r="AH39" i="2"/>
  <c r="AH28" i="2"/>
  <c r="AH18" i="2"/>
  <c r="AH6" i="2" s="1"/>
  <c r="AF6" i="18" s="1"/>
  <c r="AH25" i="2"/>
  <c r="AH23" i="2"/>
  <c r="AI5" i="2"/>
  <c r="AG5" i="18" s="1"/>
  <c r="AG57" i="18" s="1"/>
  <c r="AG24" i="2"/>
  <c r="AE11" i="5" s="1"/>
  <c r="AE11" i="6" s="1"/>
  <c r="AE11" i="7" s="1"/>
  <c r="T13" i="11" l="1"/>
  <c r="V71" i="6"/>
  <c r="V72" i="6" s="1"/>
  <c r="V18" i="14" s="1"/>
  <c r="U89" i="6"/>
  <c r="Y101" i="8"/>
  <c r="Y43" i="13"/>
  <c r="AA8" i="1"/>
  <c r="AC8" i="4"/>
  <c r="AB36" i="8"/>
  <c r="AE40" i="2"/>
  <c r="AE43" i="2" s="1"/>
  <c r="AB39" i="13"/>
  <c r="AB115" i="8"/>
  <c r="AB135" i="8" s="1"/>
  <c r="AB13" i="12"/>
  <c r="AB18" i="12" s="1"/>
  <c r="AC35" i="9"/>
  <c r="AC12" i="5"/>
  <c r="AC12" i="6" s="1"/>
  <c r="AE19" i="2"/>
  <c r="AE7" i="2" s="1"/>
  <c r="AC7" i="18" s="1"/>
  <c r="AF29" i="2"/>
  <c r="AB15" i="1"/>
  <c r="AD56" i="2"/>
  <c r="AD57" i="2"/>
  <c r="AD8" i="2" s="1"/>
  <c r="AE53" i="2"/>
  <c r="X25" i="7"/>
  <c r="X39" i="6"/>
  <c r="W13" i="13"/>
  <c r="W70" i="6"/>
  <c r="W10" i="10"/>
  <c r="W13" i="10" s="1"/>
  <c r="W63" i="6"/>
  <c r="Z99" i="8"/>
  <c r="Z134" i="8" s="1"/>
  <c r="Z136" i="8" s="1"/>
  <c r="Z41" i="13"/>
  <c r="Z41" i="8"/>
  <c r="AA19" i="7"/>
  <c r="AA39" i="7"/>
  <c r="AB7" i="9"/>
  <c r="AB7" i="10"/>
  <c r="AB7" i="8"/>
  <c r="AB7" i="15"/>
  <c r="AB7" i="14"/>
  <c r="AB7" i="6"/>
  <c r="AB7" i="13"/>
  <c r="AB7" i="5"/>
  <c r="AD7" i="4"/>
  <c r="AB7" i="11"/>
  <c r="AB7" i="12"/>
  <c r="AB7" i="7"/>
  <c r="AB7" i="1"/>
  <c r="X44" i="8"/>
  <c r="X48" i="8" s="1"/>
  <c r="Y43" i="8"/>
  <c r="AA51" i="6"/>
  <c r="Y59" i="6"/>
  <c r="Y61" i="6" s="1"/>
  <c r="AB12" i="7"/>
  <c r="AB44" i="6"/>
  <c r="AB24" i="6"/>
  <c r="AB45" i="6"/>
  <c r="AB48" i="6"/>
  <c r="AB49" i="6"/>
  <c r="AB50" i="6"/>
  <c r="AB47" i="6"/>
  <c r="AB46" i="6"/>
  <c r="V10" i="11"/>
  <c r="V14" i="10"/>
  <c r="X11" i="10"/>
  <c r="X14" i="13"/>
  <c r="X79" i="6"/>
  <c r="X26" i="7"/>
  <c r="Z42" i="13"/>
  <c r="Z100" i="8"/>
  <c r="Z54" i="6"/>
  <c r="Z56" i="6"/>
  <c r="Z40" i="7"/>
  <c r="Z57" i="6"/>
  <c r="Z55" i="6"/>
  <c r="Z58" i="6"/>
  <c r="AA39" i="8"/>
  <c r="AA55" i="8"/>
  <c r="AA56" i="8"/>
  <c r="AA58" i="8" s="1"/>
  <c r="AA40" i="8"/>
  <c r="AA27" i="6"/>
  <c r="AA28" i="6" s="1"/>
  <c r="AA30" i="6" s="1"/>
  <c r="AA34" i="5"/>
  <c r="AA36" i="5" s="1"/>
  <c r="AA38" i="5" s="1"/>
  <c r="AB36" i="9"/>
  <c r="AD34" i="2"/>
  <c r="AB15" i="7"/>
  <c r="AE32" i="2"/>
  <c r="AB14" i="6"/>
  <c r="AB93" i="8"/>
  <c r="AE47" i="2"/>
  <c r="Z29" i="7"/>
  <c r="Z45" i="9"/>
  <c r="Z16" i="13"/>
  <c r="Z11" i="11"/>
  <c r="Z20" i="7"/>
  <c r="Z21" i="7" s="1"/>
  <c r="Z37" i="6"/>
  <c r="Y38" i="6"/>
  <c r="Y41" i="7"/>
  <c r="AF35" i="8"/>
  <c r="AG5" i="14"/>
  <c r="AG5" i="15"/>
  <c r="AG5" i="13"/>
  <c r="AG5" i="10"/>
  <c r="AG5" i="11"/>
  <c r="AG5" i="12"/>
  <c r="AG5" i="9"/>
  <c r="AG5" i="8"/>
  <c r="AG5" i="6"/>
  <c r="AG5" i="5"/>
  <c r="AG5" i="7"/>
  <c r="AF61" i="1"/>
  <c r="AF70" i="1" s="1"/>
  <c r="AF6" i="15"/>
  <c r="AF6" i="14"/>
  <c r="AF6" i="13"/>
  <c r="AF6" i="11"/>
  <c r="AF6" i="10"/>
  <c r="AF6" i="12"/>
  <c r="AF6" i="9"/>
  <c r="AF6" i="8"/>
  <c r="AF6" i="7"/>
  <c r="AF6" i="6"/>
  <c r="AF6" i="5"/>
  <c r="T18" i="13"/>
  <c r="U30" i="7"/>
  <c r="U13" i="11"/>
  <c r="U18" i="13" s="1"/>
  <c r="V80" i="6"/>
  <c r="V81" i="6" s="1"/>
  <c r="V29" i="14" s="1"/>
  <c r="AK15" i="5"/>
  <c r="AK17" i="6" s="1"/>
  <c r="AH6" i="4"/>
  <c r="AF6" i="1"/>
  <c r="AI5" i="4"/>
  <c r="AG5" i="1"/>
  <c r="AG18" i="1" s="1"/>
  <c r="AG58" i="1" s="1"/>
  <c r="AH24" i="2"/>
  <c r="AF11" i="5" s="1"/>
  <c r="AF11" i="6" s="1"/>
  <c r="AF11" i="7" s="1"/>
  <c r="AI59" i="2"/>
  <c r="AI54" i="2"/>
  <c r="AG16" i="1" s="1"/>
  <c r="AG56" i="1" s="1"/>
  <c r="AI52" i="2"/>
  <c r="AG14" i="1" s="1"/>
  <c r="AG24" i="1" s="1"/>
  <c r="AG35" i="1" s="1"/>
  <c r="AI60" i="2"/>
  <c r="AG55" i="1" s="1"/>
  <c r="AI48" i="2"/>
  <c r="AI41" i="2"/>
  <c r="AG37" i="8" s="1"/>
  <c r="AI30" i="2"/>
  <c r="AG13" i="7" s="1"/>
  <c r="AI39" i="2"/>
  <c r="AI23" i="2"/>
  <c r="AI46" i="2"/>
  <c r="AI28" i="2"/>
  <c r="AJ5" i="2"/>
  <c r="AH5" i="18" s="1"/>
  <c r="AH57" i="18" s="1"/>
  <c r="AI25" i="2"/>
  <c r="AI18" i="2"/>
  <c r="AI6" i="2" s="1"/>
  <c r="AG6" i="18" s="1"/>
  <c r="W69" i="6" l="1"/>
  <c r="W71" i="6" s="1"/>
  <c r="W72" i="6" s="1"/>
  <c r="V74" i="6"/>
  <c r="V87" i="6" s="1"/>
  <c r="AB51" i="6"/>
  <c r="AA41" i="8"/>
  <c r="AA99" i="8"/>
  <c r="AA134" i="8" s="1"/>
  <c r="AA136" i="8" s="1"/>
  <c r="AA41" i="13"/>
  <c r="AB19" i="7"/>
  <c r="AB39" i="7"/>
  <c r="AC36" i="9"/>
  <c r="AC14" i="6"/>
  <c r="AC15" i="7"/>
  <c r="AE34" i="2"/>
  <c r="AF32" i="2"/>
  <c r="AB34" i="5"/>
  <c r="AB36" i="5" s="1"/>
  <c r="AB38" i="5" s="1"/>
  <c r="AB27" i="6"/>
  <c r="AB28" i="6" s="1"/>
  <c r="AB30" i="6" s="1"/>
  <c r="Y26" i="7"/>
  <c r="Y14" i="13"/>
  <c r="Y79" i="6"/>
  <c r="Y11" i="10"/>
  <c r="W14" i="10"/>
  <c r="W10" i="11"/>
  <c r="AC115" i="8"/>
  <c r="AC135" i="8" s="1"/>
  <c r="AF40" i="2"/>
  <c r="AF43" i="2" s="1"/>
  <c r="AC36" i="8"/>
  <c r="AC39" i="13"/>
  <c r="AC13" i="12"/>
  <c r="AC18" i="12" s="1"/>
  <c r="Y39" i="6"/>
  <c r="Y25" i="7"/>
  <c r="AD35" i="9"/>
  <c r="AD12" i="5"/>
  <c r="AD12" i="6" s="1"/>
  <c r="AG29" i="2"/>
  <c r="AF19" i="2"/>
  <c r="AF7" i="2" s="1"/>
  <c r="AD7" i="18" s="1"/>
  <c r="AB39" i="8"/>
  <c r="AB56" i="8"/>
  <c r="AB58" i="8" s="1"/>
  <c r="AB55" i="8"/>
  <c r="AB40" i="8"/>
  <c r="AC93" i="8"/>
  <c r="AF47" i="2"/>
  <c r="AA29" i="7"/>
  <c r="AA11" i="11"/>
  <c r="AA16" i="13"/>
  <c r="AA45" i="9"/>
  <c r="AA20" i="7"/>
  <c r="AA21" i="7" s="1"/>
  <c r="AA37" i="6"/>
  <c r="AC7" i="12"/>
  <c r="AC7" i="11"/>
  <c r="AC7" i="7"/>
  <c r="AC7" i="9"/>
  <c r="AC7" i="5"/>
  <c r="AC7" i="10"/>
  <c r="AE7" i="4"/>
  <c r="AC7" i="1"/>
  <c r="AC7" i="8"/>
  <c r="AC7" i="14"/>
  <c r="AC7" i="13"/>
  <c r="AC7" i="6"/>
  <c r="AC7" i="15"/>
  <c r="AA57" i="6"/>
  <c r="AA40" i="7"/>
  <c r="AA56" i="6"/>
  <c r="AA55" i="6"/>
  <c r="AA54" i="6"/>
  <c r="AA58" i="6"/>
  <c r="Z38" i="6"/>
  <c r="Z41" i="7"/>
  <c r="Y44" i="8"/>
  <c r="Y48" i="8" s="1"/>
  <c r="Z43" i="8"/>
  <c r="X63" i="6"/>
  <c r="X70" i="6"/>
  <c r="X13" i="13"/>
  <c r="X10" i="10"/>
  <c r="X13" i="10" s="1"/>
  <c r="AC45" i="6"/>
  <c r="AC12" i="7"/>
  <c r="AC46" i="6"/>
  <c r="AC24" i="6"/>
  <c r="AC44" i="6"/>
  <c r="AC50" i="6"/>
  <c r="AC49" i="6"/>
  <c r="AC48" i="6"/>
  <c r="AC47" i="6"/>
  <c r="AA100" i="8"/>
  <c r="AA42" i="13"/>
  <c r="Z101" i="8"/>
  <c r="Z43" i="13"/>
  <c r="AD8" i="4"/>
  <c r="AB8" i="1"/>
  <c r="Z59" i="6"/>
  <c r="Z61" i="6" s="1"/>
  <c r="AC15" i="1"/>
  <c r="AF53" i="2"/>
  <c r="AE56" i="2"/>
  <c r="AE57" i="2"/>
  <c r="AE8" i="2" s="1"/>
  <c r="AG35" i="8"/>
  <c r="AG6" i="14"/>
  <c r="AG6" i="13"/>
  <c r="AG6" i="15"/>
  <c r="AG6" i="12"/>
  <c r="AG6" i="11"/>
  <c r="AG6" i="9"/>
  <c r="AG6" i="10"/>
  <c r="AG6" i="8"/>
  <c r="AG6" i="6"/>
  <c r="AG6" i="5"/>
  <c r="AG6" i="7"/>
  <c r="AH5" i="15"/>
  <c r="AH5" i="14"/>
  <c r="AH5" i="13"/>
  <c r="AH5" i="11"/>
  <c r="AH5" i="12"/>
  <c r="AH5" i="10"/>
  <c r="AH5" i="9"/>
  <c r="AH5" i="8"/>
  <c r="AH5" i="7"/>
  <c r="AH5" i="6"/>
  <c r="AH5" i="5"/>
  <c r="AG61" i="1"/>
  <c r="AG70" i="1" s="1"/>
  <c r="V83" i="6"/>
  <c r="V88" i="6" s="1"/>
  <c r="V89" i="6" s="1"/>
  <c r="W78" i="6"/>
  <c r="AL15" i="5"/>
  <c r="AL17" i="6" s="1"/>
  <c r="AJ5" i="4"/>
  <c r="AH5" i="1"/>
  <c r="AH18" i="1" s="1"/>
  <c r="AH58" i="1" s="1"/>
  <c r="AI6" i="4"/>
  <c r="AG6" i="1"/>
  <c r="AJ59" i="2"/>
  <c r="AJ54" i="2"/>
  <c r="AH16" i="1" s="1"/>
  <c r="AH56" i="1" s="1"/>
  <c r="AJ60" i="2"/>
  <c r="AH55" i="1" s="1"/>
  <c r="AJ48" i="2"/>
  <c r="AJ52" i="2"/>
  <c r="AH14" i="1" s="1"/>
  <c r="AH24" i="1" s="1"/>
  <c r="AH35" i="1" s="1"/>
  <c r="AJ39" i="2"/>
  <c r="AJ46" i="2"/>
  <c r="AJ30" i="2"/>
  <c r="AH13" i="7" s="1"/>
  <c r="AJ23" i="2"/>
  <c r="AJ41" i="2"/>
  <c r="AH37" i="8" s="1"/>
  <c r="AJ28" i="2"/>
  <c r="AJ25" i="2"/>
  <c r="AJ18" i="2"/>
  <c r="AJ6" i="2" s="1"/>
  <c r="AH6" i="18" s="1"/>
  <c r="AK5" i="2"/>
  <c r="AI5" i="18" s="1"/>
  <c r="AI57" i="18" s="1"/>
  <c r="AI24" i="2"/>
  <c r="AG11" i="5" s="1"/>
  <c r="AG11" i="6" s="1"/>
  <c r="AG11" i="7" s="1"/>
  <c r="W18" i="14" l="1"/>
  <c r="X69" i="6"/>
  <c r="W74" i="6"/>
  <c r="W87" i="6" s="1"/>
  <c r="X71" i="6"/>
  <c r="X72" i="6" s="1"/>
  <c r="AC51" i="6"/>
  <c r="Z14" i="13"/>
  <c r="Z79" i="6"/>
  <c r="Z26" i="7"/>
  <c r="Z11" i="10"/>
  <c r="AA38" i="6"/>
  <c r="AA41" i="7"/>
  <c r="AC39" i="7"/>
  <c r="AC19" i="7"/>
  <c r="Z25" i="7"/>
  <c r="Z39" i="6"/>
  <c r="AB41" i="8"/>
  <c r="AB99" i="8"/>
  <c r="AB134" i="8" s="1"/>
  <c r="AB136" i="8" s="1"/>
  <c r="AB41" i="13"/>
  <c r="Y63" i="6"/>
  <c r="Y70" i="6"/>
  <c r="Y13" i="13"/>
  <c r="Y10" i="10"/>
  <c r="Y13" i="10" s="1"/>
  <c r="AD7" i="12"/>
  <c r="AF7" i="4"/>
  <c r="AD7" i="11"/>
  <c r="AD7" i="10"/>
  <c r="AD7" i="9"/>
  <c r="AD7" i="8"/>
  <c r="AD7" i="14"/>
  <c r="AD7" i="6"/>
  <c r="AD7" i="15"/>
  <c r="AD7" i="7"/>
  <c r="AD7" i="1"/>
  <c r="AD7" i="13"/>
  <c r="AD7" i="5"/>
  <c r="AC39" i="8"/>
  <c r="AC55" i="8"/>
  <c r="AC56" i="8"/>
  <c r="AC58" i="8" s="1"/>
  <c r="AC40" i="8"/>
  <c r="AB20" i="7"/>
  <c r="AB21" i="7" s="1"/>
  <c r="AB37" i="6"/>
  <c r="AB54" i="6"/>
  <c r="AB57" i="6"/>
  <c r="AB58" i="6"/>
  <c r="AB56" i="6"/>
  <c r="AB55" i="6"/>
  <c r="AB40" i="7"/>
  <c r="AC8" i="1"/>
  <c r="AE8" i="4"/>
  <c r="X10" i="11"/>
  <c r="X14" i="10"/>
  <c r="AE35" i="9"/>
  <c r="AE12" i="5"/>
  <c r="AE12" i="6" s="1"/>
  <c r="AH29" i="2"/>
  <c r="AG19" i="2"/>
  <c r="AG7" i="2" s="1"/>
  <c r="AE7" i="18" s="1"/>
  <c r="AG40" i="2"/>
  <c r="AG43" i="2" s="1"/>
  <c r="AD39" i="13"/>
  <c r="AD13" i="12"/>
  <c r="AD18" i="12" s="1"/>
  <c r="AD115" i="8"/>
  <c r="AD135" i="8" s="1"/>
  <c r="AD36" i="8"/>
  <c r="Z44" i="8"/>
  <c r="Z48" i="8" s="1"/>
  <c r="AA43" i="8"/>
  <c r="AA59" i="6"/>
  <c r="AA61" i="6" s="1"/>
  <c r="AD93" i="8"/>
  <c r="AG47" i="2"/>
  <c r="AD44" i="6"/>
  <c r="AD45" i="6"/>
  <c r="AD24" i="6"/>
  <c r="AD49" i="6"/>
  <c r="AD12" i="7"/>
  <c r="AD50" i="6"/>
  <c r="AD48" i="6"/>
  <c r="AD46" i="6"/>
  <c r="AD47" i="6"/>
  <c r="AB11" i="11"/>
  <c r="AB45" i="9"/>
  <c r="AB16" i="13"/>
  <c r="AB29" i="7"/>
  <c r="AD15" i="1"/>
  <c r="AG53" i="2"/>
  <c r="AF56" i="2"/>
  <c r="AF57" i="2"/>
  <c r="AF8" i="2" s="1"/>
  <c r="AG32" i="2"/>
  <c r="AF34" i="2"/>
  <c r="AD36" i="9"/>
  <c r="AD14" i="6"/>
  <c r="AD15" i="7"/>
  <c r="AB42" i="13"/>
  <c r="AB100" i="8"/>
  <c r="AC34" i="5"/>
  <c r="AC36" i="5" s="1"/>
  <c r="AC38" i="5" s="1"/>
  <c r="AC27" i="6"/>
  <c r="AC28" i="6" s="1"/>
  <c r="AC30" i="6" s="1"/>
  <c r="AA43" i="13"/>
  <c r="AA101" i="8"/>
  <c r="AI5" i="15"/>
  <c r="AI5" i="14"/>
  <c r="AI5" i="13"/>
  <c r="AI5" i="11"/>
  <c r="AI5" i="12"/>
  <c r="AI5" i="9"/>
  <c r="AI5" i="10"/>
  <c r="AI5" i="8"/>
  <c r="AI5" i="7"/>
  <c r="AI5" i="5"/>
  <c r="AI5" i="6"/>
  <c r="AH35" i="8"/>
  <c r="AH6" i="14"/>
  <c r="AH6" i="13"/>
  <c r="AH6" i="15"/>
  <c r="AH6" i="12"/>
  <c r="AH6" i="11"/>
  <c r="AH6" i="9"/>
  <c r="AH6" i="10"/>
  <c r="AH6" i="8"/>
  <c r="AH6" i="7"/>
  <c r="AH6" i="5"/>
  <c r="AH6" i="6"/>
  <c r="X18" i="14"/>
  <c r="X74" i="6"/>
  <c r="X87" i="6" s="1"/>
  <c r="Y69" i="6"/>
  <c r="AH61" i="1"/>
  <c r="AH70" i="1" s="1"/>
  <c r="V30" i="7"/>
  <c r="V13" i="11"/>
  <c r="V18" i="13" s="1"/>
  <c r="W80" i="6"/>
  <c r="W81" i="6" s="1"/>
  <c r="W29" i="14" s="1"/>
  <c r="AM15" i="5"/>
  <c r="AM17" i="6" s="1"/>
  <c r="AK5" i="4"/>
  <c r="AI5" i="1"/>
  <c r="AI18" i="1" s="1"/>
  <c r="AI58" i="1" s="1"/>
  <c r="AJ6" i="4"/>
  <c r="AH6" i="1"/>
  <c r="AJ24" i="2"/>
  <c r="AH11" i="5" s="1"/>
  <c r="AH11" i="6" s="1"/>
  <c r="AH11" i="7" s="1"/>
  <c r="AK60" i="2"/>
  <c r="AI55" i="1" s="1"/>
  <c r="AK59" i="2"/>
  <c r="AK48" i="2"/>
  <c r="AK54" i="2"/>
  <c r="AI16" i="1" s="1"/>
  <c r="AI56" i="1" s="1"/>
  <c r="AK52" i="2"/>
  <c r="AI14" i="1" s="1"/>
  <c r="AI24" i="1" s="1"/>
  <c r="AI35" i="1" s="1"/>
  <c r="AK39" i="2"/>
  <c r="AK46" i="2"/>
  <c r="AK41" i="2"/>
  <c r="AI37" i="8" s="1"/>
  <c r="AK23" i="2"/>
  <c r="AK30" i="2"/>
  <c r="AI13" i="7" s="1"/>
  <c r="AK25" i="2"/>
  <c r="AK18" i="2"/>
  <c r="AK6" i="2" s="1"/>
  <c r="AI6" i="18" s="1"/>
  <c r="AK28" i="2"/>
  <c r="AL5" i="2"/>
  <c r="AJ5" i="18" s="1"/>
  <c r="AJ57" i="18" s="1"/>
  <c r="AG34" i="2" l="1"/>
  <c r="AH32" i="2"/>
  <c r="AE36" i="9"/>
  <c r="AE15" i="7"/>
  <c r="AE14" i="6"/>
  <c r="AF8" i="4"/>
  <c r="AD8" i="1"/>
  <c r="AA39" i="6"/>
  <c r="AA25" i="7"/>
  <c r="AD56" i="8"/>
  <c r="AD58" i="8" s="1"/>
  <c r="AD55" i="8"/>
  <c r="AD40" i="8"/>
  <c r="AD39" i="8"/>
  <c r="AC41" i="8"/>
  <c r="AC41" i="13"/>
  <c r="AC99" i="8"/>
  <c r="AC134" i="8" s="1"/>
  <c r="AC136" i="8" s="1"/>
  <c r="AD51" i="6"/>
  <c r="AB59" i="6"/>
  <c r="AB61" i="6" s="1"/>
  <c r="AC16" i="13"/>
  <c r="AC29" i="7"/>
  <c r="AC11" i="11"/>
  <c r="AC45" i="9"/>
  <c r="Y71" i="6"/>
  <c r="Y72" i="6" s="1"/>
  <c r="Y18" i="14" s="1"/>
  <c r="AE15" i="1"/>
  <c r="AG56" i="2"/>
  <c r="AH53" i="2"/>
  <c r="AG57" i="2"/>
  <c r="AG8" i="2" s="1"/>
  <c r="AE93" i="8"/>
  <c r="AH47" i="2"/>
  <c r="AE115" i="8"/>
  <c r="AE135" i="8" s="1"/>
  <c r="AE36" i="8"/>
  <c r="AH40" i="2"/>
  <c r="AH43" i="2" s="1"/>
  <c r="AE13" i="12"/>
  <c r="AE18" i="12" s="1"/>
  <c r="AE39" i="13"/>
  <c r="AB101" i="8"/>
  <c r="AB43" i="13"/>
  <c r="AA14" i="13"/>
  <c r="AA11" i="10"/>
  <c r="AA26" i="7"/>
  <c r="AA79" i="6"/>
  <c r="AE7" i="10"/>
  <c r="AG7" i="4"/>
  <c r="AE7" i="9"/>
  <c r="AE7" i="1"/>
  <c r="AE7" i="8"/>
  <c r="AE7" i="15"/>
  <c r="AE7" i="6"/>
  <c r="AE7" i="14"/>
  <c r="AE7" i="5"/>
  <c r="AE7" i="13"/>
  <c r="AE7" i="7"/>
  <c r="AE7" i="12"/>
  <c r="AE7" i="11"/>
  <c r="AB38" i="6"/>
  <c r="AB41" i="7"/>
  <c r="AC42" i="13"/>
  <c r="AC100" i="8"/>
  <c r="Z70" i="6"/>
  <c r="Z13" i="13"/>
  <c r="Z10" i="10"/>
  <c r="Z13" i="10" s="1"/>
  <c r="Z63" i="6"/>
  <c r="AC20" i="7"/>
  <c r="AC21" i="7" s="1"/>
  <c r="AC37" i="6"/>
  <c r="AD39" i="7"/>
  <c r="AD19" i="7"/>
  <c r="AA44" i="8"/>
  <c r="AA48" i="8" s="1"/>
  <c r="AB43" i="8"/>
  <c r="AF12" i="5"/>
  <c r="AF12" i="6" s="1"/>
  <c r="AF35" i="9"/>
  <c r="AI29" i="2"/>
  <c r="AH19" i="2"/>
  <c r="AH7" i="2" s="1"/>
  <c r="AF7" i="18" s="1"/>
  <c r="Y10" i="11"/>
  <c r="Y14" i="10"/>
  <c r="AC57" i="6"/>
  <c r="AC58" i="6"/>
  <c r="AC55" i="6"/>
  <c r="AC56" i="6"/>
  <c r="AC40" i="7"/>
  <c r="AC54" i="6"/>
  <c r="AD34" i="5"/>
  <c r="AD36" i="5" s="1"/>
  <c r="AD38" i="5" s="1"/>
  <c r="AD27" i="6"/>
  <c r="AD28" i="6" s="1"/>
  <c r="AD30" i="6" s="1"/>
  <c r="AE47" i="6"/>
  <c r="AE48" i="6"/>
  <c r="AE24" i="6"/>
  <c r="AE50" i="6"/>
  <c r="AE49" i="6"/>
  <c r="AE45" i="6"/>
  <c r="AE46" i="6"/>
  <c r="AE12" i="7"/>
  <c r="AE44" i="6"/>
  <c r="AI6" i="14"/>
  <c r="AI6" i="15"/>
  <c r="AI6" i="13"/>
  <c r="AI6" i="12"/>
  <c r="AI6" i="11"/>
  <c r="AI6" i="10"/>
  <c r="AI6" i="9"/>
  <c r="AI6" i="8"/>
  <c r="AI6" i="6"/>
  <c r="AI6" i="7"/>
  <c r="AI6" i="5"/>
  <c r="AI61" i="1"/>
  <c r="AI70" i="1" s="1"/>
  <c r="AJ5" i="14"/>
  <c r="AJ5" i="15"/>
  <c r="AJ5" i="13"/>
  <c r="AJ5" i="12"/>
  <c r="AJ5" i="11"/>
  <c r="AJ5" i="9"/>
  <c r="AJ5" i="10"/>
  <c r="AJ5" i="8"/>
  <c r="AJ5" i="6"/>
  <c r="AJ5" i="5"/>
  <c r="AJ5" i="7"/>
  <c r="AI35" i="8"/>
  <c r="X78" i="6"/>
  <c r="W83" i="6"/>
  <c r="W88" i="6" s="1"/>
  <c r="W89" i="6" s="1"/>
  <c r="AN15" i="5"/>
  <c r="AN17" i="6" s="1"/>
  <c r="AL5" i="4"/>
  <c r="AJ5" i="1"/>
  <c r="AJ18" i="1" s="1"/>
  <c r="AJ58" i="1" s="1"/>
  <c r="AK6" i="4"/>
  <c r="AI6" i="1"/>
  <c r="AK24" i="2"/>
  <c r="AI11" i="5" s="1"/>
  <c r="AI11" i="6" s="1"/>
  <c r="AI11" i="7" s="1"/>
  <c r="AL60" i="2"/>
  <c r="AJ55" i="1" s="1"/>
  <c r="AL59" i="2"/>
  <c r="AL54" i="2"/>
  <c r="AJ16" i="1" s="1"/>
  <c r="AJ56" i="1" s="1"/>
  <c r="AL46" i="2"/>
  <c r="AL52" i="2"/>
  <c r="AJ14" i="1" s="1"/>
  <c r="AJ24" i="1" s="1"/>
  <c r="AJ35" i="1" s="1"/>
  <c r="AL48" i="2"/>
  <c r="AL39" i="2"/>
  <c r="AL41" i="2"/>
  <c r="AJ37" i="8" s="1"/>
  <c r="AL23" i="2"/>
  <c r="AL25" i="2"/>
  <c r="AL18" i="2"/>
  <c r="AL6" i="2" s="1"/>
  <c r="AJ6" i="18" s="1"/>
  <c r="AL30" i="2"/>
  <c r="AJ13" i="7" s="1"/>
  <c r="AL28" i="2"/>
  <c r="AM5" i="2"/>
  <c r="AK5" i="11" l="1"/>
  <c r="AK5" i="18"/>
  <c r="AK57" i="18" s="1"/>
  <c r="Z69" i="6"/>
  <c r="Z71" i="6" s="1"/>
  <c r="Z72" i="6" s="1"/>
  <c r="Z18" i="14" s="1"/>
  <c r="Y74" i="6"/>
  <c r="Y87" i="6" s="1"/>
  <c r="AA13" i="13"/>
  <c r="AA10" i="10"/>
  <c r="AA13" i="10" s="1"/>
  <c r="AA70" i="6"/>
  <c r="AA63" i="6"/>
  <c r="AF47" i="6"/>
  <c r="AF44" i="6"/>
  <c r="AF50" i="6"/>
  <c r="AF48" i="6"/>
  <c r="AF49" i="6"/>
  <c r="AF12" i="7"/>
  <c r="AF46" i="6"/>
  <c r="AF24" i="6"/>
  <c r="AF45" i="6"/>
  <c r="AB44" i="8"/>
  <c r="AB48" i="8" s="1"/>
  <c r="AC43" i="8"/>
  <c r="Z10" i="11"/>
  <c r="Z14" i="10"/>
  <c r="AF93" i="8"/>
  <c r="AI47" i="2"/>
  <c r="AC101" i="8"/>
  <c r="AC43" i="13"/>
  <c r="AE51" i="6"/>
  <c r="AD41" i="13"/>
  <c r="AD99" i="8"/>
  <c r="AD134" i="8" s="1"/>
  <c r="AD136" i="8" s="1"/>
  <c r="AD41" i="8"/>
  <c r="AE39" i="7"/>
  <c r="AE19" i="7"/>
  <c r="AD56" i="6"/>
  <c r="AD54" i="6"/>
  <c r="AD58" i="6"/>
  <c r="AD40" i="7"/>
  <c r="AD55" i="6"/>
  <c r="AD57" i="6"/>
  <c r="AG8" i="4"/>
  <c r="AE8" i="1"/>
  <c r="AD100" i="8"/>
  <c r="AD42" i="13"/>
  <c r="AD29" i="7"/>
  <c r="AD16" i="13"/>
  <c r="AD45" i="9"/>
  <c r="AD11" i="11"/>
  <c r="AD37" i="6"/>
  <c r="AD20" i="7"/>
  <c r="AD21" i="7" s="1"/>
  <c r="AF15" i="1"/>
  <c r="AH57" i="2"/>
  <c r="AH8" i="2" s="1"/>
  <c r="AH56" i="2"/>
  <c r="AI53" i="2"/>
  <c r="AC59" i="6"/>
  <c r="AC61" i="6" s="1"/>
  <c r="AF7" i="10"/>
  <c r="AF7" i="9"/>
  <c r="AF7" i="8"/>
  <c r="AH7" i="4"/>
  <c r="AF7" i="14"/>
  <c r="AF7" i="7"/>
  <c r="AF7" i="15"/>
  <c r="AF7" i="5"/>
  <c r="AF7" i="13"/>
  <c r="AF7" i="6"/>
  <c r="AF7" i="11"/>
  <c r="AF7" i="12"/>
  <c r="AF7" i="1"/>
  <c r="AF39" i="13"/>
  <c r="AF13" i="12"/>
  <c r="AF18" i="12" s="1"/>
  <c r="AI40" i="2"/>
  <c r="AF115" i="8"/>
  <c r="AF135" i="8" s="1"/>
  <c r="AF36" i="8"/>
  <c r="AB26" i="7"/>
  <c r="AB11" i="10"/>
  <c r="AB14" i="13"/>
  <c r="AB79" i="6"/>
  <c r="AF36" i="9"/>
  <c r="AF14" i="6"/>
  <c r="AF15" i="7"/>
  <c r="AH34" i="2"/>
  <c r="AI32" i="2"/>
  <c r="AJ61" i="1"/>
  <c r="AJ70" i="1" s="1"/>
  <c r="AC38" i="6"/>
  <c r="AC41" i="7"/>
  <c r="AG35" i="9"/>
  <c r="AG12" i="5"/>
  <c r="AG12" i="6" s="1"/>
  <c r="AI19" i="2"/>
  <c r="AI7" i="2" s="1"/>
  <c r="AG7" i="18" s="1"/>
  <c r="AJ29" i="2"/>
  <c r="AB39" i="6"/>
  <c r="AB25" i="7"/>
  <c r="AE55" i="8"/>
  <c r="AE56" i="8"/>
  <c r="AE58" i="8" s="1"/>
  <c r="AE40" i="8"/>
  <c r="AE39" i="8"/>
  <c r="AE27" i="6"/>
  <c r="AE28" i="6" s="1"/>
  <c r="AE30" i="6" s="1"/>
  <c r="AE34" i="5"/>
  <c r="AE36" i="5" s="1"/>
  <c r="AE38" i="5" s="1"/>
  <c r="AJ35" i="8"/>
  <c r="AK5" i="14"/>
  <c r="AK5" i="15"/>
  <c r="AK5" i="13"/>
  <c r="AK5" i="12"/>
  <c r="AK5" i="9"/>
  <c r="AK5" i="10"/>
  <c r="AK5" i="8"/>
  <c r="AK5" i="6"/>
  <c r="AK5" i="7"/>
  <c r="AK5" i="5"/>
  <c r="AJ6" i="15"/>
  <c r="AJ6" i="14"/>
  <c r="AJ6" i="12"/>
  <c r="AJ6" i="13"/>
  <c r="AJ6" i="11"/>
  <c r="AJ6" i="10"/>
  <c r="AJ6" i="9"/>
  <c r="AJ6" i="8"/>
  <c r="AJ6" i="6"/>
  <c r="AJ6" i="7"/>
  <c r="AJ6" i="5"/>
  <c r="W30" i="7"/>
  <c r="W13" i="11"/>
  <c r="W18" i="13" s="1"/>
  <c r="Z74" i="6"/>
  <c r="Z87" i="6" s="1"/>
  <c r="AA69" i="6"/>
  <c r="X80" i="6"/>
  <c r="X81" i="6" s="1"/>
  <c r="X29" i="14" s="1"/>
  <c r="AO15" i="5"/>
  <c r="AO17" i="6" s="1"/>
  <c r="AM5" i="4"/>
  <c r="AK5" i="1"/>
  <c r="AK18" i="1" s="1"/>
  <c r="AK58" i="1" s="1"/>
  <c r="AL6" i="4"/>
  <c r="AJ6" i="1"/>
  <c r="AL24" i="2"/>
  <c r="AJ11" i="5" s="1"/>
  <c r="AJ11" i="6" s="1"/>
  <c r="AJ11" i="7" s="1"/>
  <c r="AM60" i="2"/>
  <c r="AK55" i="1" s="1"/>
  <c r="AM59" i="2"/>
  <c r="AM54" i="2"/>
  <c r="AK16" i="1" s="1"/>
  <c r="AK56" i="1" s="1"/>
  <c r="AM52" i="2"/>
  <c r="AK14" i="1" s="1"/>
  <c r="AK24" i="1" s="1"/>
  <c r="AK35" i="1" s="1"/>
  <c r="AM48" i="2"/>
  <c r="AM39" i="2"/>
  <c r="AM46" i="2"/>
  <c r="AM41" i="2"/>
  <c r="AK37" i="8" s="1"/>
  <c r="AM25" i="2"/>
  <c r="AM28" i="2"/>
  <c r="AM23" i="2"/>
  <c r="AM18" i="2"/>
  <c r="AM6" i="2" s="1"/>
  <c r="AM30" i="2"/>
  <c r="AK13" i="7" s="1"/>
  <c r="AN5" i="2"/>
  <c r="AL5" i="11" l="1"/>
  <c r="AL5" i="18"/>
  <c r="AL57" i="18" s="1"/>
  <c r="AK6" i="11"/>
  <c r="AK6" i="18"/>
  <c r="AK61" i="1"/>
  <c r="AK70" i="1" s="1"/>
  <c r="AH8" i="4"/>
  <c r="AF8" i="1"/>
  <c r="AC44" i="8"/>
  <c r="AC48" i="8" s="1"/>
  <c r="AD43" i="8"/>
  <c r="AB63" i="6"/>
  <c r="AB10" i="10"/>
  <c r="AB13" i="10" s="1"/>
  <c r="AB13" i="13"/>
  <c r="AB70" i="6"/>
  <c r="AG14" i="6"/>
  <c r="AG15" i="7"/>
  <c r="AJ32" i="2"/>
  <c r="AI34" i="2"/>
  <c r="AG36" i="9"/>
  <c r="AD59" i="6"/>
  <c r="AD61" i="6" s="1"/>
  <c r="AF51" i="6"/>
  <c r="AE11" i="11"/>
  <c r="AE29" i="7"/>
  <c r="AE45" i="9"/>
  <c r="AE16" i="13"/>
  <c r="AH12" i="5"/>
  <c r="AH12" i="6" s="1"/>
  <c r="AH35" i="9"/>
  <c r="AK29" i="2"/>
  <c r="AJ19" i="2"/>
  <c r="AJ7" i="2" s="1"/>
  <c r="AH7" i="18" s="1"/>
  <c r="AF34" i="5"/>
  <c r="AF36" i="5" s="1"/>
  <c r="AF38" i="5" s="1"/>
  <c r="AF27" i="6"/>
  <c r="AF28" i="6" s="1"/>
  <c r="AF30" i="6" s="1"/>
  <c r="AF55" i="8"/>
  <c r="AF56" i="8"/>
  <c r="AF58" i="8" s="1"/>
  <c r="AF40" i="8"/>
  <c r="AF39" i="8"/>
  <c r="AE56" i="6"/>
  <c r="AE40" i="7"/>
  <c r="AE57" i="6"/>
  <c r="AE54" i="6"/>
  <c r="AE55" i="6"/>
  <c r="AE58" i="6"/>
  <c r="AG7" i="15"/>
  <c r="AG7" i="7"/>
  <c r="AG7" i="12"/>
  <c r="AG7" i="5"/>
  <c r="AG7" i="13"/>
  <c r="AG7" i="11"/>
  <c r="AI7" i="4"/>
  <c r="AG7" i="14"/>
  <c r="AG7" i="10"/>
  <c r="AG7" i="9"/>
  <c r="AG7" i="8"/>
  <c r="AG7" i="1"/>
  <c r="AG7" i="6"/>
  <c r="AE41" i="13"/>
  <c r="AE41" i="8"/>
  <c r="AE99" i="8"/>
  <c r="AE134" i="8" s="1"/>
  <c r="AE136" i="8" s="1"/>
  <c r="AG46" i="6"/>
  <c r="AG49" i="6"/>
  <c r="AG48" i="6"/>
  <c r="AG12" i="7"/>
  <c r="AG44" i="6"/>
  <c r="AG24" i="6"/>
  <c r="AG50" i="6"/>
  <c r="AG47" i="6"/>
  <c r="AG45" i="6"/>
  <c r="AG36" i="8"/>
  <c r="AJ40" i="2"/>
  <c r="AG115" i="8"/>
  <c r="AG135" i="8" s="1"/>
  <c r="AG39" i="13"/>
  <c r="AG13" i="12"/>
  <c r="AG18" i="12" s="1"/>
  <c r="AC79" i="6"/>
  <c r="AC11" i="10"/>
  <c r="AC14" i="13"/>
  <c r="AC26" i="7"/>
  <c r="AE20" i="7"/>
  <c r="AE21" i="7" s="1"/>
  <c r="AE37" i="6"/>
  <c r="AG93" i="8"/>
  <c r="AJ47" i="2"/>
  <c r="AD38" i="6"/>
  <c r="AD41" i="7"/>
  <c r="AE42" i="13"/>
  <c r="AE100" i="8"/>
  <c r="AI43" i="2"/>
  <c r="AJ43" i="2" s="1"/>
  <c r="AF19" i="7"/>
  <c r="AF39" i="7"/>
  <c r="AA10" i="11"/>
  <c r="AA14" i="10"/>
  <c r="AC39" i="6"/>
  <c r="AC25" i="7"/>
  <c r="AG15" i="1"/>
  <c r="AI56" i="2"/>
  <c r="AI57" i="2"/>
  <c r="AI8" i="2" s="1"/>
  <c r="AJ53" i="2"/>
  <c r="AD101" i="8"/>
  <c r="AD43" i="13"/>
  <c r="AL5" i="14"/>
  <c r="AL5" i="15"/>
  <c r="AL5" i="13"/>
  <c r="AL5" i="12"/>
  <c r="AL5" i="9"/>
  <c r="AL5" i="10"/>
  <c r="AL5" i="8"/>
  <c r="AL5" i="7"/>
  <c r="AL5" i="5"/>
  <c r="AL5" i="6"/>
  <c r="AK35" i="8"/>
  <c r="AK6" i="14"/>
  <c r="AK6" i="15"/>
  <c r="AK6" i="13"/>
  <c r="AK6" i="12"/>
  <c r="AK6" i="10"/>
  <c r="AK6" i="9"/>
  <c r="AK6" i="8"/>
  <c r="AK6" i="7"/>
  <c r="AK6" i="5"/>
  <c r="AK6" i="6"/>
  <c r="X83" i="6"/>
  <c r="X88" i="6" s="1"/>
  <c r="X89" i="6" s="1"/>
  <c r="Y78" i="6"/>
  <c r="AA71" i="6"/>
  <c r="AA72" i="6" s="1"/>
  <c r="AA18" i="14" s="1"/>
  <c r="AP15" i="5"/>
  <c r="AP17" i="6" s="1"/>
  <c r="AN5" i="4"/>
  <c r="AL5" i="1"/>
  <c r="AL18" i="1" s="1"/>
  <c r="AL58" i="1" s="1"/>
  <c r="AM6" i="4"/>
  <c r="AK6" i="1"/>
  <c r="AM24" i="2"/>
  <c r="AK11" i="5" s="1"/>
  <c r="AK11" i="6" s="1"/>
  <c r="AK11" i="7" s="1"/>
  <c r="AN59" i="2"/>
  <c r="AN54" i="2"/>
  <c r="AL16" i="1" s="1"/>
  <c r="AL56" i="1" s="1"/>
  <c r="AN60" i="2"/>
  <c r="AL55" i="1" s="1"/>
  <c r="AN46" i="2"/>
  <c r="AN52" i="2"/>
  <c r="AL14" i="1" s="1"/>
  <c r="AL24" i="1" s="1"/>
  <c r="AL35" i="1" s="1"/>
  <c r="AN48" i="2"/>
  <c r="AN39" i="2"/>
  <c r="AN41" i="2"/>
  <c r="AL37" i="8" s="1"/>
  <c r="AN25" i="2"/>
  <c r="AN28" i="2"/>
  <c r="AN18" i="2"/>
  <c r="AN6" i="2" s="1"/>
  <c r="AN23" i="2"/>
  <c r="AO5" i="2"/>
  <c r="AN30" i="2"/>
  <c r="AL13" i="7" s="1"/>
  <c r="AM5" i="11" l="1"/>
  <c r="AM5" i="18"/>
  <c r="AM57" i="18" s="1"/>
  <c r="AL6" i="18"/>
  <c r="AL6" i="11"/>
  <c r="AH115" i="8"/>
  <c r="AH135" i="8" s="1"/>
  <c r="AK40" i="2"/>
  <c r="AK43" i="2" s="1"/>
  <c r="AH36" i="8"/>
  <c r="AH39" i="13"/>
  <c r="AH13" i="12"/>
  <c r="AH18" i="12" s="1"/>
  <c r="AG39" i="7"/>
  <c r="AG19" i="7"/>
  <c r="AE38" i="6"/>
  <c r="AE41" i="7"/>
  <c r="AF45" i="9"/>
  <c r="AF29" i="7"/>
  <c r="AF16" i="13"/>
  <c r="AF11" i="11"/>
  <c r="AG39" i="8"/>
  <c r="AG56" i="8"/>
  <c r="AG58" i="8" s="1"/>
  <c r="AG55" i="8"/>
  <c r="AG40" i="8"/>
  <c r="AI35" i="9"/>
  <c r="AI12" i="5"/>
  <c r="AI12" i="6" s="1"/>
  <c r="AK19" i="2"/>
  <c r="AK7" i="2" s="1"/>
  <c r="AI7" i="18" s="1"/>
  <c r="AL29" i="2"/>
  <c r="AD79" i="6"/>
  <c r="AD14" i="13"/>
  <c r="AD26" i="7"/>
  <c r="AD11" i="10"/>
  <c r="AB14" i="10"/>
  <c r="AB10" i="11"/>
  <c r="AC70" i="6"/>
  <c r="AC13" i="13"/>
  <c r="AC10" i="10"/>
  <c r="AC13" i="10" s="1"/>
  <c r="AC63" i="6"/>
  <c r="AF99" i="8"/>
  <c r="AF134" i="8" s="1"/>
  <c r="AF136" i="8" s="1"/>
  <c r="AF41" i="13"/>
  <c r="AF41" i="8"/>
  <c r="AH7" i="15"/>
  <c r="AH7" i="6"/>
  <c r="AJ7" i="4"/>
  <c r="AH7" i="8"/>
  <c r="AH7" i="14"/>
  <c r="AH7" i="5"/>
  <c r="AH7" i="1"/>
  <c r="AH7" i="13"/>
  <c r="AH7" i="7"/>
  <c r="AH7" i="12"/>
  <c r="AH7" i="11"/>
  <c r="AH7" i="10"/>
  <c r="AH7" i="9"/>
  <c r="AF42" i="13"/>
  <c r="AF100" i="8"/>
  <c r="AH12" i="7"/>
  <c r="AH49" i="6"/>
  <c r="AH24" i="6"/>
  <c r="AH48" i="6"/>
  <c r="AH50" i="6"/>
  <c r="AH44" i="6"/>
  <c r="AH45" i="6"/>
  <c r="AH47" i="6"/>
  <c r="AH46" i="6"/>
  <c r="AD44" i="8"/>
  <c r="AD48" i="8" s="1"/>
  <c r="AE43" i="8"/>
  <c r="AE101" i="8"/>
  <c r="AE43" i="13"/>
  <c r="AH36" i="9"/>
  <c r="AH14" i="6"/>
  <c r="AK32" i="2"/>
  <c r="AH15" i="7"/>
  <c r="AJ34" i="2"/>
  <c r="AD25" i="7"/>
  <c r="AD39" i="6"/>
  <c r="AG27" i="6"/>
  <c r="AG28" i="6" s="1"/>
  <c r="AG30" i="6" s="1"/>
  <c r="AG34" i="5"/>
  <c r="AG36" i="5" s="1"/>
  <c r="AG38" i="5" s="1"/>
  <c r="AH15" i="1"/>
  <c r="AJ56" i="2"/>
  <c r="AK53" i="2"/>
  <c r="AJ57" i="2"/>
  <c r="AJ8" i="2" s="1"/>
  <c r="AH93" i="8"/>
  <c r="AK47" i="2"/>
  <c r="AE59" i="6"/>
  <c r="AE61" i="6" s="1"/>
  <c r="AG8" i="1"/>
  <c r="AI8" i="4"/>
  <c r="AF20" i="7"/>
  <c r="AF21" i="7" s="1"/>
  <c r="AF37" i="6"/>
  <c r="AG51" i="6"/>
  <c r="AF55" i="6"/>
  <c r="AF54" i="6"/>
  <c r="AF56" i="6"/>
  <c r="AF57" i="6"/>
  <c r="AF58" i="6"/>
  <c r="AF40" i="7"/>
  <c r="AL35" i="8"/>
  <c r="AM5" i="15"/>
  <c r="AM5" i="13"/>
  <c r="AM5" i="12"/>
  <c r="AM5" i="10"/>
  <c r="AM5" i="14"/>
  <c r="AM5" i="9"/>
  <c r="AM5" i="8"/>
  <c r="AM5" i="7"/>
  <c r="AM5" i="6"/>
  <c r="AM5" i="5"/>
  <c r="AL6" i="14"/>
  <c r="AL6" i="15"/>
  <c r="AL6" i="13"/>
  <c r="AL6" i="12"/>
  <c r="AL6" i="10"/>
  <c r="AL6" i="9"/>
  <c r="AL6" i="8"/>
  <c r="AL6" i="6"/>
  <c r="AL6" i="7"/>
  <c r="AL6" i="5"/>
  <c r="AL61" i="1"/>
  <c r="AL70" i="1" s="1"/>
  <c r="X30" i="7"/>
  <c r="X13" i="11"/>
  <c r="X18" i="13" s="1"/>
  <c r="AA74" i="6"/>
  <c r="AA87" i="6" s="1"/>
  <c r="AB69" i="6"/>
  <c r="Y80" i="6"/>
  <c r="Y81" i="6" s="1"/>
  <c r="Y29" i="14" s="1"/>
  <c r="AQ15" i="5"/>
  <c r="AQ17" i="6" s="1"/>
  <c r="AN6" i="4"/>
  <c r="AL6" i="1"/>
  <c r="AO5" i="4"/>
  <c r="AM5" i="1"/>
  <c r="AM18" i="1" s="1"/>
  <c r="AM58" i="1" s="1"/>
  <c r="AN24" i="2"/>
  <c r="AL11" i="5" s="1"/>
  <c r="AL11" i="6" s="1"/>
  <c r="AL11" i="7" s="1"/>
  <c r="AO52" i="2"/>
  <c r="AM14" i="1" s="1"/>
  <c r="AM24" i="1" s="1"/>
  <c r="AM35" i="1" s="1"/>
  <c r="AO59" i="2"/>
  <c r="AO60" i="2"/>
  <c r="AM55" i="1" s="1"/>
  <c r="AO46" i="2"/>
  <c r="AO54" i="2"/>
  <c r="AM16" i="1" s="1"/>
  <c r="AM56" i="1" s="1"/>
  <c r="AO48" i="2"/>
  <c r="AO41" i="2"/>
  <c r="AM37" i="8" s="1"/>
  <c r="AO25" i="2"/>
  <c r="AO28" i="2"/>
  <c r="AO18" i="2"/>
  <c r="AO6" i="2" s="1"/>
  <c r="AO39" i="2"/>
  <c r="AO30" i="2"/>
  <c r="AM13" i="7" s="1"/>
  <c r="AO23" i="2"/>
  <c r="AP5" i="2"/>
  <c r="AM6" i="11" l="1"/>
  <c r="AM6" i="18"/>
  <c r="AN5" i="11"/>
  <c r="AN5" i="18"/>
  <c r="AN57" i="18" s="1"/>
  <c r="AF59" i="6"/>
  <c r="AF61" i="6" s="1"/>
  <c r="AF26" i="7" s="1"/>
  <c r="AD70" i="6"/>
  <c r="AD13" i="13"/>
  <c r="AD63" i="6"/>
  <c r="AD10" i="10"/>
  <c r="AD13" i="10" s="1"/>
  <c r="AC10" i="11"/>
  <c r="AC14" i="10"/>
  <c r="AG41" i="8"/>
  <c r="AG41" i="13"/>
  <c r="AG99" i="8"/>
  <c r="AG134" i="8" s="1"/>
  <c r="AG136" i="8" s="1"/>
  <c r="AG20" i="7"/>
  <c r="AG21" i="7" s="1"/>
  <c r="AG37" i="6"/>
  <c r="AH8" i="1"/>
  <c r="AJ8" i="4"/>
  <c r="AH27" i="6"/>
  <c r="AH28" i="6" s="1"/>
  <c r="AH30" i="6" s="1"/>
  <c r="AH34" i="5"/>
  <c r="AH36" i="5" s="1"/>
  <c r="AH38" i="5" s="1"/>
  <c r="AF43" i="8"/>
  <c r="AE44" i="8"/>
  <c r="AE48" i="8" s="1"/>
  <c r="AJ35" i="9"/>
  <c r="AJ12" i="5"/>
  <c r="AJ12" i="6" s="1"/>
  <c r="AL19" i="2"/>
  <c r="AL7" i="2" s="1"/>
  <c r="AJ7" i="18" s="1"/>
  <c r="AM29" i="2"/>
  <c r="AI15" i="1"/>
  <c r="AK57" i="2"/>
  <c r="AK8" i="2" s="1"/>
  <c r="AL53" i="2"/>
  <c r="AK56" i="2"/>
  <c r="AI7" i="11"/>
  <c r="AI7" i="10"/>
  <c r="AI7" i="8"/>
  <c r="AI7" i="6"/>
  <c r="AI7" i="9"/>
  <c r="AI7" i="1"/>
  <c r="AI7" i="15"/>
  <c r="AI7" i="7"/>
  <c r="AK7" i="4"/>
  <c r="AI7" i="14"/>
  <c r="AI7" i="5"/>
  <c r="AI7" i="12"/>
  <c r="AI7" i="13"/>
  <c r="AF38" i="6"/>
  <c r="AF41" i="7"/>
  <c r="AI36" i="9"/>
  <c r="AL32" i="2"/>
  <c r="AK34" i="2"/>
  <c r="AI15" i="7"/>
  <c r="AI14" i="6"/>
  <c r="AH19" i="7"/>
  <c r="AH39" i="7"/>
  <c r="AI49" i="6"/>
  <c r="AI48" i="6"/>
  <c r="AI46" i="6"/>
  <c r="AI44" i="6"/>
  <c r="AI47" i="6"/>
  <c r="AI45" i="6"/>
  <c r="AI12" i="7"/>
  <c r="AI50" i="6"/>
  <c r="AI24" i="6"/>
  <c r="AF79" i="6"/>
  <c r="AF11" i="10"/>
  <c r="AF43" i="13"/>
  <c r="AF101" i="8"/>
  <c r="AH39" i="8"/>
  <c r="AH55" i="8"/>
  <c r="AH56" i="8"/>
  <c r="AH58" i="8" s="1"/>
  <c r="AH40" i="8"/>
  <c r="AI93" i="8"/>
  <c r="AL47" i="2"/>
  <c r="AG11" i="11"/>
  <c r="AG29" i="7"/>
  <c r="AG45" i="9"/>
  <c r="AG16" i="13"/>
  <c r="AG100" i="8"/>
  <c r="AG42" i="13"/>
  <c r="AE25" i="7"/>
  <c r="AE39" i="6"/>
  <c r="AI39" i="13"/>
  <c r="AI13" i="12"/>
  <c r="AI18" i="12" s="1"/>
  <c r="AI115" i="8"/>
  <c r="AI135" i="8" s="1"/>
  <c r="AI36" i="8"/>
  <c r="AL40" i="2"/>
  <c r="AE26" i="7"/>
  <c r="AE11" i="10"/>
  <c r="AE79" i="6"/>
  <c r="AE14" i="13"/>
  <c r="AG57" i="6"/>
  <c r="AG40" i="7"/>
  <c r="AG54" i="6"/>
  <c r="AG55" i="6"/>
  <c r="AG58" i="6"/>
  <c r="AG56" i="6"/>
  <c r="AH51" i="6"/>
  <c r="AN5" i="14"/>
  <c r="AN5" i="15"/>
  <c r="AN5" i="13"/>
  <c r="AN5" i="12"/>
  <c r="AN5" i="10"/>
  <c r="AN5" i="9"/>
  <c r="AN5" i="8"/>
  <c r="AN5" i="7"/>
  <c r="AN5" i="6"/>
  <c r="AN5" i="5"/>
  <c r="AM35" i="8"/>
  <c r="AM6" i="15"/>
  <c r="AM6" i="14"/>
  <c r="AM6" i="13"/>
  <c r="AM6" i="12"/>
  <c r="AM6" i="10"/>
  <c r="AM6" i="9"/>
  <c r="AM6" i="8"/>
  <c r="AM6" i="7"/>
  <c r="AM6" i="5"/>
  <c r="AM6" i="6"/>
  <c r="AM61" i="1"/>
  <c r="AM70" i="1" s="1"/>
  <c r="Z78" i="6"/>
  <c r="Y83" i="6"/>
  <c r="Y88" i="6" s="1"/>
  <c r="Y89" i="6" s="1"/>
  <c r="AB71" i="6"/>
  <c r="AB72" i="6" s="1"/>
  <c r="AB18" i="14" s="1"/>
  <c r="AR15" i="5"/>
  <c r="AR17" i="6" s="1"/>
  <c r="AP5" i="4"/>
  <c r="AN5" i="1"/>
  <c r="AN18" i="1" s="1"/>
  <c r="AN58" i="1" s="1"/>
  <c r="AO6" i="4"/>
  <c r="AM6" i="1"/>
  <c r="AO24" i="2"/>
  <c r="AM11" i="5" s="1"/>
  <c r="AM11" i="6" s="1"/>
  <c r="AM11" i="7" s="1"/>
  <c r="AP59" i="2"/>
  <c r="AP60" i="2"/>
  <c r="AN55" i="1" s="1"/>
  <c r="AP46" i="2"/>
  <c r="AP54" i="2"/>
  <c r="AN16" i="1" s="1"/>
  <c r="AN56" i="1" s="1"/>
  <c r="AP52" i="2"/>
  <c r="AN14" i="1" s="1"/>
  <c r="AN24" i="1" s="1"/>
  <c r="AN35" i="1" s="1"/>
  <c r="AP48" i="2"/>
  <c r="AP41" i="2"/>
  <c r="AN37" i="8" s="1"/>
  <c r="AP30" i="2"/>
  <c r="AN13" i="7" s="1"/>
  <c r="AP39" i="2"/>
  <c r="AP28" i="2"/>
  <c r="AP18" i="2"/>
  <c r="AP6" i="2" s="1"/>
  <c r="AP25" i="2"/>
  <c r="AQ5" i="2"/>
  <c r="AP23" i="2"/>
  <c r="AF14" i="13" l="1"/>
  <c r="AN6" i="11"/>
  <c r="AN6" i="18"/>
  <c r="AO5" i="11"/>
  <c r="AO5" i="18"/>
  <c r="AO57" i="18" s="1"/>
  <c r="AN61" i="1"/>
  <c r="AN70" i="1" s="1"/>
  <c r="AI51" i="6"/>
  <c r="AH55" i="6"/>
  <c r="AH58" i="6"/>
  <c r="AH40" i="7"/>
  <c r="AH54" i="6"/>
  <c r="AH57" i="6"/>
  <c r="AH56" i="6"/>
  <c r="AK8" i="4"/>
  <c r="AI8" i="1"/>
  <c r="AF44" i="8"/>
  <c r="AF48" i="8" s="1"/>
  <c r="AG43" i="8"/>
  <c r="AH16" i="13"/>
  <c r="AH11" i="11"/>
  <c r="AH45" i="9"/>
  <c r="AH29" i="7"/>
  <c r="AG43" i="13"/>
  <c r="AG101" i="8"/>
  <c r="AE63" i="6"/>
  <c r="AE13" i="13"/>
  <c r="AE10" i="10"/>
  <c r="AE13" i="10" s="1"/>
  <c r="AE70" i="6"/>
  <c r="AI27" i="6"/>
  <c r="AI28" i="6" s="1"/>
  <c r="AI30" i="6" s="1"/>
  <c r="AI34" i="5"/>
  <c r="AI36" i="5" s="1"/>
  <c r="AI38" i="5" s="1"/>
  <c r="AK35" i="9"/>
  <c r="AK12" i="5"/>
  <c r="AK12" i="6" s="1"/>
  <c r="AM19" i="2"/>
  <c r="AM7" i="2" s="1"/>
  <c r="AN29" i="2"/>
  <c r="AH42" i="13"/>
  <c r="AH100" i="8"/>
  <c r="AJ36" i="9"/>
  <c r="AJ15" i="7"/>
  <c r="AJ14" i="6"/>
  <c r="AL34" i="2"/>
  <c r="AM32" i="2"/>
  <c r="AJ7" i="8"/>
  <c r="AL7" i="4"/>
  <c r="AJ7" i="14"/>
  <c r="AJ7" i="6"/>
  <c r="AJ7" i="1"/>
  <c r="AJ7" i="15"/>
  <c r="AJ7" i="5"/>
  <c r="AJ7" i="13"/>
  <c r="AJ7" i="7"/>
  <c r="AJ7" i="12"/>
  <c r="AJ7" i="11"/>
  <c r="AJ7" i="10"/>
  <c r="AJ7" i="9"/>
  <c r="AD14" i="10"/>
  <c r="AD10" i="11"/>
  <c r="AJ93" i="8"/>
  <c r="AM47" i="2"/>
  <c r="AM40" i="2"/>
  <c r="AJ39" i="13"/>
  <c r="AJ115" i="8"/>
  <c r="AJ135" i="8" s="1"/>
  <c r="AJ13" i="12"/>
  <c r="AJ18" i="12" s="1"/>
  <c r="AJ36" i="8"/>
  <c r="AJ48" i="6"/>
  <c r="AJ50" i="6"/>
  <c r="AJ12" i="7"/>
  <c r="AJ44" i="6"/>
  <c r="AJ24" i="6"/>
  <c r="AJ47" i="6"/>
  <c r="AJ49" i="6"/>
  <c r="AJ45" i="6"/>
  <c r="AJ46" i="6"/>
  <c r="AG59" i="6"/>
  <c r="AG61" i="6" s="1"/>
  <c r="AI39" i="8"/>
  <c r="AI56" i="8"/>
  <c r="AI58" i="8" s="1"/>
  <c r="AI40" i="8"/>
  <c r="AI55" i="8"/>
  <c r="AL43" i="2"/>
  <c r="AF25" i="7"/>
  <c r="AF39" i="6"/>
  <c r="AG38" i="6"/>
  <c r="AG41" i="7"/>
  <c r="AH99" i="8"/>
  <c r="AH134" i="8" s="1"/>
  <c r="AH136" i="8" s="1"/>
  <c r="AH41" i="8"/>
  <c r="AH41" i="13"/>
  <c r="AI19" i="7"/>
  <c r="AI39" i="7"/>
  <c r="AH37" i="6"/>
  <c r="AH20" i="7"/>
  <c r="AH21" i="7" s="1"/>
  <c r="AJ15" i="1"/>
  <c r="AL57" i="2"/>
  <c r="AL8" i="2" s="1"/>
  <c r="AL56" i="2"/>
  <c r="AM53" i="2"/>
  <c r="AO5" i="14"/>
  <c r="AO5" i="15"/>
  <c r="AO5" i="13"/>
  <c r="AO5" i="10"/>
  <c r="AO5" i="12"/>
  <c r="AO5" i="9"/>
  <c r="AO5" i="8"/>
  <c r="AO5" i="6"/>
  <c r="AO5" i="5"/>
  <c r="AO5" i="7"/>
  <c r="AN6" i="15"/>
  <c r="AN6" i="13"/>
  <c r="AN6" i="14"/>
  <c r="AN6" i="10"/>
  <c r="AN6" i="12"/>
  <c r="AN6" i="9"/>
  <c r="AN6" i="8"/>
  <c r="AN6" i="7"/>
  <c r="AN6" i="6"/>
  <c r="AN6" i="5"/>
  <c r="AN35" i="8"/>
  <c r="Y30" i="7"/>
  <c r="Y13" i="11"/>
  <c r="Y18" i="13" s="1"/>
  <c r="AC69" i="6"/>
  <c r="AB74" i="6"/>
  <c r="AB87" i="6" s="1"/>
  <c r="Z80" i="6"/>
  <c r="Z81" i="6" s="1"/>
  <c r="Z29" i="14" s="1"/>
  <c r="AS15" i="5"/>
  <c r="AS17" i="6" s="1"/>
  <c r="AP6" i="4"/>
  <c r="AN6" i="1"/>
  <c r="AQ5" i="4"/>
  <c r="AO5" i="1"/>
  <c r="AO18" i="1" s="1"/>
  <c r="AO58" i="1" s="1"/>
  <c r="AP24" i="2"/>
  <c r="AN11" i="5" s="1"/>
  <c r="AN11" i="6" s="1"/>
  <c r="AN11" i="7" s="1"/>
  <c r="AQ59" i="2"/>
  <c r="AQ54" i="2"/>
  <c r="AO16" i="1" s="1"/>
  <c r="AO56" i="1" s="1"/>
  <c r="AQ60" i="2"/>
  <c r="AO55" i="1" s="1"/>
  <c r="AQ52" i="2"/>
  <c r="AO14" i="1" s="1"/>
  <c r="AO24" i="1" s="1"/>
  <c r="AO35" i="1" s="1"/>
  <c r="AQ48" i="2"/>
  <c r="AQ41" i="2"/>
  <c r="AO37" i="8" s="1"/>
  <c r="AQ30" i="2"/>
  <c r="AO13" i="7" s="1"/>
  <c r="AQ46" i="2"/>
  <c r="AQ39" i="2"/>
  <c r="AQ23" i="2"/>
  <c r="AQ28" i="2"/>
  <c r="AQ18" i="2"/>
  <c r="AQ6" i="2" s="1"/>
  <c r="AR5" i="2"/>
  <c r="AQ25" i="2"/>
  <c r="AP5" i="18" l="1"/>
  <c r="AP57" i="18" s="1"/>
  <c r="AP5" i="11"/>
  <c r="AK7" i="11"/>
  <c r="AK7" i="18"/>
  <c r="AO6" i="11"/>
  <c r="AO6" i="18"/>
  <c r="AM43" i="2"/>
  <c r="AO61" i="1"/>
  <c r="AO70" i="1" s="1"/>
  <c r="AJ40" i="8"/>
  <c r="AJ39" i="8"/>
  <c r="AJ55" i="8"/>
  <c r="AJ56" i="8"/>
  <c r="AJ58" i="8" s="1"/>
  <c r="AK15" i="1"/>
  <c r="AN53" i="2"/>
  <c r="AM56" i="2"/>
  <c r="AM57" i="2"/>
  <c r="AM8" i="2" s="1"/>
  <c r="AI45" i="9"/>
  <c r="AI11" i="11"/>
  <c r="AI16" i="13"/>
  <c r="AI29" i="7"/>
  <c r="AH101" i="8"/>
  <c r="AH43" i="13"/>
  <c r="AI42" i="13"/>
  <c r="AI100" i="8"/>
  <c r="AI55" i="6"/>
  <c r="AI40" i="7"/>
  <c r="AI57" i="6"/>
  <c r="AI58" i="6"/>
  <c r="AI56" i="6"/>
  <c r="AI54" i="6"/>
  <c r="AL8" i="4"/>
  <c r="AJ8" i="1"/>
  <c r="AG25" i="7"/>
  <c r="AG39" i="6"/>
  <c r="AI41" i="8"/>
  <c r="AI99" i="8"/>
  <c r="AI134" i="8" s="1"/>
  <c r="AI136" i="8" s="1"/>
  <c r="AI41" i="13"/>
  <c r="AJ51" i="6"/>
  <c r="AK13" i="12"/>
  <c r="AK18" i="12" s="1"/>
  <c r="AK115" i="8"/>
  <c r="AK135" i="8" s="1"/>
  <c r="AK36" i="8"/>
  <c r="AK39" i="13"/>
  <c r="AN40" i="2"/>
  <c r="AH59" i="6"/>
  <c r="AH61" i="6" s="1"/>
  <c r="AG79" i="6"/>
  <c r="AG14" i="13"/>
  <c r="AG26" i="7"/>
  <c r="AG11" i="10"/>
  <c r="AJ39" i="7"/>
  <c r="AJ19" i="7"/>
  <c r="AK93" i="8"/>
  <c r="AN47" i="2"/>
  <c r="AL12" i="5"/>
  <c r="AL12" i="6" s="1"/>
  <c r="AL35" i="9"/>
  <c r="AO29" i="2"/>
  <c r="AN19" i="2"/>
  <c r="AN7" i="2" s="1"/>
  <c r="AE14" i="10"/>
  <c r="AE10" i="11"/>
  <c r="AH41" i="7"/>
  <c r="AH38" i="6"/>
  <c r="AF13" i="13"/>
  <c r="AF10" i="10"/>
  <c r="AF13" i="10" s="1"/>
  <c r="AF63" i="6"/>
  <c r="AF70" i="6"/>
  <c r="AK14" i="6"/>
  <c r="AK15" i="7"/>
  <c r="AN32" i="2"/>
  <c r="AK36" i="9"/>
  <c r="AM34" i="2"/>
  <c r="AK7" i="14"/>
  <c r="AK7" i="7"/>
  <c r="AK7" i="15"/>
  <c r="AK7" i="5"/>
  <c r="AK7" i="1"/>
  <c r="AK7" i="13"/>
  <c r="AK7" i="6"/>
  <c r="AK7" i="12"/>
  <c r="AK7" i="9"/>
  <c r="AM7" i="4"/>
  <c r="AK7" i="10"/>
  <c r="AK7" i="8"/>
  <c r="AH43" i="8"/>
  <c r="AG44" i="8"/>
  <c r="AG48" i="8" s="1"/>
  <c r="AI20" i="7"/>
  <c r="AI21" i="7" s="1"/>
  <c r="AI37" i="6"/>
  <c r="AJ34" i="5"/>
  <c r="AJ36" i="5" s="1"/>
  <c r="AJ38" i="5" s="1"/>
  <c r="AJ27" i="6"/>
  <c r="AJ28" i="6" s="1"/>
  <c r="AJ30" i="6" s="1"/>
  <c r="AK12" i="7"/>
  <c r="AK47" i="6"/>
  <c r="AK24" i="6"/>
  <c r="AK50" i="6"/>
  <c r="AK48" i="6"/>
  <c r="AK46" i="6"/>
  <c r="AK44" i="6"/>
  <c r="AK49" i="6"/>
  <c r="AK45" i="6"/>
  <c r="AO6" i="15"/>
  <c r="AO6" i="13"/>
  <c r="AO6" i="14"/>
  <c r="AO6" i="12"/>
  <c r="AO6" i="9"/>
  <c r="AO6" i="10"/>
  <c r="AO6" i="8"/>
  <c r="AO6" i="6"/>
  <c r="AO6" i="7"/>
  <c r="AO6" i="5"/>
  <c r="AO35" i="8"/>
  <c r="AP5" i="15"/>
  <c r="AP5" i="14"/>
  <c r="AP5" i="12"/>
  <c r="AP5" i="13"/>
  <c r="AP5" i="10"/>
  <c r="AP5" i="9"/>
  <c r="AP5" i="8"/>
  <c r="AP5" i="7"/>
  <c r="AP5" i="6"/>
  <c r="AP5" i="5"/>
  <c r="Z83" i="6"/>
  <c r="Z88" i="6" s="1"/>
  <c r="Z89" i="6" s="1"/>
  <c r="AA78" i="6"/>
  <c r="AC71" i="6"/>
  <c r="AC72" i="6" s="1"/>
  <c r="AC18" i="14" s="1"/>
  <c r="AT15" i="5"/>
  <c r="AT17" i="6" s="1"/>
  <c r="AR5" i="4"/>
  <c r="AP5" i="1"/>
  <c r="AP18" i="1" s="1"/>
  <c r="AP58" i="1" s="1"/>
  <c r="AQ6" i="4"/>
  <c r="AO6" i="1"/>
  <c r="AQ24" i="2"/>
  <c r="AO11" i="5" s="1"/>
  <c r="AO11" i="6" s="1"/>
  <c r="AO11" i="7" s="1"/>
  <c r="AR59" i="2"/>
  <c r="AR54" i="2"/>
  <c r="AP16" i="1" s="1"/>
  <c r="AP56" i="1" s="1"/>
  <c r="AR60" i="2"/>
  <c r="AP55" i="1" s="1"/>
  <c r="AR52" i="2"/>
  <c r="AP14" i="1" s="1"/>
  <c r="AP24" i="1" s="1"/>
  <c r="AP35" i="1" s="1"/>
  <c r="AR48" i="2"/>
  <c r="AR46" i="2"/>
  <c r="AR39" i="2"/>
  <c r="AR41" i="2"/>
  <c r="AP37" i="8" s="1"/>
  <c r="AR30" i="2"/>
  <c r="AP13" i="7" s="1"/>
  <c r="AR23" i="2"/>
  <c r="AR25" i="2"/>
  <c r="AR18" i="2"/>
  <c r="AR6" i="2" s="1"/>
  <c r="AR28" i="2"/>
  <c r="AS5" i="2"/>
  <c r="AL7" i="18" l="1"/>
  <c r="AL7" i="11"/>
  <c r="AP6" i="11"/>
  <c r="AP6" i="18"/>
  <c r="AQ5" i="11"/>
  <c r="AQ5" i="18"/>
  <c r="AQ57" i="18" s="1"/>
  <c r="AI59" i="6"/>
  <c r="AI61" i="6" s="1"/>
  <c r="AI26" i="7" s="1"/>
  <c r="AP61" i="1"/>
  <c r="AP70" i="1" s="1"/>
  <c r="AL46" i="6"/>
  <c r="AL49" i="6"/>
  <c r="AL47" i="6"/>
  <c r="AL45" i="6"/>
  <c r="AL48" i="6"/>
  <c r="AL12" i="7"/>
  <c r="AL50" i="6"/>
  <c r="AL24" i="6"/>
  <c r="AL44" i="6"/>
  <c r="AI43" i="8"/>
  <c r="AH44" i="8"/>
  <c r="AH48" i="8" s="1"/>
  <c r="AL36" i="9"/>
  <c r="AL14" i="6"/>
  <c r="AN34" i="2"/>
  <c r="AL15" i="7"/>
  <c r="AO32" i="2"/>
  <c r="AL93" i="8"/>
  <c r="AO47" i="2"/>
  <c r="AH26" i="7"/>
  <c r="AH14" i="13"/>
  <c r="AH11" i="10"/>
  <c r="AH79" i="6"/>
  <c r="AH39" i="6"/>
  <c r="AH25" i="7"/>
  <c r="AL39" i="13"/>
  <c r="AO40" i="2"/>
  <c r="AL13" i="12"/>
  <c r="AL18" i="12" s="1"/>
  <c r="AL115" i="8"/>
  <c r="AL135" i="8" s="1"/>
  <c r="AL36" i="8"/>
  <c r="AI101" i="8"/>
  <c r="AI43" i="13"/>
  <c r="AK27" i="6"/>
  <c r="AK28" i="6" s="1"/>
  <c r="AK30" i="6" s="1"/>
  <c r="AK34" i="5"/>
  <c r="AK36" i="5" s="1"/>
  <c r="AK38" i="5" s="1"/>
  <c r="AK11" i="11" s="1"/>
  <c r="AK39" i="7"/>
  <c r="AK19" i="7"/>
  <c r="AG13" i="13"/>
  <c r="AG10" i="10"/>
  <c r="AG13" i="10" s="1"/>
  <c r="AG63" i="6"/>
  <c r="AG70" i="6"/>
  <c r="AI38" i="6"/>
  <c r="AI41" i="7"/>
  <c r="AJ57" i="6"/>
  <c r="AJ56" i="6"/>
  <c r="AJ58" i="6"/>
  <c r="AJ40" i="7"/>
  <c r="AJ54" i="6"/>
  <c r="AJ55" i="6"/>
  <c r="AJ20" i="7"/>
  <c r="AJ21" i="7" s="1"/>
  <c r="AJ37" i="6"/>
  <c r="AK39" i="8"/>
  <c r="AK56" i="8"/>
  <c r="AK58" i="8" s="1"/>
  <c r="AK40" i="8"/>
  <c r="AK55" i="8"/>
  <c r="AJ99" i="8"/>
  <c r="AJ134" i="8" s="1"/>
  <c r="AJ136" i="8" s="1"/>
  <c r="AJ41" i="13"/>
  <c r="AJ41" i="8"/>
  <c r="AL15" i="1"/>
  <c r="AN56" i="2"/>
  <c r="AO53" i="2"/>
  <c r="AN57" i="2"/>
  <c r="AN8" i="2" s="1"/>
  <c r="AK51" i="6"/>
  <c r="AJ11" i="11"/>
  <c r="AJ29" i="7"/>
  <c r="AJ16" i="13"/>
  <c r="AJ45" i="9"/>
  <c r="AL7" i="10"/>
  <c r="AL7" i="15"/>
  <c r="AL7" i="9"/>
  <c r="AL7" i="8"/>
  <c r="AL7" i="14"/>
  <c r="AL7" i="6"/>
  <c r="AL7" i="7"/>
  <c r="AN7" i="4"/>
  <c r="AL7" i="12"/>
  <c r="AL7" i="13"/>
  <c r="AL7" i="5"/>
  <c r="AL7" i="1"/>
  <c r="AM8" i="4"/>
  <c r="AK8" i="1"/>
  <c r="AJ42" i="13"/>
  <c r="AJ100" i="8"/>
  <c r="AF10" i="11"/>
  <c r="AF14" i="10"/>
  <c r="AM12" i="5"/>
  <c r="AM12" i="6" s="1"/>
  <c r="AM35" i="9"/>
  <c r="AP29" i="2"/>
  <c r="AO19" i="2"/>
  <c r="AO7" i="2" s="1"/>
  <c r="AN43" i="2"/>
  <c r="AQ5" i="15"/>
  <c r="AQ5" i="13"/>
  <c r="AQ5" i="14"/>
  <c r="AQ5" i="12"/>
  <c r="AQ5" i="10"/>
  <c r="AQ5" i="9"/>
  <c r="AQ5" i="8"/>
  <c r="AQ5" i="7"/>
  <c r="AQ5" i="6"/>
  <c r="AQ5" i="5"/>
  <c r="AP35" i="8"/>
  <c r="AP6" i="14"/>
  <c r="AP6" i="15"/>
  <c r="AP6" i="13"/>
  <c r="AP6" i="12"/>
  <c r="AP6" i="9"/>
  <c r="AP6" i="10"/>
  <c r="AP6" i="8"/>
  <c r="AP6" i="7"/>
  <c r="AP6" i="5"/>
  <c r="AP6" i="6"/>
  <c r="Z30" i="7"/>
  <c r="Z13" i="11"/>
  <c r="Z18" i="13" s="1"/>
  <c r="AD69" i="6"/>
  <c r="AC74" i="6"/>
  <c r="AC87" i="6" s="1"/>
  <c r="AA80" i="6"/>
  <c r="AA81" i="6" s="1"/>
  <c r="AA29" i="14" s="1"/>
  <c r="AU15" i="5"/>
  <c r="AU17" i="6" s="1"/>
  <c r="AR6" i="4"/>
  <c r="AP6" i="1"/>
  <c r="AS5" i="4"/>
  <c r="AQ5" i="1"/>
  <c r="AQ18" i="1" s="1"/>
  <c r="AQ58" i="1" s="1"/>
  <c r="AR24" i="2"/>
  <c r="AP11" i="5" s="1"/>
  <c r="AP11" i="6" s="1"/>
  <c r="AP11" i="7" s="1"/>
  <c r="AS60" i="2"/>
  <c r="AQ55" i="1" s="1"/>
  <c r="AS59" i="2"/>
  <c r="AS54" i="2"/>
  <c r="AQ16" i="1" s="1"/>
  <c r="AQ56" i="1" s="1"/>
  <c r="AS48" i="2"/>
  <c r="AS46" i="2"/>
  <c r="AS52" i="2"/>
  <c r="AQ14" i="1" s="1"/>
  <c r="AQ24" i="1" s="1"/>
  <c r="AQ35" i="1" s="1"/>
  <c r="AS39" i="2"/>
  <c r="AS41" i="2"/>
  <c r="AQ37" i="8" s="1"/>
  <c r="AS30" i="2"/>
  <c r="AQ13" i="7" s="1"/>
  <c r="AS23" i="2"/>
  <c r="AS25" i="2"/>
  <c r="AS18" i="2"/>
  <c r="AS6" i="2" s="1"/>
  <c r="AT5" i="2"/>
  <c r="AS28" i="2"/>
  <c r="AM7" i="18" l="1"/>
  <c r="AM7" i="11"/>
  <c r="AR5" i="11"/>
  <c r="AR5" i="18"/>
  <c r="AR57" i="18" s="1"/>
  <c r="AQ6" i="11"/>
  <c r="AQ6" i="18"/>
  <c r="AI79" i="6"/>
  <c r="AO43" i="2"/>
  <c r="AQ61" i="1"/>
  <c r="AQ70" i="1" s="1"/>
  <c r="AI11" i="10"/>
  <c r="AI14" i="13"/>
  <c r="AG14" i="10"/>
  <c r="AG10" i="11"/>
  <c r="AL56" i="8"/>
  <c r="AL58" i="8" s="1"/>
  <c r="AL40" i="8"/>
  <c r="AL39" i="8"/>
  <c r="AL55" i="8"/>
  <c r="AK99" i="8"/>
  <c r="AK134" i="8" s="1"/>
  <c r="AK136" i="8" s="1"/>
  <c r="AK41" i="13"/>
  <c r="AK41" i="8"/>
  <c r="AK20" i="7"/>
  <c r="AK21" i="7" s="1"/>
  <c r="AK37" i="6"/>
  <c r="AK42" i="13"/>
  <c r="AK100" i="8"/>
  <c r="AM7" i="1"/>
  <c r="AM7" i="10"/>
  <c r="AM7" i="5"/>
  <c r="AM7" i="7"/>
  <c r="AO7" i="4"/>
  <c r="AM7" i="9"/>
  <c r="AM7" i="8"/>
  <c r="AM7" i="15"/>
  <c r="AM7" i="12"/>
  <c r="AM7" i="6"/>
  <c r="AM7" i="14"/>
  <c r="AM7" i="13"/>
  <c r="AJ101" i="8"/>
  <c r="AJ43" i="13"/>
  <c r="AI25" i="7"/>
  <c r="AI39" i="6"/>
  <c r="AM39" i="13"/>
  <c r="AP40" i="2"/>
  <c r="AM13" i="12"/>
  <c r="AM18" i="12" s="1"/>
  <c r="AM115" i="8"/>
  <c r="AM135" i="8" s="1"/>
  <c r="AM36" i="8"/>
  <c r="AM93" i="8"/>
  <c r="AP47" i="2"/>
  <c r="AI44" i="8"/>
  <c r="AI48" i="8" s="1"/>
  <c r="AJ43" i="8"/>
  <c r="AN12" i="5"/>
  <c r="AN12" i="6" s="1"/>
  <c r="AN35" i="9"/>
  <c r="AP19" i="2"/>
  <c r="AP7" i="2" s="1"/>
  <c r="AQ29" i="2"/>
  <c r="AK29" i="7"/>
  <c r="AK16" i="13"/>
  <c r="AK45" i="9"/>
  <c r="AL8" i="1"/>
  <c r="AN8" i="4"/>
  <c r="AM15" i="1"/>
  <c r="AP53" i="2"/>
  <c r="AO57" i="2"/>
  <c r="AO8" i="2" s="1"/>
  <c r="AO56" i="2"/>
  <c r="AJ59" i="6"/>
  <c r="AJ61" i="6" s="1"/>
  <c r="AK57" i="6"/>
  <c r="AK54" i="6"/>
  <c r="AK58" i="6"/>
  <c r="AK55" i="6"/>
  <c r="AK56" i="6"/>
  <c r="AK40" i="7"/>
  <c r="AM36" i="9"/>
  <c r="AO34" i="2"/>
  <c r="AM15" i="7"/>
  <c r="AP32" i="2"/>
  <c r="AM14" i="6"/>
  <c r="AL51" i="6"/>
  <c r="AL27" i="6"/>
  <c r="AL28" i="6" s="1"/>
  <c r="AL30" i="6" s="1"/>
  <c r="AL34" i="5"/>
  <c r="AL36" i="5" s="1"/>
  <c r="AL38" i="5" s="1"/>
  <c r="AL11" i="11" s="1"/>
  <c r="AL19" i="7"/>
  <c r="AL39" i="7"/>
  <c r="AM44" i="6"/>
  <c r="AM50" i="6"/>
  <c r="AM46" i="6"/>
  <c r="AM47" i="6"/>
  <c r="AM49" i="6"/>
  <c r="AM12" i="7"/>
  <c r="AM45" i="6"/>
  <c r="AM24" i="6"/>
  <c r="AM48" i="6"/>
  <c r="AJ41" i="7"/>
  <c r="AJ38" i="6"/>
  <c r="AH70" i="6"/>
  <c r="AH10" i="10"/>
  <c r="AH13" i="10" s="1"/>
  <c r="AH13" i="13"/>
  <c r="AH63" i="6"/>
  <c r="AQ6" i="14"/>
  <c r="AQ6" i="15"/>
  <c r="AQ6" i="13"/>
  <c r="AQ6" i="12"/>
  <c r="AQ6" i="9"/>
  <c r="AQ6" i="10"/>
  <c r="AQ6" i="8"/>
  <c r="AQ6" i="6"/>
  <c r="AQ6" i="7"/>
  <c r="AQ6" i="5"/>
  <c r="AQ35" i="8"/>
  <c r="AR5" i="13"/>
  <c r="AR5" i="14"/>
  <c r="AR5" i="12"/>
  <c r="AR5" i="15"/>
  <c r="AR5" i="9"/>
  <c r="AR5" i="10"/>
  <c r="AR5" i="8"/>
  <c r="AR5" i="6"/>
  <c r="AR5" i="5"/>
  <c r="AR5" i="7"/>
  <c r="AB78" i="6"/>
  <c r="AA83" i="6"/>
  <c r="AA88" i="6" s="1"/>
  <c r="AA89" i="6" s="1"/>
  <c r="AD71" i="6"/>
  <c r="AD72" i="6" s="1"/>
  <c r="AD18" i="14" s="1"/>
  <c r="AV15" i="5"/>
  <c r="AV17" i="6" s="1"/>
  <c r="AT5" i="4"/>
  <c r="AR5" i="1"/>
  <c r="AR18" i="1" s="1"/>
  <c r="AR58" i="1" s="1"/>
  <c r="AS6" i="4"/>
  <c r="AQ6" i="1"/>
  <c r="AT60" i="2"/>
  <c r="AR55" i="1" s="1"/>
  <c r="AT59" i="2"/>
  <c r="AT46" i="2"/>
  <c r="AT52" i="2"/>
  <c r="AR14" i="1" s="1"/>
  <c r="AR24" i="1" s="1"/>
  <c r="AR35" i="1" s="1"/>
  <c r="AT39" i="2"/>
  <c r="AT41" i="2"/>
  <c r="AR37" i="8" s="1"/>
  <c r="AT30" i="2"/>
  <c r="AR13" i="7" s="1"/>
  <c r="AT23" i="2"/>
  <c r="AT54" i="2"/>
  <c r="AR16" i="1" s="1"/>
  <c r="AR56" i="1" s="1"/>
  <c r="AT25" i="2"/>
  <c r="AT48" i="2"/>
  <c r="AT28" i="2"/>
  <c r="AT18" i="2"/>
  <c r="AT6" i="2" s="1"/>
  <c r="AU5" i="2"/>
  <c r="AS24" i="2"/>
  <c r="AQ11" i="5" s="1"/>
  <c r="AQ11" i="6" s="1"/>
  <c r="AQ11" i="7" s="1"/>
  <c r="AR6" i="18" l="1"/>
  <c r="AR6" i="11"/>
  <c r="AN7" i="11"/>
  <c r="AN7" i="18"/>
  <c r="AP43" i="2"/>
  <c r="AS5" i="11"/>
  <c r="AS5" i="18"/>
  <c r="AS57" i="18" s="1"/>
  <c r="AR61" i="1"/>
  <c r="AR70" i="1" s="1"/>
  <c r="AH14" i="10"/>
  <c r="AH10" i="11"/>
  <c r="AL45" i="9"/>
  <c r="AL16" i="13"/>
  <c r="AL29" i="7"/>
  <c r="AK38" i="6"/>
  <c r="AK41" i="7"/>
  <c r="AO8" i="4"/>
  <c r="AM8" i="1"/>
  <c r="AN93" i="8"/>
  <c r="AQ47" i="2"/>
  <c r="AI63" i="6"/>
  <c r="AI10" i="10"/>
  <c r="AI13" i="10" s="1"/>
  <c r="AI13" i="13"/>
  <c r="AI70" i="6"/>
  <c r="AL58" i="6"/>
  <c r="AL56" i="6"/>
  <c r="AL57" i="6"/>
  <c r="AL54" i="6"/>
  <c r="AL40" i="7"/>
  <c r="AL55" i="6"/>
  <c r="AN15" i="1"/>
  <c r="AP57" i="2"/>
  <c r="AP8" i="2" s="1"/>
  <c r="AQ53" i="2"/>
  <c r="AP56" i="2"/>
  <c r="AL99" i="8"/>
  <c r="AL134" i="8" s="1"/>
  <c r="AL136" i="8" s="1"/>
  <c r="AL41" i="8"/>
  <c r="AL41" i="13"/>
  <c r="AJ79" i="6"/>
  <c r="AJ26" i="7"/>
  <c r="AJ11" i="10"/>
  <c r="AJ14" i="13"/>
  <c r="AO35" i="9"/>
  <c r="AO12" i="5"/>
  <c r="AO12" i="6" s="1"/>
  <c r="AQ19" i="2"/>
  <c r="AQ7" i="2" s="1"/>
  <c r="AR29" i="2"/>
  <c r="AM55" i="8"/>
  <c r="AM39" i="8"/>
  <c r="AM56" i="8"/>
  <c r="AM58" i="8" s="1"/>
  <c r="AM40" i="8"/>
  <c r="AL42" i="13"/>
  <c r="AL100" i="8"/>
  <c r="AL37" i="6"/>
  <c r="AL20" i="7"/>
  <c r="AL21" i="7" s="1"/>
  <c r="AJ25" i="7"/>
  <c r="AJ39" i="6"/>
  <c r="AN7" i="9"/>
  <c r="AP7" i="4"/>
  <c r="AN7" i="1"/>
  <c r="AN7" i="12"/>
  <c r="AN7" i="10"/>
  <c r="AN7" i="8"/>
  <c r="AN7" i="14"/>
  <c r="AN7" i="7"/>
  <c r="AN7" i="15"/>
  <c r="AN7" i="6"/>
  <c r="AN7" i="13"/>
  <c r="AN7" i="5"/>
  <c r="AM27" i="6"/>
  <c r="AM28" i="6" s="1"/>
  <c r="AM30" i="6" s="1"/>
  <c r="AM34" i="5"/>
  <c r="AM36" i="5" s="1"/>
  <c r="AM38" i="5" s="1"/>
  <c r="AM11" i="11" s="1"/>
  <c r="AK43" i="8"/>
  <c r="AJ44" i="8"/>
  <c r="AJ48" i="8" s="1"/>
  <c r="AM19" i="7"/>
  <c r="AM39" i="7"/>
  <c r="AM51" i="6"/>
  <c r="AN14" i="6"/>
  <c r="AP34" i="2"/>
  <c r="AN15" i="7"/>
  <c r="AQ32" i="2"/>
  <c r="AN36" i="9"/>
  <c r="AK59" i="6"/>
  <c r="AK61" i="6" s="1"/>
  <c r="AN48" i="6"/>
  <c r="AN24" i="6"/>
  <c r="AN44" i="6"/>
  <c r="AN46" i="6"/>
  <c r="AN45" i="6"/>
  <c r="AN49" i="6"/>
  <c r="AN50" i="6"/>
  <c r="AN12" i="7"/>
  <c r="AN47" i="6"/>
  <c r="AN39" i="13"/>
  <c r="AQ40" i="2"/>
  <c r="AN13" i="12"/>
  <c r="AN18" i="12" s="1"/>
  <c r="AN115" i="8"/>
  <c r="AN135" i="8" s="1"/>
  <c r="AN36" i="8"/>
  <c r="AK43" i="13"/>
  <c r="AK101" i="8"/>
  <c r="AR6" i="15"/>
  <c r="AR6" i="14"/>
  <c r="AR6" i="12"/>
  <c r="AR6" i="13"/>
  <c r="AR6" i="10"/>
  <c r="AR6" i="9"/>
  <c r="AR6" i="8"/>
  <c r="AR6" i="6"/>
  <c r="AR6" i="7"/>
  <c r="AR6" i="5"/>
  <c r="AR35" i="8"/>
  <c r="AS5" i="14"/>
  <c r="AS5" i="13"/>
  <c r="AS5" i="15"/>
  <c r="AS5" i="12"/>
  <c r="AS5" i="9"/>
  <c r="AS5" i="10"/>
  <c r="AS5" i="8"/>
  <c r="AS5" i="6"/>
  <c r="AS5" i="7"/>
  <c r="AS5" i="5"/>
  <c r="AA30" i="7"/>
  <c r="AA13" i="11"/>
  <c r="AA18" i="13" s="1"/>
  <c r="AE69" i="6"/>
  <c r="AD74" i="6"/>
  <c r="AD87" i="6" s="1"/>
  <c r="AB80" i="6"/>
  <c r="AB81" i="6" s="1"/>
  <c r="AB29" i="14" s="1"/>
  <c r="AW15" i="5"/>
  <c r="AW17" i="6" s="1"/>
  <c r="AU5" i="4"/>
  <c r="AS5" i="1"/>
  <c r="AS18" i="1" s="1"/>
  <c r="AS58" i="1" s="1"/>
  <c r="AT6" i="4"/>
  <c r="AR6" i="1"/>
  <c r="AT24" i="2"/>
  <c r="AR11" i="5" s="1"/>
  <c r="AR11" i="6" s="1"/>
  <c r="AR11" i="7" s="1"/>
  <c r="AU60" i="2"/>
  <c r="AS55" i="1" s="1"/>
  <c r="AU52" i="2"/>
  <c r="AS14" i="1" s="1"/>
  <c r="AS24" i="1" s="1"/>
  <c r="AS35" i="1" s="1"/>
  <c r="AU54" i="2"/>
  <c r="AS16" i="1" s="1"/>
  <c r="AS56" i="1" s="1"/>
  <c r="AU48" i="2"/>
  <c r="AU46" i="2"/>
  <c r="AU39" i="2"/>
  <c r="AU59" i="2"/>
  <c r="AU41" i="2"/>
  <c r="AS37" i="8" s="1"/>
  <c r="AU25" i="2"/>
  <c r="AU28" i="2"/>
  <c r="AU30" i="2"/>
  <c r="AS13" i="7" s="1"/>
  <c r="AU18" i="2"/>
  <c r="AU6" i="2" s="1"/>
  <c r="AU23" i="2"/>
  <c r="AV5" i="2"/>
  <c r="AT5" i="11" l="1"/>
  <c r="AT5" i="18"/>
  <c r="AT57" i="18" s="1"/>
  <c r="AS6" i="11"/>
  <c r="AS6" i="18"/>
  <c r="AO7" i="18"/>
  <c r="AO7" i="11"/>
  <c r="AL59" i="6"/>
  <c r="AL61" i="6" s="1"/>
  <c r="AK44" i="8"/>
  <c r="AK48" i="8" s="1"/>
  <c r="AL43" i="8"/>
  <c r="AJ63" i="6"/>
  <c r="AJ10" i="10"/>
  <c r="AJ13" i="10" s="1"/>
  <c r="AJ13" i="13"/>
  <c r="AJ70" i="6"/>
  <c r="AM99" i="8"/>
  <c r="AM134" i="8" s="1"/>
  <c r="AM136" i="8" s="1"/>
  <c r="AM41" i="8"/>
  <c r="AM41" i="13"/>
  <c r="AO36" i="8"/>
  <c r="AR40" i="2"/>
  <c r="AO39" i="13"/>
  <c r="AO13" i="12"/>
  <c r="AO18" i="12" s="1"/>
  <c r="AO115" i="8"/>
  <c r="AO135" i="8" s="1"/>
  <c r="AN51" i="6"/>
  <c r="AN34" i="5"/>
  <c r="AN36" i="5" s="1"/>
  <c r="AN38" i="5" s="1"/>
  <c r="AN11" i="11" s="1"/>
  <c r="AN27" i="6"/>
  <c r="AN28" i="6" s="1"/>
  <c r="AN30" i="6" s="1"/>
  <c r="AM29" i="7"/>
  <c r="AM45" i="9"/>
  <c r="AM16" i="13"/>
  <c r="AI14" i="10"/>
  <c r="AI10" i="11"/>
  <c r="AO7" i="9"/>
  <c r="AO7" i="8"/>
  <c r="AO7" i="6"/>
  <c r="AO7" i="14"/>
  <c r="AO7" i="13"/>
  <c r="AO7" i="12"/>
  <c r="AO7" i="7"/>
  <c r="AQ7" i="4"/>
  <c r="AO7" i="10"/>
  <c r="AO7" i="1"/>
  <c r="AO7" i="15"/>
  <c r="AO7" i="5"/>
  <c r="AL43" i="13"/>
  <c r="AL101" i="8"/>
  <c r="AO93" i="8"/>
  <c r="AR47" i="2"/>
  <c r="AN19" i="7"/>
  <c r="AN39" i="7"/>
  <c r="AO50" i="6"/>
  <c r="AO47" i="6"/>
  <c r="AO46" i="6"/>
  <c r="AO24" i="6"/>
  <c r="AO45" i="6"/>
  <c r="AO12" i="7"/>
  <c r="AO49" i="6"/>
  <c r="AO48" i="6"/>
  <c r="AO44" i="6"/>
  <c r="AM54" i="6"/>
  <c r="AM55" i="6"/>
  <c r="AM58" i="6"/>
  <c r="AM40" i="7"/>
  <c r="AM56" i="6"/>
  <c r="AM57" i="6"/>
  <c r="AP12" i="5"/>
  <c r="AP12" i="6" s="1"/>
  <c r="AP35" i="9"/>
  <c r="AS29" i="2"/>
  <c r="AR19" i="2"/>
  <c r="AR7" i="2" s="1"/>
  <c r="AL41" i="7"/>
  <c r="AL38" i="6"/>
  <c r="AK79" i="6"/>
  <c r="AK11" i="10"/>
  <c r="AK14" i="13"/>
  <c r="AK26" i="7"/>
  <c r="AM37" i="6"/>
  <c r="AM20" i="7"/>
  <c r="AM21" i="7" s="1"/>
  <c r="AN40" i="8"/>
  <c r="AN55" i="8"/>
  <c r="AN56" i="8"/>
  <c r="AN58" i="8" s="1"/>
  <c r="AN39" i="8"/>
  <c r="AM42" i="13"/>
  <c r="AM100" i="8"/>
  <c r="AO15" i="1"/>
  <c r="AR53" i="2"/>
  <c r="AQ57" i="2"/>
  <c r="AQ8" i="2" s="1"/>
  <c r="AQ56" i="2"/>
  <c r="AO15" i="7"/>
  <c r="AO36" i="9"/>
  <c r="AR32" i="2"/>
  <c r="AQ34" i="2"/>
  <c r="AO14" i="6"/>
  <c r="AP8" i="4"/>
  <c r="AN8" i="1"/>
  <c r="AK25" i="7"/>
  <c r="AK39" i="6"/>
  <c r="AQ43" i="2"/>
  <c r="AS35" i="8"/>
  <c r="AT5" i="14"/>
  <c r="AT5" i="15"/>
  <c r="AT5" i="13"/>
  <c r="AT5" i="12"/>
  <c r="AT5" i="9"/>
  <c r="AT5" i="10"/>
  <c r="AT5" i="8"/>
  <c r="AT5" i="7"/>
  <c r="AT5" i="6"/>
  <c r="AT5" i="5"/>
  <c r="AS6" i="14"/>
  <c r="AS6" i="15"/>
  <c r="AS6" i="13"/>
  <c r="AS6" i="12"/>
  <c r="AS6" i="10"/>
  <c r="AS6" i="9"/>
  <c r="AS6" i="8"/>
  <c r="AS6" i="7"/>
  <c r="AS6" i="6"/>
  <c r="AS6" i="5"/>
  <c r="AS61" i="1"/>
  <c r="AS70" i="1" s="1"/>
  <c r="AB83" i="6"/>
  <c r="AB88" i="6" s="1"/>
  <c r="AB89" i="6" s="1"/>
  <c r="AC78" i="6"/>
  <c r="AE71" i="6"/>
  <c r="AE72" i="6" s="1"/>
  <c r="AE18" i="14" s="1"/>
  <c r="AX15" i="5"/>
  <c r="AX17" i="6" s="1"/>
  <c r="AV5" i="4"/>
  <c r="AT5" i="1"/>
  <c r="AT18" i="1" s="1"/>
  <c r="AT58" i="1" s="1"/>
  <c r="AU6" i="4"/>
  <c r="AS6" i="1"/>
  <c r="AU24" i="2"/>
  <c r="AS11" i="5" s="1"/>
  <c r="AS11" i="6" s="1"/>
  <c r="AS11" i="7" s="1"/>
  <c r="AV59" i="2"/>
  <c r="AV54" i="2"/>
  <c r="AT16" i="1" s="1"/>
  <c r="AT56" i="1" s="1"/>
  <c r="AV60" i="2"/>
  <c r="AT55" i="1" s="1"/>
  <c r="AV46" i="2"/>
  <c r="AV52" i="2"/>
  <c r="AT14" i="1" s="1"/>
  <c r="AT24" i="1" s="1"/>
  <c r="AT35" i="1" s="1"/>
  <c r="AV48" i="2"/>
  <c r="AV39" i="2"/>
  <c r="AV41" i="2"/>
  <c r="AT37" i="8" s="1"/>
  <c r="AV25" i="2"/>
  <c r="AV28" i="2"/>
  <c r="AV18" i="2"/>
  <c r="AV6" i="2" s="1"/>
  <c r="AV30" i="2"/>
  <c r="AT13" i="7" s="1"/>
  <c r="AV23" i="2"/>
  <c r="AW5" i="2"/>
  <c r="AU5" i="11" l="1"/>
  <c r="AU5" i="18"/>
  <c r="AU57" i="18" s="1"/>
  <c r="AT6" i="18"/>
  <c r="AT6" i="11"/>
  <c r="AP7" i="11"/>
  <c r="AP7" i="18"/>
  <c r="AR43" i="2"/>
  <c r="AL79" i="6"/>
  <c r="AL26" i="7"/>
  <c r="AL11" i="10"/>
  <c r="AL14" i="13"/>
  <c r="AQ8" i="4"/>
  <c r="AO8" i="1"/>
  <c r="AN100" i="8"/>
  <c r="AN42" i="13"/>
  <c r="AL39" i="6"/>
  <c r="AL25" i="7"/>
  <c r="AM101" i="8"/>
  <c r="AM43" i="13"/>
  <c r="AO27" i="6"/>
  <c r="AO28" i="6" s="1"/>
  <c r="AO30" i="6" s="1"/>
  <c r="AO34" i="5"/>
  <c r="AO36" i="5" s="1"/>
  <c r="AO38" i="5" s="1"/>
  <c r="AO11" i="11" s="1"/>
  <c r="AP15" i="1"/>
  <c r="AR56" i="2"/>
  <c r="AS53" i="2"/>
  <c r="AR57" i="2"/>
  <c r="AR8" i="2" s="1"/>
  <c r="AP7" i="13"/>
  <c r="AP7" i="10"/>
  <c r="AP7" i="5"/>
  <c r="AP7" i="9"/>
  <c r="AP7" i="15"/>
  <c r="AP7" i="8"/>
  <c r="AP7" i="14"/>
  <c r="AP7" i="6"/>
  <c r="AP7" i="7"/>
  <c r="AR7" i="4"/>
  <c r="AP7" i="12"/>
  <c r="AP7" i="1"/>
  <c r="AN29" i="7"/>
  <c r="AN45" i="9"/>
  <c r="AN16" i="13"/>
  <c r="AM41" i="7"/>
  <c r="AM38" i="6"/>
  <c r="AP14" i="6"/>
  <c r="AP15" i="7"/>
  <c r="AS32" i="2"/>
  <c r="AP36" i="9"/>
  <c r="AR34" i="2"/>
  <c r="AQ35" i="9"/>
  <c r="AQ12" i="5"/>
  <c r="AQ12" i="6" s="1"/>
  <c r="AS19" i="2"/>
  <c r="AS7" i="2" s="1"/>
  <c r="AT29" i="2"/>
  <c r="AM59" i="6"/>
  <c r="AM61" i="6" s="1"/>
  <c r="AJ10" i="11"/>
  <c r="AJ14" i="10"/>
  <c r="AO51" i="6"/>
  <c r="AP36" i="8"/>
  <c r="AP115" i="8"/>
  <c r="AP135" i="8" s="1"/>
  <c r="AS40" i="2"/>
  <c r="AP13" i="12"/>
  <c r="AP18" i="12" s="1"/>
  <c r="AP39" i="13"/>
  <c r="AO19" i="7"/>
  <c r="AO39" i="7"/>
  <c r="AK63" i="6"/>
  <c r="AK70" i="6"/>
  <c r="AK13" i="13"/>
  <c r="AK10" i="10"/>
  <c r="AK13" i="10" s="1"/>
  <c r="AK10" i="11" s="1"/>
  <c r="AP48" i="6"/>
  <c r="AP24" i="6"/>
  <c r="AP45" i="6"/>
  <c r="AP12" i="7"/>
  <c r="AP44" i="6"/>
  <c r="AP50" i="6"/>
  <c r="AP49" i="6"/>
  <c r="AP47" i="6"/>
  <c r="AP46" i="6"/>
  <c r="AN20" i="7"/>
  <c r="AN21" i="7" s="1"/>
  <c r="AN37" i="6"/>
  <c r="AO39" i="8"/>
  <c r="AO56" i="8"/>
  <c r="AO58" i="8" s="1"/>
  <c r="AO55" i="8"/>
  <c r="AO40" i="8"/>
  <c r="AM43" i="8"/>
  <c r="AL44" i="8"/>
  <c r="AL48" i="8" s="1"/>
  <c r="AP93" i="8"/>
  <c r="AS47" i="2"/>
  <c r="AN99" i="8"/>
  <c r="AN134" i="8" s="1"/>
  <c r="AN136" i="8" s="1"/>
  <c r="AN41" i="13"/>
  <c r="AN41" i="8"/>
  <c r="AN55" i="6"/>
  <c r="AN58" i="6"/>
  <c r="AN56" i="6"/>
  <c r="AN57" i="6"/>
  <c r="AN40" i="7"/>
  <c r="AN54" i="6"/>
  <c r="AU5" i="15"/>
  <c r="AU5" i="14"/>
  <c r="AU5" i="12"/>
  <c r="AU5" i="13"/>
  <c r="AU5" i="10"/>
  <c r="AU5" i="9"/>
  <c r="AU5" i="8"/>
  <c r="AU5" i="7"/>
  <c r="AU5" i="6"/>
  <c r="AU5" i="5"/>
  <c r="AT6" i="14"/>
  <c r="AT6" i="13"/>
  <c r="AT6" i="15"/>
  <c r="AT6" i="12"/>
  <c r="AT6" i="10"/>
  <c r="AT6" i="9"/>
  <c r="AT6" i="8"/>
  <c r="AT6" i="6"/>
  <c r="AT6" i="5"/>
  <c r="AT6" i="7"/>
  <c r="AT35" i="8"/>
  <c r="AT61" i="1"/>
  <c r="AT70" i="1" s="1"/>
  <c r="AB30" i="7"/>
  <c r="AB13" i="11"/>
  <c r="AB18" i="13" s="1"/>
  <c r="AF69" i="6"/>
  <c r="AE74" i="6"/>
  <c r="AE87" i="6" s="1"/>
  <c r="AC80" i="6"/>
  <c r="AC81" i="6" s="1"/>
  <c r="AC29" i="14" s="1"/>
  <c r="AY15" i="5"/>
  <c r="AY17" i="6" s="1"/>
  <c r="AW5" i="4"/>
  <c r="AU5" i="1"/>
  <c r="AU18" i="1" s="1"/>
  <c r="AU58" i="1" s="1"/>
  <c r="AV6" i="4"/>
  <c r="AT6" i="1"/>
  <c r="AV24" i="2"/>
  <c r="AT11" i="5" s="1"/>
  <c r="AT11" i="6" s="1"/>
  <c r="AT11" i="7" s="1"/>
  <c r="AW52" i="2"/>
  <c r="AU14" i="1" s="1"/>
  <c r="AU24" i="1" s="1"/>
  <c r="AU35" i="1" s="1"/>
  <c r="AW46" i="2"/>
  <c r="AW48" i="2"/>
  <c r="AW54" i="2"/>
  <c r="AU16" i="1" s="1"/>
  <c r="AU56" i="1" s="1"/>
  <c r="AW59" i="2"/>
  <c r="AW60" i="2"/>
  <c r="AU55" i="1" s="1"/>
  <c r="AW41" i="2"/>
  <c r="AU37" i="8" s="1"/>
  <c r="AW25" i="2"/>
  <c r="AW28" i="2"/>
  <c r="AW18" i="2"/>
  <c r="AW6" i="2" s="1"/>
  <c r="AW39" i="2"/>
  <c r="AW30" i="2"/>
  <c r="AU13" i="7" s="1"/>
  <c r="AW23" i="2"/>
  <c r="AX5" i="2"/>
  <c r="AS43" i="2" l="1"/>
  <c r="AV5" i="11"/>
  <c r="AV5" i="18"/>
  <c r="AV57" i="18" s="1"/>
  <c r="AQ7" i="11"/>
  <c r="AQ7" i="18"/>
  <c r="AU6" i="11"/>
  <c r="AU6" i="18"/>
  <c r="AN59" i="6"/>
  <c r="AN61" i="6" s="1"/>
  <c r="AN11" i="10" s="1"/>
  <c r="AP27" i="6"/>
  <c r="AP28" i="6" s="1"/>
  <c r="AP30" i="6" s="1"/>
  <c r="AP34" i="5"/>
  <c r="AP36" i="5" s="1"/>
  <c r="AP38" i="5" s="1"/>
  <c r="AP11" i="11" s="1"/>
  <c r="AT32" i="2"/>
  <c r="AQ15" i="7"/>
  <c r="AQ14" i="6"/>
  <c r="AS34" i="2"/>
  <c r="AQ36" i="9"/>
  <c r="AR8" i="4"/>
  <c r="AP8" i="1"/>
  <c r="AO99" i="8"/>
  <c r="AO134" i="8" s="1"/>
  <c r="AO136" i="8" s="1"/>
  <c r="AO41" i="13"/>
  <c r="AO41" i="8"/>
  <c r="AM14" i="13"/>
  <c r="AM11" i="10"/>
  <c r="AM26" i="7"/>
  <c r="AM79" i="6"/>
  <c r="AQ15" i="1"/>
  <c r="AS56" i="2"/>
  <c r="AT53" i="2"/>
  <c r="AS57" i="2"/>
  <c r="AS8" i="2" s="1"/>
  <c r="AL13" i="13"/>
  <c r="AL70" i="6"/>
  <c r="AL63" i="6"/>
  <c r="AL10" i="10"/>
  <c r="AL13" i="10" s="1"/>
  <c r="AL10" i="11" s="1"/>
  <c r="AN38" i="6"/>
  <c r="AN41" i="7"/>
  <c r="AM44" i="8"/>
  <c r="AM48" i="8" s="1"/>
  <c r="AN43" i="8"/>
  <c r="AK14" i="10"/>
  <c r="AQ39" i="13"/>
  <c r="AQ13" i="12"/>
  <c r="AQ18" i="12" s="1"/>
  <c r="AQ36" i="8"/>
  <c r="AQ115" i="8"/>
  <c r="AQ135" i="8" s="1"/>
  <c r="AT40" i="2"/>
  <c r="AR35" i="9"/>
  <c r="AR12" i="5"/>
  <c r="AR12" i="6" s="1"/>
  <c r="AT19" i="2"/>
  <c r="AT7" i="2" s="1"/>
  <c r="AU29" i="2"/>
  <c r="AP19" i="7"/>
  <c r="AP39" i="7"/>
  <c r="AQ93" i="8"/>
  <c r="AT47" i="2"/>
  <c r="AO42" i="13"/>
  <c r="AO100" i="8"/>
  <c r="AQ7" i="13"/>
  <c r="AQ7" i="5"/>
  <c r="AQ7" i="15"/>
  <c r="AQ7" i="6"/>
  <c r="AQ7" i="1"/>
  <c r="AQ7" i="12"/>
  <c r="AQ7" i="10"/>
  <c r="AQ7" i="9"/>
  <c r="AQ7" i="7"/>
  <c r="AQ7" i="8"/>
  <c r="AS7" i="4"/>
  <c r="AQ7" i="14"/>
  <c r="AM39" i="6"/>
  <c r="AM25" i="7"/>
  <c r="AN43" i="13"/>
  <c r="AN101" i="8"/>
  <c r="AP39" i="8"/>
  <c r="AP55" i="8"/>
  <c r="AP56" i="8"/>
  <c r="AP58" i="8" s="1"/>
  <c r="AP40" i="8"/>
  <c r="AQ50" i="6"/>
  <c r="AQ47" i="6"/>
  <c r="AQ12" i="7"/>
  <c r="AQ45" i="6"/>
  <c r="AQ44" i="6"/>
  <c r="AQ24" i="6"/>
  <c r="AQ48" i="6"/>
  <c r="AQ46" i="6"/>
  <c r="AQ49" i="6"/>
  <c r="AO16" i="13"/>
  <c r="AO29" i="7"/>
  <c r="AO45" i="9"/>
  <c r="AO20" i="7"/>
  <c r="AO21" i="7" s="1"/>
  <c r="AO37" i="6"/>
  <c r="AP51" i="6"/>
  <c r="AO57" i="6"/>
  <c r="AO40" i="7"/>
  <c r="AO58" i="6"/>
  <c r="AO54" i="6"/>
  <c r="AO55" i="6"/>
  <c r="AO56" i="6"/>
  <c r="AU6" i="15"/>
  <c r="AU6" i="14"/>
  <c r="AU6" i="12"/>
  <c r="AU6" i="10"/>
  <c r="AU6" i="13"/>
  <c r="AU6" i="9"/>
  <c r="AU6" i="8"/>
  <c r="AU6" i="7"/>
  <c r="AU6" i="6"/>
  <c r="AU6" i="5"/>
  <c r="AV5" i="14"/>
  <c r="AV5" i="15"/>
  <c r="AV5" i="13"/>
  <c r="AV5" i="12"/>
  <c r="AV5" i="10"/>
  <c r="AV5" i="9"/>
  <c r="AV5" i="8"/>
  <c r="AV5" i="7"/>
  <c r="AV5" i="6"/>
  <c r="AV5" i="5"/>
  <c r="AU35" i="8"/>
  <c r="AU61" i="1"/>
  <c r="AU70" i="1" s="1"/>
  <c r="AC83" i="6"/>
  <c r="AC88" i="6" s="1"/>
  <c r="AC89" i="6" s="1"/>
  <c r="AD78" i="6"/>
  <c r="AF71" i="6"/>
  <c r="AF72" i="6" s="1"/>
  <c r="AF18" i="14" s="1"/>
  <c r="AZ15" i="5"/>
  <c r="AZ17" i="6" s="1"/>
  <c r="AW6" i="4"/>
  <c r="AU6" i="1"/>
  <c r="AX5" i="4"/>
  <c r="AV5" i="1"/>
  <c r="AV18" i="1" s="1"/>
  <c r="AV58" i="1" s="1"/>
  <c r="AW24" i="2"/>
  <c r="AU11" i="5" s="1"/>
  <c r="AU11" i="6" s="1"/>
  <c r="AU11" i="7" s="1"/>
  <c r="AX59" i="2"/>
  <c r="AX60" i="2"/>
  <c r="AV55" i="1" s="1"/>
  <c r="AX46" i="2"/>
  <c r="AX52" i="2"/>
  <c r="AV14" i="1" s="1"/>
  <c r="AV24" i="1" s="1"/>
  <c r="AV35" i="1" s="1"/>
  <c r="AX48" i="2"/>
  <c r="AX54" i="2"/>
  <c r="AV16" i="1" s="1"/>
  <c r="AV56" i="1" s="1"/>
  <c r="AX41" i="2"/>
  <c r="AV37" i="8" s="1"/>
  <c r="AX30" i="2"/>
  <c r="AV13" i="7" s="1"/>
  <c r="AX39" i="2"/>
  <c r="AX28" i="2"/>
  <c r="AX18" i="2"/>
  <c r="AX6" i="2" s="1"/>
  <c r="AX25" i="2"/>
  <c r="AX23" i="2"/>
  <c r="AY5" i="2"/>
  <c r="AN79" i="6" l="1"/>
  <c r="AR7" i="11"/>
  <c r="AR7" i="18"/>
  <c r="AV6" i="11"/>
  <c r="AV6" i="18"/>
  <c r="AW5" i="11"/>
  <c r="AW5" i="18"/>
  <c r="AW57" i="18" s="1"/>
  <c r="AN14" i="13"/>
  <c r="AN26" i="7"/>
  <c r="AR7" i="8"/>
  <c r="AR7" i="7"/>
  <c r="AR7" i="10"/>
  <c r="AR7" i="14"/>
  <c r="AR7" i="6"/>
  <c r="AR7" i="13"/>
  <c r="AT7" i="4"/>
  <c r="AR7" i="9"/>
  <c r="AR7" i="15"/>
  <c r="AR7" i="5"/>
  <c r="AR7" i="1"/>
  <c r="AR7" i="12"/>
  <c r="AR47" i="6"/>
  <c r="AR49" i="6"/>
  <c r="AR45" i="6"/>
  <c r="AR46" i="6"/>
  <c r="AR50" i="6"/>
  <c r="AR12" i="7"/>
  <c r="AR44" i="6"/>
  <c r="AR24" i="6"/>
  <c r="AR48" i="6"/>
  <c r="AP42" i="13"/>
  <c r="AP100" i="8"/>
  <c r="AN44" i="8"/>
  <c r="AN48" i="8" s="1"/>
  <c r="AO43" i="8"/>
  <c r="AQ27" i="6"/>
  <c r="AQ28" i="6" s="1"/>
  <c r="AQ30" i="6" s="1"/>
  <c r="AQ34" i="5"/>
  <c r="AQ36" i="5" s="1"/>
  <c r="AQ38" i="5" s="1"/>
  <c r="AQ11" i="11" s="1"/>
  <c r="AM63" i="6"/>
  <c r="AM13" i="13"/>
  <c r="AM10" i="10"/>
  <c r="AM13" i="10" s="1"/>
  <c r="AM10" i="11" s="1"/>
  <c r="AM70" i="6"/>
  <c r="AR93" i="8"/>
  <c r="AU47" i="2"/>
  <c r="AR36" i="8"/>
  <c r="AU40" i="2"/>
  <c r="AR115" i="8"/>
  <c r="AR135" i="8" s="1"/>
  <c r="AR13" i="12"/>
  <c r="AR18" i="12" s="1"/>
  <c r="AR39" i="13"/>
  <c r="AS8" i="4"/>
  <c r="AQ8" i="1"/>
  <c r="AO101" i="8"/>
  <c r="AO43" i="13"/>
  <c r="AO59" i="6"/>
  <c r="AO61" i="6" s="1"/>
  <c r="AQ51" i="6"/>
  <c r="AP99" i="8"/>
  <c r="AP134" i="8" s="1"/>
  <c r="AP136" i="8" s="1"/>
  <c r="AP41" i="8"/>
  <c r="AP41" i="13"/>
  <c r="AP20" i="7"/>
  <c r="AP21" i="7" s="1"/>
  <c r="AP37" i="6"/>
  <c r="AQ40" i="8"/>
  <c r="AQ39" i="8"/>
  <c r="AQ56" i="8"/>
  <c r="AQ58" i="8" s="1"/>
  <c r="AQ55" i="8"/>
  <c r="AN25" i="7"/>
  <c r="AN39" i="6"/>
  <c r="AR15" i="1"/>
  <c r="AT57" i="2"/>
  <c r="AT8" i="2" s="1"/>
  <c r="AU53" i="2"/>
  <c r="AT56" i="2"/>
  <c r="AT34" i="2"/>
  <c r="AU32" i="2"/>
  <c r="AR14" i="6"/>
  <c r="AR36" i="9"/>
  <c r="AR15" i="7"/>
  <c r="AP45" i="9"/>
  <c r="AP29" i="7"/>
  <c r="AP16" i="13"/>
  <c r="AL14" i="10"/>
  <c r="AO38" i="6"/>
  <c r="AO41" i="7"/>
  <c r="AQ19" i="7"/>
  <c r="AQ39" i="7"/>
  <c r="AS35" i="9"/>
  <c r="AS12" i="5"/>
  <c r="AS12" i="6" s="1"/>
  <c r="AV29" i="2"/>
  <c r="AU19" i="2"/>
  <c r="AU7" i="2" s="1"/>
  <c r="AT43" i="2"/>
  <c r="AP40" i="7"/>
  <c r="AP55" i="6"/>
  <c r="AP57" i="6"/>
  <c r="AP56" i="6"/>
  <c r="AP54" i="6"/>
  <c r="AP58" i="6"/>
  <c r="AV6" i="15"/>
  <c r="AV6" i="14"/>
  <c r="AV6" i="13"/>
  <c r="AV6" i="10"/>
  <c r="AV6" i="12"/>
  <c r="AV6" i="9"/>
  <c r="AV6" i="8"/>
  <c r="AV6" i="7"/>
  <c r="AV6" i="6"/>
  <c r="AV6" i="5"/>
  <c r="AV35" i="8"/>
  <c r="AW5" i="14"/>
  <c r="AW5" i="15"/>
  <c r="AW5" i="13"/>
  <c r="AW5" i="10"/>
  <c r="AW5" i="12"/>
  <c r="AW5" i="9"/>
  <c r="AW5" i="8"/>
  <c r="AW5" i="6"/>
  <c r="AW5" i="5"/>
  <c r="AW5" i="7"/>
  <c r="AV61" i="1"/>
  <c r="AV70" i="1" s="1"/>
  <c r="AC30" i="7"/>
  <c r="AC13" i="11"/>
  <c r="AC18" i="13" s="1"/>
  <c r="AF74" i="6"/>
  <c r="AF87" i="6" s="1"/>
  <c r="AG69" i="6"/>
  <c r="AD80" i="6"/>
  <c r="AD81" i="6" s="1"/>
  <c r="AD29" i="14" s="1"/>
  <c r="BA15" i="5"/>
  <c r="BA17" i="6" s="1"/>
  <c r="AY5" i="4"/>
  <c r="AW5" i="1"/>
  <c r="AW18" i="1" s="1"/>
  <c r="AW58" i="1" s="1"/>
  <c r="AX6" i="4"/>
  <c r="AV6" i="1"/>
  <c r="AY59" i="2"/>
  <c r="AY54" i="2"/>
  <c r="AW16" i="1" s="1"/>
  <c r="AW56" i="1" s="1"/>
  <c r="AY52" i="2"/>
  <c r="AW14" i="1" s="1"/>
  <c r="AW24" i="1" s="1"/>
  <c r="AW35" i="1" s="1"/>
  <c r="AY48" i="2"/>
  <c r="AY60" i="2"/>
  <c r="AW55" i="1" s="1"/>
  <c r="AY41" i="2"/>
  <c r="AW37" i="8" s="1"/>
  <c r="AY30" i="2"/>
  <c r="AW13" i="7" s="1"/>
  <c r="AY39" i="2"/>
  <c r="AW35" i="8" s="1"/>
  <c r="AY23" i="2"/>
  <c r="AY28" i="2"/>
  <c r="AZ5" i="2"/>
  <c r="AY18" i="2"/>
  <c r="AY6" i="2" s="1"/>
  <c r="AY46" i="2"/>
  <c r="AY25" i="2"/>
  <c r="AX24" i="2"/>
  <c r="AV11" i="5" s="1"/>
  <c r="AV11" i="6" s="1"/>
  <c r="AV11" i="7" s="1"/>
  <c r="AW6" i="11" l="1"/>
  <c r="AW6" i="18"/>
  <c r="AX5" i="18"/>
  <c r="AX57" i="18" s="1"/>
  <c r="AX5" i="11"/>
  <c r="AS7" i="11"/>
  <c r="AS7" i="18"/>
  <c r="AW61" i="1"/>
  <c r="AW70" i="1" s="1"/>
  <c r="AT35" i="9"/>
  <c r="AT12" i="5"/>
  <c r="AT12" i="6" s="1"/>
  <c r="AV19" i="2"/>
  <c r="AV7" i="2" s="1"/>
  <c r="AW29" i="2"/>
  <c r="AP43" i="13"/>
  <c r="AP101" i="8"/>
  <c r="AM14" i="10"/>
  <c r="AP59" i="6"/>
  <c r="AP61" i="6" s="1"/>
  <c r="AS46" i="6"/>
  <c r="AS47" i="6"/>
  <c r="AS50" i="6"/>
  <c r="AS45" i="6"/>
  <c r="AS49" i="6"/>
  <c r="AS44" i="6"/>
  <c r="AS12" i="7"/>
  <c r="AS48" i="6"/>
  <c r="AS24" i="6"/>
  <c r="AU34" i="2"/>
  <c r="AS36" i="9"/>
  <c r="AV32" i="2"/>
  <c r="AS14" i="6"/>
  <c r="AS15" i="7"/>
  <c r="AR27" i="6"/>
  <c r="AR28" i="6" s="1"/>
  <c r="AR30" i="6" s="1"/>
  <c r="AR34" i="5"/>
  <c r="AR36" i="5" s="1"/>
  <c r="AR38" i="5" s="1"/>
  <c r="AR11" i="11" s="1"/>
  <c r="AQ20" i="7"/>
  <c r="AQ21" i="7" s="1"/>
  <c r="AQ37" i="6"/>
  <c r="AQ41" i="13"/>
  <c r="AQ41" i="8"/>
  <c r="AQ99" i="8"/>
  <c r="AQ134" i="8" s="1"/>
  <c r="AQ136" i="8" s="1"/>
  <c r="AO14" i="13"/>
  <c r="AO79" i="6"/>
  <c r="AO26" i="7"/>
  <c r="AO11" i="10"/>
  <c r="AS39" i="13"/>
  <c r="AS13" i="12"/>
  <c r="AS18" i="12" s="1"/>
  <c r="AV40" i="2"/>
  <c r="AS115" i="8"/>
  <c r="AS135" i="8" s="1"/>
  <c r="AS36" i="8"/>
  <c r="AQ29" i="7"/>
  <c r="AQ16" i="13"/>
  <c r="AQ45" i="9"/>
  <c r="AR51" i="6"/>
  <c r="AQ42" i="13"/>
  <c r="AQ100" i="8"/>
  <c r="AR40" i="8"/>
  <c r="AR39" i="8"/>
  <c r="AR55" i="8"/>
  <c r="AR56" i="8"/>
  <c r="AR58" i="8" s="1"/>
  <c r="AQ54" i="6"/>
  <c r="AQ56" i="6"/>
  <c r="AQ57" i="6"/>
  <c r="AQ40" i="7"/>
  <c r="AQ58" i="6"/>
  <c r="AQ55" i="6"/>
  <c r="AR39" i="7"/>
  <c r="AR19" i="7"/>
  <c r="AS15" i="1"/>
  <c r="AU57" i="2"/>
  <c r="AU8" i="2" s="1"/>
  <c r="AU56" i="2"/>
  <c r="AV53" i="2"/>
  <c r="AP38" i="6"/>
  <c r="AP41" i="7"/>
  <c r="AO25" i="7"/>
  <c r="AO39" i="6"/>
  <c r="AT8" i="4"/>
  <c r="AR8" i="1"/>
  <c r="AS93" i="8"/>
  <c r="AV47" i="2"/>
  <c r="AO44" i="8"/>
  <c r="AO48" i="8" s="1"/>
  <c r="AP43" i="8"/>
  <c r="AU43" i="2"/>
  <c r="AS7" i="15"/>
  <c r="AS7" i="5"/>
  <c r="AU7" i="4"/>
  <c r="AS7" i="12"/>
  <c r="AS7" i="13"/>
  <c r="AS7" i="9"/>
  <c r="AS7" i="6"/>
  <c r="AS7" i="10"/>
  <c r="AS7" i="8"/>
  <c r="AS7" i="14"/>
  <c r="AS7" i="7"/>
  <c r="AS7" i="1"/>
  <c r="AN70" i="6"/>
  <c r="AN13" i="13"/>
  <c r="AN10" i="10"/>
  <c r="AN13" i="10" s="1"/>
  <c r="AN10" i="11" s="1"/>
  <c r="AN63" i="6"/>
  <c r="AW6" i="14"/>
  <c r="AW6" i="13"/>
  <c r="AW6" i="15"/>
  <c r="AW6" i="12"/>
  <c r="AW6" i="9"/>
  <c r="AW6" i="10"/>
  <c r="AW6" i="8"/>
  <c r="AW6" i="6"/>
  <c r="AW6" i="5"/>
  <c r="AW6" i="7"/>
  <c r="AX5" i="15"/>
  <c r="AX5" i="14"/>
  <c r="AX5" i="13"/>
  <c r="AX5" i="12"/>
  <c r="AX5" i="10"/>
  <c r="AX5" i="9"/>
  <c r="AX5" i="8"/>
  <c r="AX5" i="7"/>
  <c r="AX5" i="6"/>
  <c r="AX5" i="5"/>
  <c r="AD83" i="6"/>
  <c r="AD88" i="6" s="1"/>
  <c r="AD89" i="6" s="1"/>
  <c r="AE78" i="6"/>
  <c r="AG71" i="6"/>
  <c r="AG72" i="6" s="1"/>
  <c r="AG18" i="14" s="1"/>
  <c r="BB15" i="5"/>
  <c r="BB17" i="6" s="1"/>
  <c r="AZ5" i="4"/>
  <c r="AX5" i="1"/>
  <c r="AX18" i="1" s="1"/>
  <c r="AX58" i="1" s="1"/>
  <c r="AY6" i="4"/>
  <c r="AW6" i="1"/>
  <c r="AZ59" i="2"/>
  <c r="AZ54" i="2"/>
  <c r="AX16" i="1" s="1"/>
  <c r="AX56" i="1" s="1"/>
  <c r="AZ60" i="2"/>
  <c r="AX55" i="1" s="1"/>
  <c r="AZ52" i="2"/>
  <c r="AX14" i="1" s="1"/>
  <c r="AX24" i="1" s="1"/>
  <c r="AX35" i="1" s="1"/>
  <c r="AZ48" i="2"/>
  <c r="AZ39" i="2"/>
  <c r="AZ46" i="2"/>
  <c r="AZ41" i="2"/>
  <c r="AX37" i="8" s="1"/>
  <c r="AZ23" i="2"/>
  <c r="AZ30" i="2"/>
  <c r="AX13" i="7" s="1"/>
  <c r="AZ28" i="2"/>
  <c r="AZ18" i="2"/>
  <c r="AZ6" i="2" s="1"/>
  <c r="AZ25" i="2"/>
  <c r="BA5" i="2"/>
  <c r="AY24" i="2"/>
  <c r="AW11" i="5" s="1"/>
  <c r="AW11" i="6" s="1"/>
  <c r="AW11" i="7" s="1"/>
  <c r="AX6" i="11" l="1"/>
  <c r="AX6" i="18"/>
  <c r="AY5" i="11"/>
  <c r="AY5" i="18"/>
  <c r="AY57" i="18" s="1"/>
  <c r="AT7" i="18"/>
  <c r="AT7" i="11"/>
  <c r="AS51" i="6"/>
  <c r="AT93" i="8"/>
  <c r="AW47" i="2"/>
  <c r="AR42" i="13"/>
  <c r="AR100" i="8"/>
  <c r="AS55" i="8"/>
  <c r="AS56" i="8"/>
  <c r="AS58" i="8" s="1"/>
  <c r="AS40" i="8"/>
  <c r="AS39" i="8"/>
  <c r="AT15" i="1"/>
  <c r="AW53" i="2"/>
  <c r="AV57" i="2"/>
  <c r="AV8" i="2" s="1"/>
  <c r="AV56" i="2"/>
  <c r="AQ38" i="6"/>
  <c r="AQ41" i="7"/>
  <c r="AT39" i="13"/>
  <c r="AW40" i="2"/>
  <c r="AT13" i="12"/>
  <c r="AT18" i="12" s="1"/>
  <c r="AT115" i="8"/>
  <c r="AT135" i="8" s="1"/>
  <c r="AT36" i="8"/>
  <c r="AQ101" i="8"/>
  <c r="AQ43" i="13"/>
  <c r="AT36" i="9"/>
  <c r="AT14" i="6"/>
  <c r="AT15" i="7"/>
  <c r="AV34" i="2"/>
  <c r="AW32" i="2"/>
  <c r="AS8" i="1"/>
  <c r="AU8" i="4"/>
  <c r="AU12" i="5"/>
  <c r="AU12" i="6" s="1"/>
  <c r="AU35" i="9"/>
  <c r="AX29" i="2"/>
  <c r="AW19" i="2"/>
  <c r="AW7" i="2" s="1"/>
  <c r="AQ59" i="6"/>
  <c r="AQ61" i="6" s="1"/>
  <c r="AT7" i="10"/>
  <c r="AT7" i="6"/>
  <c r="AT7" i="9"/>
  <c r="AV7" i="4"/>
  <c r="AT7" i="8"/>
  <c r="AT7" i="1"/>
  <c r="AT7" i="14"/>
  <c r="AT7" i="15"/>
  <c r="AT7" i="7"/>
  <c r="AT7" i="5"/>
  <c r="AT7" i="13"/>
  <c r="AT7" i="12"/>
  <c r="AN14" i="10"/>
  <c r="AV43" i="2"/>
  <c r="AT24" i="6"/>
  <c r="AT46" i="6"/>
  <c r="AT12" i="7"/>
  <c r="AT48" i="6"/>
  <c r="AT49" i="6"/>
  <c r="AT45" i="6"/>
  <c r="AT47" i="6"/>
  <c r="AT50" i="6"/>
  <c r="AT44" i="6"/>
  <c r="AP44" i="8"/>
  <c r="AP48" i="8" s="1"/>
  <c r="AQ43" i="8"/>
  <c r="AP39" i="6"/>
  <c r="AP25" i="7"/>
  <c r="AR37" i="6"/>
  <c r="AR20" i="7"/>
  <c r="AR21" i="7" s="1"/>
  <c r="AR16" i="13"/>
  <c r="AR29" i="7"/>
  <c r="AR45" i="9"/>
  <c r="AP79" i="6"/>
  <c r="AP26" i="7"/>
  <c r="AP11" i="10"/>
  <c r="AP14" i="13"/>
  <c r="AO63" i="6"/>
  <c r="AO70" i="6"/>
  <c r="AO10" i="10"/>
  <c r="AO13" i="10" s="1"/>
  <c r="AO10" i="11" s="1"/>
  <c r="AO13" i="13"/>
  <c r="AS27" i="6"/>
  <c r="AS28" i="6" s="1"/>
  <c r="AS30" i="6" s="1"/>
  <c r="AS34" i="5"/>
  <c r="AS36" i="5" s="1"/>
  <c r="AS38" i="5" s="1"/>
  <c r="AS11" i="11" s="1"/>
  <c r="AR41" i="8"/>
  <c r="AR41" i="13"/>
  <c r="AR99" i="8"/>
  <c r="AR134" i="8" s="1"/>
  <c r="AR136" i="8" s="1"/>
  <c r="AR58" i="6"/>
  <c r="AR57" i="6"/>
  <c r="AR55" i="6"/>
  <c r="AR56" i="6"/>
  <c r="AR40" i="7"/>
  <c r="AR54" i="6"/>
  <c r="AS19" i="7"/>
  <c r="AS39" i="7"/>
  <c r="AY5" i="15"/>
  <c r="AY5" i="14"/>
  <c r="AY5" i="13"/>
  <c r="AY5" i="12"/>
  <c r="AY5" i="9"/>
  <c r="AY5" i="10"/>
  <c r="AY5" i="8"/>
  <c r="AY5" i="7"/>
  <c r="AY5" i="5"/>
  <c r="AY5" i="6"/>
  <c r="AX35" i="8"/>
  <c r="AX6" i="14"/>
  <c r="AX6" i="13"/>
  <c r="AX6" i="15"/>
  <c r="AX6" i="12"/>
  <c r="AX6" i="9"/>
  <c r="AX6" i="10"/>
  <c r="AX6" i="8"/>
  <c r="AX6" i="7"/>
  <c r="AX6" i="6"/>
  <c r="AX6" i="5"/>
  <c r="AX61" i="1"/>
  <c r="AX70" i="1" s="1"/>
  <c r="AD30" i="7"/>
  <c r="AD13" i="11"/>
  <c r="AD18" i="13" s="1"/>
  <c r="AG74" i="6"/>
  <c r="AG87" i="6" s="1"/>
  <c r="AH69" i="6"/>
  <c r="AE80" i="6"/>
  <c r="AE81" i="6" s="1"/>
  <c r="AE29" i="14" s="1"/>
  <c r="BC15" i="5"/>
  <c r="BC17" i="6" s="1"/>
  <c r="AZ6" i="4"/>
  <c r="AX6" i="1"/>
  <c r="BA5" i="4"/>
  <c r="AY5" i="1"/>
  <c r="AY18" i="1" s="1"/>
  <c r="AY58" i="1" s="1"/>
  <c r="BA60" i="2"/>
  <c r="AY55" i="1" s="1"/>
  <c r="BA59" i="2"/>
  <c r="BA52" i="2"/>
  <c r="AY14" i="1" s="1"/>
  <c r="AY24" i="1" s="1"/>
  <c r="AY35" i="1" s="1"/>
  <c r="BA48" i="2"/>
  <c r="BA54" i="2"/>
  <c r="AY16" i="1" s="1"/>
  <c r="AY56" i="1" s="1"/>
  <c r="BA39" i="2"/>
  <c r="BA46" i="2"/>
  <c r="BA41" i="2"/>
  <c r="AY37" i="8" s="1"/>
  <c r="BA23" i="2"/>
  <c r="BA30" i="2"/>
  <c r="AY13" i="7" s="1"/>
  <c r="BA28" i="2"/>
  <c r="BA18" i="2"/>
  <c r="BA6" i="2" s="1"/>
  <c r="BB5" i="2"/>
  <c r="BA25" i="2"/>
  <c r="AZ24" i="2"/>
  <c r="AX11" i="5" s="1"/>
  <c r="AX11" i="6" s="1"/>
  <c r="AX11" i="7" s="1"/>
  <c r="AW43" i="2" l="1"/>
  <c r="AU7" i="18"/>
  <c r="AU7" i="11"/>
  <c r="AY6" i="11"/>
  <c r="AY6" i="18"/>
  <c r="AZ5" i="11"/>
  <c r="AZ5" i="18"/>
  <c r="AZ57" i="18" s="1"/>
  <c r="AS58" i="6"/>
  <c r="AS40" i="7"/>
  <c r="AS57" i="6"/>
  <c r="AS55" i="6"/>
  <c r="AS56" i="6"/>
  <c r="AS54" i="6"/>
  <c r="AQ44" i="8"/>
  <c r="AQ48" i="8" s="1"/>
  <c r="AR43" i="8"/>
  <c r="AT19" i="7"/>
  <c r="AT39" i="7"/>
  <c r="AU49" i="6"/>
  <c r="AU50" i="6"/>
  <c r="AU12" i="7"/>
  <c r="AU48" i="6"/>
  <c r="AU24" i="6"/>
  <c r="AU44" i="6"/>
  <c r="AU45" i="6"/>
  <c r="AU46" i="6"/>
  <c r="AU47" i="6"/>
  <c r="AO14" i="10"/>
  <c r="AT51" i="6"/>
  <c r="AT56" i="8"/>
  <c r="AT58" i="8" s="1"/>
  <c r="AT40" i="8"/>
  <c r="AT55" i="8"/>
  <c r="AT39" i="8"/>
  <c r="AV8" i="4"/>
  <c r="AT8" i="1"/>
  <c r="AS41" i="13"/>
  <c r="AS99" i="8"/>
  <c r="AS134" i="8" s="1"/>
  <c r="AS136" i="8" s="1"/>
  <c r="AS41" i="8"/>
  <c r="AS42" i="13"/>
  <c r="AS100" i="8"/>
  <c r="AS20" i="7"/>
  <c r="AS21" i="7" s="1"/>
  <c r="AS37" i="6"/>
  <c r="AU36" i="9"/>
  <c r="AU15" i="7"/>
  <c r="AX32" i="2"/>
  <c r="AU14" i="6"/>
  <c r="AW34" i="2"/>
  <c r="AU15" i="1"/>
  <c r="AW57" i="2"/>
  <c r="AW8" i="2" s="1"/>
  <c r="AW56" i="2"/>
  <c r="AX53" i="2"/>
  <c r="AR38" i="6"/>
  <c r="AR41" i="7"/>
  <c r="AV35" i="9"/>
  <c r="AV12" i="5"/>
  <c r="AV12" i="6" s="1"/>
  <c r="AY29" i="2"/>
  <c r="AX19" i="2"/>
  <c r="AX7" i="2" s="1"/>
  <c r="AQ11" i="10"/>
  <c r="AQ14" i="13"/>
  <c r="AQ26" i="7"/>
  <c r="AQ79" i="6"/>
  <c r="AT27" i="6"/>
  <c r="AT28" i="6" s="1"/>
  <c r="AT30" i="6" s="1"/>
  <c r="AT34" i="5"/>
  <c r="AT36" i="5" s="1"/>
  <c r="AT38" i="5" s="1"/>
  <c r="AT11" i="11" s="1"/>
  <c r="AU93" i="8"/>
  <c r="AX47" i="2"/>
  <c r="AS29" i="7"/>
  <c r="AS45" i="9"/>
  <c r="AS16" i="13"/>
  <c r="AP70" i="6"/>
  <c r="AP13" i="13"/>
  <c r="AP63" i="6"/>
  <c r="AP10" i="10"/>
  <c r="AP13" i="10" s="1"/>
  <c r="AP10" i="11" s="1"/>
  <c r="AQ25" i="7"/>
  <c r="AQ39" i="6"/>
  <c r="AR59" i="6"/>
  <c r="AR61" i="6" s="1"/>
  <c r="AR43" i="13"/>
  <c r="AR101" i="8"/>
  <c r="AU7" i="13"/>
  <c r="AU7" i="9"/>
  <c r="AU7" i="6"/>
  <c r="AW7" i="4"/>
  <c r="AU7" i="8"/>
  <c r="AU7" i="15"/>
  <c r="AU7" i="12"/>
  <c r="AU7" i="5"/>
  <c r="AU7" i="1"/>
  <c r="AU7" i="14"/>
  <c r="AU7" i="7"/>
  <c r="AU7" i="10"/>
  <c r="AU13" i="12"/>
  <c r="AU18" i="12" s="1"/>
  <c r="AX40" i="2"/>
  <c r="AX43" i="2" s="1"/>
  <c r="AU39" i="13"/>
  <c r="AU115" i="8"/>
  <c r="AU135" i="8" s="1"/>
  <c r="AU36" i="8"/>
  <c r="AY35" i="8"/>
  <c r="AZ5" i="14"/>
  <c r="AZ5" i="13"/>
  <c r="AZ5" i="15"/>
  <c r="AZ5" i="12"/>
  <c r="AZ5" i="9"/>
  <c r="AZ5" i="10"/>
  <c r="AZ5" i="8"/>
  <c r="AZ5" i="6"/>
  <c r="AZ5" i="5"/>
  <c r="AZ5" i="7"/>
  <c r="AY61" i="1"/>
  <c r="AY70" i="1" s="1"/>
  <c r="AY6" i="14"/>
  <c r="AY6" i="15"/>
  <c r="AY6" i="13"/>
  <c r="AY6" i="12"/>
  <c r="AY6" i="9"/>
  <c r="AY6" i="10"/>
  <c r="AY6" i="8"/>
  <c r="AY6" i="6"/>
  <c r="AY6" i="7"/>
  <c r="AY6" i="5"/>
  <c r="AE83" i="6"/>
  <c r="AE88" i="6" s="1"/>
  <c r="AE89" i="6" s="1"/>
  <c r="AF78" i="6"/>
  <c r="AH71" i="6"/>
  <c r="AH72" i="6" s="1"/>
  <c r="AH18" i="14" s="1"/>
  <c r="BD15" i="5"/>
  <c r="BD17" i="6" s="1"/>
  <c r="BB5" i="4"/>
  <c r="AZ5" i="1"/>
  <c r="AZ18" i="1" s="1"/>
  <c r="AZ58" i="1" s="1"/>
  <c r="BA6" i="4"/>
  <c r="AY6" i="1"/>
  <c r="BB60" i="2"/>
  <c r="AZ55" i="1" s="1"/>
  <c r="BB59" i="2"/>
  <c r="BB54" i="2"/>
  <c r="AZ16" i="1" s="1"/>
  <c r="AZ56" i="1" s="1"/>
  <c r="BB46" i="2"/>
  <c r="BB52" i="2"/>
  <c r="AZ14" i="1" s="1"/>
  <c r="AZ24" i="1" s="1"/>
  <c r="AZ35" i="1" s="1"/>
  <c r="BB39" i="2"/>
  <c r="BB41" i="2"/>
  <c r="AZ37" i="8" s="1"/>
  <c r="BB48" i="2"/>
  <c r="BB23" i="2"/>
  <c r="BB30" i="2"/>
  <c r="AZ13" i="7" s="1"/>
  <c r="BB25" i="2"/>
  <c r="BB28" i="2"/>
  <c r="BB18" i="2"/>
  <c r="BB6" i="2" s="1"/>
  <c r="BC5" i="2"/>
  <c r="BA24" i="2"/>
  <c r="AY11" i="5" s="1"/>
  <c r="AY11" i="6" s="1"/>
  <c r="AY11" i="7" s="1"/>
  <c r="BA5" i="11" l="1"/>
  <c r="BA5" i="18"/>
  <c r="BA57" i="18" s="1"/>
  <c r="AV7" i="11"/>
  <c r="AV7" i="18"/>
  <c r="AZ6" i="18"/>
  <c r="AZ6" i="11"/>
  <c r="AS59" i="6"/>
  <c r="AS61" i="6" s="1"/>
  <c r="AS11" i="10" s="1"/>
  <c r="AU51" i="6"/>
  <c r="AV15" i="1"/>
  <c r="AX56" i="2"/>
  <c r="AX57" i="2"/>
  <c r="AX8" i="2" s="1"/>
  <c r="AY53" i="2"/>
  <c r="AP14" i="10"/>
  <c r="AV93" i="8"/>
  <c r="AY47" i="2"/>
  <c r="AX7" i="4"/>
  <c r="AV7" i="12"/>
  <c r="AV7" i="1"/>
  <c r="AV7" i="6"/>
  <c r="AV7" i="10"/>
  <c r="AV7" i="13"/>
  <c r="AV7" i="9"/>
  <c r="AV7" i="8"/>
  <c r="AV7" i="15"/>
  <c r="AV7" i="5"/>
  <c r="AV7" i="14"/>
  <c r="AV7" i="7"/>
  <c r="AW8" i="4"/>
  <c r="AU8" i="1"/>
  <c r="AU19" i="7"/>
  <c r="AU39" i="7"/>
  <c r="AR26" i="7"/>
  <c r="AR11" i="10"/>
  <c r="AR14" i="13"/>
  <c r="AR79" i="6"/>
  <c r="AR44" i="8"/>
  <c r="AR48" i="8" s="1"/>
  <c r="AS43" i="8"/>
  <c r="AU39" i="8"/>
  <c r="AU56" i="8"/>
  <c r="AU58" i="8" s="1"/>
  <c r="AU55" i="8"/>
  <c r="AU40" i="8"/>
  <c r="AW12" i="5"/>
  <c r="AW12" i="6" s="1"/>
  <c r="AW35" i="9"/>
  <c r="AZ29" i="2"/>
  <c r="AY19" i="2"/>
  <c r="AY7" i="2" s="1"/>
  <c r="AQ13" i="13"/>
  <c r="AQ10" i="10"/>
  <c r="AQ13" i="10" s="1"/>
  <c r="AQ10" i="11" s="1"/>
  <c r="AQ70" i="6"/>
  <c r="AQ63" i="6"/>
  <c r="AT45" i="9"/>
  <c r="AT29" i="7"/>
  <c r="AT16" i="13"/>
  <c r="AV12" i="7"/>
  <c r="AV44" i="6"/>
  <c r="AV47" i="6"/>
  <c r="AV24" i="6"/>
  <c r="AV50" i="6"/>
  <c r="AV45" i="6"/>
  <c r="AV46" i="6"/>
  <c r="AV49" i="6"/>
  <c r="AV48" i="6"/>
  <c r="AU34" i="5"/>
  <c r="AU36" i="5" s="1"/>
  <c r="AU38" i="5" s="1"/>
  <c r="AU11" i="11" s="1"/>
  <c r="AU27" i="6"/>
  <c r="AU28" i="6" s="1"/>
  <c r="AU30" i="6" s="1"/>
  <c r="AT41" i="8"/>
  <c r="AT41" i="13"/>
  <c r="AT99" i="8"/>
  <c r="AT134" i="8" s="1"/>
  <c r="AT136" i="8" s="1"/>
  <c r="AT58" i="6"/>
  <c r="AT40" i="7"/>
  <c r="AT54" i="6"/>
  <c r="AT55" i="6"/>
  <c r="AT56" i="6"/>
  <c r="AT57" i="6"/>
  <c r="AT37" i="6"/>
  <c r="AT20" i="7"/>
  <c r="AT21" i="7" s="1"/>
  <c r="AS38" i="6"/>
  <c r="AS41" i="7"/>
  <c r="AY40" i="2"/>
  <c r="AV39" i="13"/>
  <c r="AV13" i="12"/>
  <c r="AV18" i="12" s="1"/>
  <c r="AV115" i="8"/>
  <c r="AV135" i="8" s="1"/>
  <c r="AV36" i="8"/>
  <c r="AR25" i="7"/>
  <c r="AR39" i="6"/>
  <c r="AV36" i="9"/>
  <c r="AV14" i="6"/>
  <c r="AV15" i="7"/>
  <c r="AY32" i="2"/>
  <c r="AX34" i="2"/>
  <c r="AS101" i="8"/>
  <c r="AS43" i="13"/>
  <c r="AT42" i="13"/>
  <c r="AT100" i="8"/>
  <c r="BA5" i="14"/>
  <c r="BA5" i="13"/>
  <c r="BA5" i="15"/>
  <c r="BA5" i="12"/>
  <c r="BA5" i="9"/>
  <c r="BA5" i="10"/>
  <c r="BA5" i="8"/>
  <c r="BA5" i="6"/>
  <c r="BA5" i="7"/>
  <c r="BA5" i="5"/>
  <c r="AZ35" i="8"/>
  <c r="AZ6" i="15"/>
  <c r="AZ6" i="12"/>
  <c r="AZ6" i="13"/>
  <c r="AZ6" i="14"/>
  <c r="AZ6" i="10"/>
  <c r="AZ6" i="9"/>
  <c r="AZ6" i="8"/>
  <c r="AZ6" i="6"/>
  <c r="AZ6" i="7"/>
  <c r="AZ6" i="5"/>
  <c r="AZ61" i="1"/>
  <c r="AZ70" i="1" s="1"/>
  <c r="AE30" i="7"/>
  <c r="AE13" i="11"/>
  <c r="AE18" i="13" s="1"/>
  <c r="AH74" i="6"/>
  <c r="AH87" i="6" s="1"/>
  <c r="AI69" i="6"/>
  <c r="AF80" i="6"/>
  <c r="AF81" i="6" s="1"/>
  <c r="AF29" i="14" s="1"/>
  <c r="BE15" i="5"/>
  <c r="BE17" i="6" s="1"/>
  <c r="BC5" i="4"/>
  <c r="BA5" i="1"/>
  <c r="BA18" i="1" s="1"/>
  <c r="BA58" i="1" s="1"/>
  <c r="BB6" i="4"/>
  <c r="AZ6" i="1"/>
  <c r="BC60" i="2"/>
  <c r="BA55" i="1" s="1"/>
  <c r="BC54" i="2"/>
  <c r="BA16" i="1" s="1"/>
  <c r="BA56" i="1" s="1"/>
  <c r="BC59" i="2"/>
  <c r="BC52" i="2"/>
  <c r="BA14" i="1" s="1"/>
  <c r="BA24" i="1" s="1"/>
  <c r="BA35" i="1" s="1"/>
  <c r="BC48" i="2"/>
  <c r="BC39" i="2"/>
  <c r="BC46" i="2"/>
  <c r="BC41" i="2"/>
  <c r="BA37" i="8" s="1"/>
  <c r="BC30" i="2"/>
  <c r="BA13" i="7" s="1"/>
  <c r="BC25" i="2"/>
  <c r="BC28" i="2"/>
  <c r="BC23" i="2"/>
  <c r="BC18" i="2"/>
  <c r="BC6" i="2" s="1"/>
  <c r="BD5" i="2"/>
  <c r="BB24" i="2"/>
  <c r="AZ11" i="5" s="1"/>
  <c r="AZ11" i="6" s="1"/>
  <c r="AZ11" i="7" s="1"/>
  <c r="AW7" i="18" l="1"/>
  <c r="AW7" i="11"/>
  <c r="BB5" i="11"/>
  <c r="BB5" i="18"/>
  <c r="BB57" i="18" s="1"/>
  <c r="BA6" i="11"/>
  <c r="BA6" i="18"/>
  <c r="AS14" i="13"/>
  <c r="AS79" i="6"/>
  <c r="AS26" i="7"/>
  <c r="AV27" i="6"/>
  <c r="AV28" i="6" s="1"/>
  <c r="AV30" i="6" s="1"/>
  <c r="AV34" i="5"/>
  <c r="AV36" i="5" s="1"/>
  <c r="AV38" i="5" s="1"/>
  <c r="AV11" i="11" s="1"/>
  <c r="AW7" i="9"/>
  <c r="AW7" i="8"/>
  <c r="AW7" i="14"/>
  <c r="AW7" i="6"/>
  <c r="AW7" i="12"/>
  <c r="AY7" i="4"/>
  <c r="AW7" i="10"/>
  <c r="AW7" i="15"/>
  <c r="AW7" i="7"/>
  <c r="AW7" i="5"/>
  <c r="AW7" i="1"/>
  <c r="AW7" i="13"/>
  <c r="AT43" i="8"/>
  <c r="AS44" i="8"/>
  <c r="AS48" i="8" s="1"/>
  <c r="AV55" i="8"/>
  <c r="AV56" i="8"/>
  <c r="AV58" i="8" s="1"/>
  <c r="AV40" i="8"/>
  <c r="AV39" i="8"/>
  <c r="AX35" i="9"/>
  <c r="AX12" i="5"/>
  <c r="AX12" i="6" s="1"/>
  <c r="AZ19" i="2"/>
  <c r="AZ7" i="2" s="1"/>
  <c r="BA29" i="2"/>
  <c r="AW14" i="6"/>
  <c r="AW36" i="9"/>
  <c r="AW15" i="7"/>
  <c r="AZ32" i="2"/>
  <c r="AY34" i="2"/>
  <c r="AW46" i="6"/>
  <c r="AW44" i="6"/>
  <c r="AW50" i="6"/>
  <c r="AW12" i="7"/>
  <c r="AW48" i="6"/>
  <c r="AW45" i="6"/>
  <c r="AW24" i="6"/>
  <c r="AW47" i="6"/>
  <c r="AW49" i="6"/>
  <c r="AW15" i="1"/>
  <c r="AY57" i="2"/>
  <c r="AY8" i="2" s="1"/>
  <c r="AY56" i="2"/>
  <c r="AZ53" i="2"/>
  <c r="AT43" i="13"/>
  <c r="AT101" i="8"/>
  <c r="AU100" i="8"/>
  <c r="AU42" i="13"/>
  <c r="AX8" i="4"/>
  <c r="AV8" i="1"/>
  <c r="AW115" i="8"/>
  <c r="AW135" i="8" s="1"/>
  <c r="AW39" i="13"/>
  <c r="AW13" i="12"/>
  <c r="AW18" i="12" s="1"/>
  <c r="AW36" i="8"/>
  <c r="AZ40" i="2"/>
  <c r="AT59" i="6"/>
  <c r="AT61" i="6" s="1"/>
  <c r="AU56" i="6"/>
  <c r="AU54" i="6"/>
  <c r="AU57" i="6"/>
  <c r="AU58" i="6"/>
  <c r="AU55" i="6"/>
  <c r="AU40" i="7"/>
  <c r="AS39" i="6"/>
  <c r="AS25" i="7"/>
  <c r="AT41" i="7"/>
  <c r="AT38" i="6"/>
  <c r="AU45" i="9"/>
  <c r="AU16" i="13"/>
  <c r="AU29" i="7"/>
  <c r="AV51" i="6"/>
  <c r="AQ14" i="10"/>
  <c r="AU20" i="7"/>
  <c r="AU21" i="7" s="1"/>
  <c r="AU37" i="6"/>
  <c r="AR10" i="10"/>
  <c r="AR13" i="10" s="1"/>
  <c r="AR10" i="11" s="1"/>
  <c r="AR63" i="6"/>
  <c r="AR70" i="6"/>
  <c r="AR13" i="13"/>
  <c r="AV39" i="7"/>
  <c r="AV19" i="7"/>
  <c r="AU41" i="8"/>
  <c r="AU99" i="8"/>
  <c r="AU134" i="8" s="1"/>
  <c r="AU136" i="8" s="1"/>
  <c r="AU41" i="13"/>
  <c r="AW93" i="8"/>
  <c r="AZ47" i="2"/>
  <c r="AY43" i="2"/>
  <c r="BB5" i="14"/>
  <c r="BB5" i="15"/>
  <c r="BB5" i="13"/>
  <c r="BB5" i="12"/>
  <c r="BB5" i="9"/>
  <c r="BB5" i="10"/>
  <c r="BB5" i="8"/>
  <c r="BB5" i="7"/>
  <c r="BB5" i="5"/>
  <c r="BB5" i="6"/>
  <c r="BA35" i="8"/>
  <c r="BA6" i="14"/>
  <c r="BA6" i="15"/>
  <c r="BA6" i="13"/>
  <c r="BA6" i="12"/>
  <c r="BA6" i="10"/>
  <c r="BA6" i="9"/>
  <c r="BA6" i="8"/>
  <c r="BA6" i="7"/>
  <c r="BA6" i="5"/>
  <c r="BA6" i="6"/>
  <c r="BA61" i="1"/>
  <c r="BA70" i="1" s="1"/>
  <c r="AG78" i="6"/>
  <c r="AF83" i="6"/>
  <c r="AF88" i="6" s="1"/>
  <c r="AF89" i="6" s="1"/>
  <c r="AI71" i="6"/>
  <c r="AI72" i="6" s="1"/>
  <c r="AI18" i="14" s="1"/>
  <c r="BF15" i="5"/>
  <c r="BF17" i="6" s="1"/>
  <c r="BC6" i="4"/>
  <c r="BA6" i="1"/>
  <c r="BD5" i="4"/>
  <c r="BB5" i="1"/>
  <c r="BB18" i="1" s="1"/>
  <c r="BB58" i="1" s="1"/>
  <c r="BD59" i="2"/>
  <c r="BD54" i="2"/>
  <c r="BB16" i="1" s="1"/>
  <c r="BB56" i="1" s="1"/>
  <c r="BD60" i="2"/>
  <c r="BB55" i="1" s="1"/>
  <c r="BD46" i="2"/>
  <c r="BD52" i="2"/>
  <c r="BB14" i="1" s="1"/>
  <c r="BB24" i="1" s="1"/>
  <c r="BB35" i="1" s="1"/>
  <c r="BD48" i="2"/>
  <c r="BD39" i="2"/>
  <c r="BD41" i="2"/>
  <c r="BB37" i="8" s="1"/>
  <c r="BD30" i="2"/>
  <c r="BB13" i="7" s="1"/>
  <c r="BD25" i="2"/>
  <c r="BD28" i="2"/>
  <c r="BD18" i="2"/>
  <c r="BD6" i="2" s="1"/>
  <c r="BD23" i="2"/>
  <c r="BE5" i="2"/>
  <c r="BC24" i="2"/>
  <c r="BA11" i="5" s="1"/>
  <c r="BA11" i="6" s="1"/>
  <c r="BA11" i="7" s="1"/>
  <c r="AX7" i="11" l="1"/>
  <c r="AX7" i="18"/>
  <c r="BC5" i="11"/>
  <c r="BC5" i="18"/>
  <c r="BC57" i="18" s="1"/>
  <c r="BB6" i="18"/>
  <c r="BB6" i="11"/>
  <c r="AZ43" i="2"/>
  <c r="AS63" i="6"/>
  <c r="AS70" i="6"/>
  <c r="AS13" i="13"/>
  <c r="AS10" i="10"/>
  <c r="AS13" i="10" s="1"/>
  <c r="AS10" i="11" s="1"/>
  <c r="AX39" i="13"/>
  <c r="AX13" i="12"/>
  <c r="AX18" i="12" s="1"/>
  <c r="AX36" i="8"/>
  <c r="BA40" i="2"/>
  <c r="AX115" i="8"/>
  <c r="AX135" i="8" s="1"/>
  <c r="AX45" i="6"/>
  <c r="AX50" i="6"/>
  <c r="AX24" i="6"/>
  <c r="AX49" i="6"/>
  <c r="AX44" i="6"/>
  <c r="AX12" i="7"/>
  <c r="AX46" i="6"/>
  <c r="AX47" i="6"/>
  <c r="AX48" i="6"/>
  <c r="AU43" i="8"/>
  <c r="AT44" i="8"/>
  <c r="AT48" i="8" s="1"/>
  <c r="AX93" i="8"/>
  <c r="BA47" i="2"/>
  <c r="AU41" i="7"/>
  <c r="AU38" i="6"/>
  <c r="AW40" i="8"/>
  <c r="AW56" i="8"/>
  <c r="AW58" i="8" s="1"/>
  <c r="AW55" i="8"/>
  <c r="AW39" i="8"/>
  <c r="AW27" i="6"/>
  <c r="AW28" i="6" s="1"/>
  <c r="AW30" i="6" s="1"/>
  <c r="AW34" i="5"/>
  <c r="AW36" i="5" s="1"/>
  <c r="AW38" i="5" s="1"/>
  <c r="AW11" i="11" s="1"/>
  <c r="BA32" i="2"/>
  <c r="AX14" i="6"/>
  <c r="AX36" i="9"/>
  <c r="AX15" i="7"/>
  <c r="AZ34" i="2"/>
  <c r="AR14" i="10"/>
  <c r="AV42" i="13"/>
  <c r="AV100" i="8"/>
  <c r="AV41" i="8"/>
  <c r="AV99" i="8"/>
  <c r="AV134" i="8" s="1"/>
  <c r="AV136" i="8" s="1"/>
  <c r="AV41" i="13"/>
  <c r="AX15" i="1"/>
  <c r="AZ57" i="2"/>
  <c r="AZ8" i="2" s="1"/>
  <c r="AZ56" i="2"/>
  <c r="BA53" i="2"/>
  <c r="AU43" i="13"/>
  <c r="AU101" i="8"/>
  <c r="AU59" i="6"/>
  <c r="AU61" i="6" s="1"/>
  <c r="AW39" i="7"/>
  <c r="AW19" i="7"/>
  <c r="AT25" i="7"/>
  <c r="AT39" i="6"/>
  <c r="AY8" i="4"/>
  <c r="AW8" i="1"/>
  <c r="AY12" i="5"/>
  <c r="AY12" i="6" s="1"/>
  <c r="AY35" i="9"/>
  <c r="BA19" i="2"/>
  <c r="BA7" i="2" s="1"/>
  <c r="BB29" i="2"/>
  <c r="AV45" i="9"/>
  <c r="AV16" i="13"/>
  <c r="AV29" i="7"/>
  <c r="AV37" i="6"/>
  <c r="AV20" i="7"/>
  <c r="AV21" i="7" s="1"/>
  <c r="AT79" i="6"/>
  <c r="AT26" i="7"/>
  <c r="AT11" i="10"/>
  <c r="AT14" i="13"/>
  <c r="AW51" i="6"/>
  <c r="AX7" i="8"/>
  <c r="AZ7" i="4"/>
  <c r="AX7" i="15"/>
  <c r="AX7" i="6"/>
  <c r="AX7" i="13"/>
  <c r="AX7" i="5"/>
  <c r="AX7" i="12"/>
  <c r="AX7" i="14"/>
  <c r="AX7" i="7"/>
  <c r="AX7" i="10"/>
  <c r="AX7" i="1"/>
  <c r="AX7" i="9"/>
  <c r="AV55" i="6"/>
  <c r="AV58" i="6"/>
  <c r="AV54" i="6"/>
  <c r="AV40" i="7"/>
  <c r="AV56" i="6"/>
  <c r="AV57" i="6"/>
  <c r="BB35" i="8"/>
  <c r="BC5" i="15"/>
  <c r="BC5" i="13"/>
  <c r="BC5" i="14"/>
  <c r="BC5" i="12"/>
  <c r="BC5" i="10"/>
  <c r="BC5" i="9"/>
  <c r="BC5" i="8"/>
  <c r="BC5" i="7"/>
  <c r="BC5" i="6"/>
  <c r="BC5" i="5"/>
  <c r="BB6" i="14"/>
  <c r="BB6" i="15"/>
  <c r="BB6" i="13"/>
  <c r="BB6" i="12"/>
  <c r="BB6" i="10"/>
  <c r="BB6" i="9"/>
  <c r="BB6" i="8"/>
  <c r="BB6" i="6"/>
  <c r="BB6" i="5"/>
  <c r="BB6" i="7"/>
  <c r="BB61" i="1"/>
  <c r="BB70" i="1" s="1"/>
  <c r="AF30" i="7"/>
  <c r="AF13" i="11"/>
  <c r="AF18" i="13" s="1"/>
  <c r="AI74" i="6"/>
  <c r="AI87" i="6" s="1"/>
  <c r="AJ69" i="6"/>
  <c r="AG80" i="6"/>
  <c r="AG81" i="6" s="1"/>
  <c r="AG29" i="14" s="1"/>
  <c r="BG15" i="5"/>
  <c r="BG17" i="6" s="1"/>
  <c r="BE5" i="4"/>
  <c r="BC5" i="1"/>
  <c r="BC18" i="1" s="1"/>
  <c r="BC58" i="1" s="1"/>
  <c r="BD6" i="4"/>
  <c r="BB6" i="1"/>
  <c r="BE52" i="2"/>
  <c r="BC14" i="1" s="1"/>
  <c r="BC24" i="1" s="1"/>
  <c r="BC35" i="1" s="1"/>
  <c r="BE54" i="2"/>
  <c r="BC16" i="1" s="1"/>
  <c r="BC56" i="1" s="1"/>
  <c r="BE46" i="2"/>
  <c r="BE59" i="2"/>
  <c r="BE48" i="2"/>
  <c r="BE60" i="2"/>
  <c r="BC55" i="1" s="1"/>
  <c r="BE41" i="2"/>
  <c r="BC37" i="8" s="1"/>
  <c r="BE25" i="2"/>
  <c r="BE39" i="2"/>
  <c r="BE28" i="2"/>
  <c r="BE18" i="2"/>
  <c r="BE6" i="2" s="1"/>
  <c r="BE30" i="2"/>
  <c r="BC13" i="7" s="1"/>
  <c r="BE23" i="2"/>
  <c r="BF5" i="2"/>
  <c r="BD24" i="2"/>
  <c r="BB11" i="5" s="1"/>
  <c r="BB11" i="6" s="1"/>
  <c r="BB11" i="7" s="1"/>
  <c r="AY7" i="18" l="1"/>
  <c r="AY7" i="11"/>
  <c r="BD5" i="11"/>
  <c r="BD5" i="18"/>
  <c r="BD57" i="18" s="1"/>
  <c r="BC6" i="11"/>
  <c r="BC6" i="18"/>
  <c r="AX51" i="6"/>
  <c r="AT10" i="10"/>
  <c r="AT13" i="10" s="1"/>
  <c r="AT10" i="11" s="1"/>
  <c r="AT13" i="13"/>
  <c r="AT63" i="6"/>
  <c r="AT70" i="6"/>
  <c r="AY15" i="1"/>
  <c r="BA57" i="2"/>
  <c r="BA8" i="2" s="1"/>
  <c r="BB53" i="2"/>
  <c r="BA56" i="2"/>
  <c r="AW45" i="9"/>
  <c r="AW16" i="13"/>
  <c r="AW29" i="7"/>
  <c r="AY93" i="8"/>
  <c r="BB47" i="2"/>
  <c r="AW54" i="6"/>
  <c r="AW55" i="6"/>
  <c r="AW40" i="7"/>
  <c r="AW57" i="6"/>
  <c r="AW58" i="6"/>
  <c r="AW56" i="6"/>
  <c r="AZ35" i="9"/>
  <c r="AZ12" i="5"/>
  <c r="AZ12" i="6" s="1"/>
  <c r="BC29" i="2"/>
  <c r="BB19" i="2"/>
  <c r="BB7" i="2" s="1"/>
  <c r="AZ8" i="4"/>
  <c r="AX8" i="1"/>
  <c r="AW99" i="8"/>
  <c r="AW134" i="8" s="1"/>
  <c r="AW136" i="8" s="1"/>
  <c r="AW41" i="8"/>
  <c r="AW41" i="13"/>
  <c r="AS14" i="10"/>
  <c r="AY7" i="10"/>
  <c r="AY7" i="12"/>
  <c r="AY7" i="9"/>
  <c r="AY7" i="8"/>
  <c r="AY7" i="14"/>
  <c r="AY7" i="5"/>
  <c r="BA7" i="4"/>
  <c r="AY7" i="15"/>
  <c r="AY7" i="7"/>
  <c r="AY7" i="13"/>
  <c r="AY7" i="1"/>
  <c r="AY7" i="6"/>
  <c r="AX27" i="6"/>
  <c r="AX28" i="6" s="1"/>
  <c r="AX30" i="6" s="1"/>
  <c r="AX34" i="5"/>
  <c r="AX36" i="5" s="1"/>
  <c r="AX38" i="5" s="1"/>
  <c r="AX11" i="11" s="1"/>
  <c r="AU44" i="8"/>
  <c r="AU48" i="8" s="1"/>
  <c r="AV43" i="8"/>
  <c r="AY48" i="6"/>
  <c r="AY12" i="7"/>
  <c r="AY45" i="6"/>
  <c r="AY24" i="6"/>
  <c r="AY44" i="6"/>
  <c r="AY50" i="6"/>
  <c r="AY46" i="6"/>
  <c r="AY49" i="6"/>
  <c r="AY47" i="6"/>
  <c r="AU26" i="7"/>
  <c r="AU11" i="10"/>
  <c r="AU79" i="6"/>
  <c r="AU14" i="13"/>
  <c r="AW42" i="13"/>
  <c r="AW100" i="8"/>
  <c r="AV38" i="6"/>
  <c r="AV41" i="7"/>
  <c r="AV43" i="13"/>
  <c r="AV101" i="8"/>
  <c r="AY13" i="12"/>
  <c r="AY18" i="12" s="1"/>
  <c r="AY36" i="8"/>
  <c r="BB40" i="2"/>
  <c r="AY115" i="8"/>
  <c r="AY135" i="8" s="1"/>
  <c r="AY39" i="13"/>
  <c r="BA43" i="2"/>
  <c r="AW37" i="6"/>
  <c r="AW20" i="7"/>
  <c r="AW21" i="7" s="1"/>
  <c r="AV59" i="6"/>
  <c r="AV61" i="6" s="1"/>
  <c r="BA34" i="2"/>
  <c r="BB32" i="2"/>
  <c r="AY36" i="9"/>
  <c r="AY15" i="7"/>
  <c r="AY14" i="6"/>
  <c r="AU39" i="6"/>
  <c r="AU25" i="7"/>
  <c r="AX19" i="7"/>
  <c r="AX39" i="7"/>
  <c r="AX40" i="8"/>
  <c r="AX55" i="8"/>
  <c r="AX39" i="8"/>
  <c r="AX56" i="8"/>
  <c r="AX58" i="8" s="1"/>
  <c r="BC35" i="8"/>
  <c r="BD5" i="14"/>
  <c r="BD5" i="15"/>
  <c r="BD5" i="13"/>
  <c r="BD5" i="12"/>
  <c r="BD5" i="10"/>
  <c r="BD5" i="9"/>
  <c r="BD5" i="8"/>
  <c r="BD5" i="7"/>
  <c r="BD5" i="6"/>
  <c r="BD5" i="5"/>
  <c r="BC6" i="15"/>
  <c r="BC6" i="14"/>
  <c r="BC6" i="13"/>
  <c r="BC6" i="12"/>
  <c r="BC6" i="10"/>
  <c r="BC6" i="9"/>
  <c r="BC6" i="8"/>
  <c r="BC6" i="7"/>
  <c r="BC6" i="5"/>
  <c r="BC6" i="6"/>
  <c r="BC61" i="1"/>
  <c r="BC70" i="1" s="1"/>
  <c r="AG83" i="6"/>
  <c r="AG88" i="6" s="1"/>
  <c r="AG89" i="6" s="1"/>
  <c r="AH78" i="6"/>
  <c r="AJ71" i="6"/>
  <c r="AJ72" i="6" s="1"/>
  <c r="AJ18" i="14" s="1"/>
  <c r="BH15" i="5"/>
  <c r="BH17" i="6" s="1"/>
  <c r="BE6" i="4"/>
  <c r="BC6" i="1"/>
  <c r="BF5" i="4"/>
  <c r="BD5" i="1"/>
  <c r="BD18" i="1" s="1"/>
  <c r="BD58" i="1" s="1"/>
  <c r="BF59" i="2"/>
  <c r="BF60" i="2"/>
  <c r="BD55" i="1" s="1"/>
  <c r="BF46" i="2"/>
  <c r="BF48" i="2"/>
  <c r="BF52" i="2"/>
  <c r="BD14" i="1" s="1"/>
  <c r="BD24" i="1" s="1"/>
  <c r="BD35" i="1" s="1"/>
  <c r="BF41" i="2"/>
  <c r="BD37" i="8" s="1"/>
  <c r="BF30" i="2"/>
  <c r="BD13" i="7" s="1"/>
  <c r="BF54" i="2"/>
  <c r="BD16" i="1" s="1"/>
  <c r="BD56" i="1" s="1"/>
  <c r="BF39" i="2"/>
  <c r="BF28" i="2"/>
  <c r="BF18" i="2"/>
  <c r="BF6" i="2" s="1"/>
  <c r="BF25" i="2"/>
  <c r="BG5" i="2"/>
  <c r="BF23" i="2"/>
  <c r="BE24" i="2"/>
  <c r="BC11" i="5" s="1"/>
  <c r="BC11" i="6" s="1"/>
  <c r="BC11" i="7" s="1"/>
  <c r="AZ7" i="11" l="1"/>
  <c r="AZ7" i="18"/>
  <c r="BD6" i="11"/>
  <c r="BD6" i="18"/>
  <c r="BE5" i="11"/>
  <c r="BE5" i="18"/>
  <c r="BE57" i="18" s="1"/>
  <c r="BD61" i="1"/>
  <c r="BD70" i="1" s="1"/>
  <c r="AZ36" i="9"/>
  <c r="BB34" i="2"/>
  <c r="AZ14" i="6"/>
  <c r="AZ15" i="7"/>
  <c r="BC32" i="2"/>
  <c r="AZ50" i="6"/>
  <c r="AZ12" i="7"/>
  <c r="AZ45" i="6"/>
  <c r="AZ24" i="6"/>
  <c r="AZ49" i="6"/>
  <c r="AZ46" i="6"/>
  <c r="AZ44" i="6"/>
  <c r="AZ47" i="6"/>
  <c r="AZ48" i="6"/>
  <c r="AX56" i="6"/>
  <c r="AX58" i="6"/>
  <c r="AX57" i="6"/>
  <c r="AX40" i="7"/>
  <c r="AX55" i="6"/>
  <c r="AX54" i="6"/>
  <c r="AZ93" i="8"/>
  <c r="BC47" i="2"/>
  <c r="AV26" i="7"/>
  <c r="AV14" i="13"/>
  <c r="AV79" i="6"/>
  <c r="AV11" i="10"/>
  <c r="AW43" i="13"/>
  <c r="AW101" i="8"/>
  <c r="AZ13" i="12"/>
  <c r="AZ18" i="12" s="1"/>
  <c r="AZ39" i="13"/>
  <c r="AZ36" i="8"/>
  <c r="BC40" i="2"/>
  <c r="AZ115" i="8"/>
  <c r="AZ135" i="8" s="1"/>
  <c r="AY56" i="8"/>
  <c r="AY58" i="8" s="1"/>
  <c r="AY40" i="8"/>
  <c r="AY39" i="8"/>
  <c r="AY55" i="8"/>
  <c r="AU70" i="6"/>
  <c r="AU13" i="13"/>
  <c r="AU63" i="6"/>
  <c r="AU10" i="10"/>
  <c r="AU13" i="10" s="1"/>
  <c r="AU10" i="11" s="1"/>
  <c r="AY39" i="7"/>
  <c r="AY19" i="7"/>
  <c r="AX20" i="7"/>
  <c r="AX21" i="7" s="1"/>
  <c r="AX37" i="6"/>
  <c r="BB43" i="2"/>
  <c r="AV39" i="6"/>
  <c r="AV25" i="7"/>
  <c r="AW38" i="6"/>
  <c r="AW41" i="7"/>
  <c r="AX29" i="7"/>
  <c r="AX45" i="9"/>
  <c r="AX16" i="13"/>
  <c r="AY51" i="6"/>
  <c r="AX41" i="13"/>
  <c r="AX99" i="8"/>
  <c r="AX134" i="8" s="1"/>
  <c r="AX136" i="8" s="1"/>
  <c r="AX41" i="8"/>
  <c r="AW43" i="8"/>
  <c r="AV44" i="8"/>
  <c r="AV48" i="8" s="1"/>
  <c r="AZ7" i="15"/>
  <c r="AZ7" i="7"/>
  <c r="AZ7" i="12"/>
  <c r="AZ7" i="10"/>
  <c r="AZ7" i="13"/>
  <c r="AZ7" i="5"/>
  <c r="BB7" i="4"/>
  <c r="AZ7" i="9"/>
  <c r="AZ7" i="1"/>
  <c r="AZ7" i="8"/>
  <c r="AZ7" i="14"/>
  <c r="AZ7" i="6"/>
  <c r="AT14" i="10"/>
  <c r="AX42" i="13"/>
  <c r="AX100" i="8"/>
  <c r="AZ15" i="1"/>
  <c r="BC53" i="2"/>
  <c r="BB56" i="2"/>
  <c r="BB57" i="2"/>
  <c r="BB8" i="2" s="1"/>
  <c r="AY27" i="6"/>
  <c r="AY28" i="6" s="1"/>
  <c r="AY30" i="6" s="1"/>
  <c r="AY34" i="5"/>
  <c r="AY36" i="5" s="1"/>
  <c r="AY38" i="5" s="1"/>
  <c r="AY11" i="11" s="1"/>
  <c r="BA8" i="4"/>
  <c r="AY8" i="1"/>
  <c r="BA12" i="5"/>
  <c r="BA12" i="6" s="1"/>
  <c r="BA35" i="9"/>
  <c r="BC19" i="2"/>
  <c r="BC7" i="2" s="1"/>
  <c r="BD29" i="2"/>
  <c r="AW59" i="6"/>
  <c r="AW61" i="6" s="1"/>
  <c r="BD35" i="8"/>
  <c r="BE5" i="14"/>
  <c r="BE5" i="15"/>
  <c r="BE5" i="13"/>
  <c r="BE5" i="10"/>
  <c r="BE5" i="12"/>
  <c r="BE5" i="9"/>
  <c r="BE5" i="8"/>
  <c r="BE5" i="6"/>
  <c r="BE5" i="7"/>
  <c r="BE5" i="5"/>
  <c r="BD6" i="15"/>
  <c r="BD6" i="13"/>
  <c r="BD6" i="14"/>
  <c r="BD6" i="10"/>
  <c r="BD6" i="12"/>
  <c r="BD6" i="9"/>
  <c r="BD6" i="8"/>
  <c r="BD6" i="7"/>
  <c r="BD6" i="6"/>
  <c r="BD6" i="5"/>
  <c r="AG30" i="7"/>
  <c r="AG13" i="11"/>
  <c r="AG18" i="13" s="1"/>
  <c r="AJ74" i="6"/>
  <c r="AJ87" i="6" s="1"/>
  <c r="AK69" i="6"/>
  <c r="AH80" i="6"/>
  <c r="AH81" i="6" s="1"/>
  <c r="AH29" i="14" s="1"/>
  <c r="BI15" i="5"/>
  <c r="BI17" i="6" s="1"/>
  <c r="BF6" i="4"/>
  <c r="BD6" i="1"/>
  <c r="BG5" i="4"/>
  <c r="BE5" i="1"/>
  <c r="BE18" i="1" s="1"/>
  <c r="BE58" i="1" s="1"/>
  <c r="BF24" i="2"/>
  <c r="BD11" i="5" s="1"/>
  <c r="BD11" i="6" s="1"/>
  <c r="BD11" i="7" s="1"/>
  <c r="BG59" i="2"/>
  <c r="BG54" i="2"/>
  <c r="BE16" i="1" s="1"/>
  <c r="BE56" i="1" s="1"/>
  <c r="BG48" i="2"/>
  <c r="BG52" i="2"/>
  <c r="BE14" i="1" s="1"/>
  <c r="BE24" i="1" s="1"/>
  <c r="BE35" i="1" s="1"/>
  <c r="BG60" i="2"/>
  <c r="BE55" i="1" s="1"/>
  <c r="BG41" i="2"/>
  <c r="BE37" i="8" s="1"/>
  <c r="BG30" i="2"/>
  <c r="BE13" i="7" s="1"/>
  <c r="BG46" i="2"/>
  <c r="BG39" i="2"/>
  <c r="BG23" i="2"/>
  <c r="BG28" i="2"/>
  <c r="BH5" i="2"/>
  <c r="BG18" i="2"/>
  <c r="BG6" i="2" s="1"/>
  <c r="BG25" i="2"/>
  <c r="BA7" i="11" l="1"/>
  <c r="BA7" i="18"/>
  <c r="BE6" i="11"/>
  <c r="BE6" i="18"/>
  <c r="BF5" i="18"/>
  <c r="BF57" i="18" s="1"/>
  <c r="BF5" i="11"/>
  <c r="AZ39" i="8"/>
  <c r="AZ55" i="8"/>
  <c r="AZ56" i="8"/>
  <c r="AZ58" i="8" s="1"/>
  <c r="AZ40" i="8"/>
  <c r="BC43" i="2"/>
  <c r="BA93" i="8"/>
  <c r="BD47" i="2"/>
  <c r="BA36" i="9"/>
  <c r="BA14" i="6"/>
  <c r="BA15" i="7"/>
  <c r="BC34" i="2"/>
  <c r="BD32" i="2"/>
  <c r="AZ19" i="7"/>
  <c r="AZ39" i="7"/>
  <c r="AY99" i="8"/>
  <c r="AY134" i="8" s="1"/>
  <c r="AY136" i="8" s="1"/>
  <c r="AY41" i="8"/>
  <c r="AY41" i="13"/>
  <c r="AZ51" i="6"/>
  <c r="BB35" i="9"/>
  <c r="BB12" i="5"/>
  <c r="BB12" i="6" s="1"/>
  <c r="BE29" i="2"/>
  <c r="BD19" i="2"/>
  <c r="BD7" i="2" s="1"/>
  <c r="AY16" i="13"/>
  <c r="AY45" i="9"/>
  <c r="AY29" i="7"/>
  <c r="AX43" i="8"/>
  <c r="AW44" i="8"/>
  <c r="AW48" i="8" s="1"/>
  <c r="AY100" i="8"/>
  <c r="AY42" i="13"/>
  <c r="BA49" i="6"/>
  <c r="BA45" i="6"/>
  <c r="BA47" i="6"/>
  <c r="BA50" i="6"/>
  <c r="BA48" i="6"/>
  <c r="BA46" i="6"/>
  <c r="BA12" i="7"/>
  <c r="BA44" i="6"/>
  <c r="BA24" i="6"/>
  <c r="BA36" i="8"/>
  <c r="BA39" i="13"/>
  <c r="BD40" i="2"/>
  <c r="BA13" i="12"/>
  <c r="BA18" i="12" s="1"/>
  <c r="BA115" i="8"/>
  <c r="BA135" i="8" s="1"/>
  <c r="AV10" i="10"/>
  <c r="AV13" i="10" s="1"/>
  <c r="AV10" i="11" s="1"/>
  <c r="AV70" i="6"/>
  <c r="AV13" i="13"/>
  <c r="AV63" i="6"/>
  <c r="AW11" i="10"/>
  <c r="AW14" i="13"/>
  <c r="AW79" i="6"/>
  <c r="AW26" i="7"/>
  <c r="AX59" i="6"/>
  <c r="AX61" i="6" s="1"/>
  <c r="BA7" i="13"/>
  <c r="BA7" i="7"/>
  <c r="BA7" i="14"/>
  <c r="BA7" i="5"/>
  <c r="BC7" i="4"/>
  <c r="BA7" i="15"/>
  <c r="BA7" i="6"/>
  <c r="BA7" i="1"/>
  <c r="BA7" i="10"/>
  <c r="BA7" i="8"/>
  <c r="BA7" i="12"/>
  <c r="BA7" i="9"/>
  <c r="AY57" i="6"/>
  <c r="AY55" i="6"/>
  <c r="AY58" i="6"/>
  <c r="AY54" i="6"/>
  <c r="AY40" i="7"/>
  <c r="AY56" i="6"/>
  <c r="AX101" i="8"/>
  <c r="AX43" i="13"/>
  <c r="AW39" i="6"/>
  <c r="AW25" i="7"/>
  <c r="AY37" i="6"/>
  <c r="AY20" i="7"/>
  <c r="AY21" i="7" s="1"/>
  <c r="AX38" i="6"/>
  <c r="AX41" i="7"/>
  <c r="AZ34" i="5"/>
  <c r="AZ36" i="5" s="1"/>
  <c r="AZ38" i="5" s="1"/>
  <c r="AZ11" i="11" s="1"/>
  <c r="AZ27" i="6"/>
  <c r="AZ28" i="6" s="1"/>
  <c r="AZ30" i="6" s="1"/>
  <c r="BA15" i="1"/>
  <c r="BC57" i="2"/>
  <c r="BC8" i="2" s="1"/>
  <c r="BD53" i="2"/>
  <c r="BC56" i="2"/>
  <c r="AZ8" i="1"/>
  <c r="BB8" i="4"/>
  <c r="AU14" i="10"/>
  <c r="BF5" i="15"/>
  <c r="BF5" i="14"/>
  <c r="BF5" i="13"/>
  <c r="BF5" i="12"/>
  <c r="BF5" i="10"/>
  <c r="BF5" i="9"/>
  <c r="BF5" i="8"/>
  <c r="BF5" i="7"/>
  <c r="BF5" i="6"/>
  <c r="BF5" i="5"/>
  <c r="BE6" i="13"/>
  <c r="BE6" i="15"/>
  <c r="BE6" i="14"/>
  <c r="BE6" i="12"/>
  <c r="BE6" i="9"/>
  <c r="BE6" i="10"/>
  <c r="BE6" i="8"/>
  <c r="BE6" i="6"/>
  <c r="BE6" i="5"/>
  <c r="BE6" i="7"/>
  <c r="BE61" i="1"/>
  <c r="BE70" i="1" s="1"/>
  <c r="BE35" i="8"/>
  <c r="AH83" i="6"/>
  <c r="AH88" i="6" s="1"/>
  <c r="AH89" i="6" s="1"/>
  <c r="AI78" i="6"/>
  <c r="AK71" i="6"/>
  <c r="AK72" i="6" s="1"/>
  <c r="AK18" i="14" s="1"/>
  <c r="BJ15" i="5"/>
  <c r="BJ17" i="6" s="1"/>
  <c r="BH5" i="4"/>
  <c r="BF5" i="1"/>
  <c r="BF18" i="1" s="1"/>
  <c r="BF58" i="1" s="1"/>
  <c r="BG6" i="4"/>
  <c r="BE6" i="1"/>
  <c r="BG24" i="2"/>
  <c r="BE11" i="5" s="1"/>
  <c r="BE11" i="6" s="1"/>
  <c r="BE11" i="7" s="1"/>
  <c r="BH59" i="2"/>
  <c r="BH54" i="2"/>
  <c r="BF16" i="1" s="1"/>
  <c r="BF56" i="1" s="1"/>
  <c r="BH60" i="2"/>
  <c r="BF55" i="1" s="1"/>
  <c r="BH48" i="2"/>
  <c r="BH52" i="2"/>
  <c r="BF14" i="1" s="1"/>
  <c r="BF24" i="1" s="1"/>
  <c r="BF35" i="1" s="1"/>
  <c r="BH46" i="2"/>
  <c r="BH39" i="2"/>
  <c r="BH41" i="2"/>
  <c r="BF37" i="8" s="1"/>
  <c r="BH23" i="2"/>
  <c r="BH30" i="2"/>
  <c r="BF13" i="7" s="1"/>
  <c r="BH25" i="2"/>
  <c r="BH28" i="2"/>
  <c r="BH18" i="2"/>
  <c r="BH6" i="2" s="1"/>
  <c r="BI5" i="2"/>
  <c r="BF6" i="11" l="1"/>
  <c r="BF6" i="18"/>
  <c r="BB7" i="18"/>
  <c r="BB7" i="11"/>
  <c r="BG5" i="11"/>
  <c r="BG5" i="18"/>
  <c r="BG57" i="18" s="1"/>
  <c r="AY59" i="6"/>
  <c r="AY61" i="6" s="1"/>
  <c r="AY11" i="10" s="1"/>
  <c r="BA51" i="6"/>
  <c r="BD43" i="2"/>
  <c r="AW70" i="6"/>
  <c r="AW13" i="13"/>
  <c r="AW10" i="10"/>
  <c r="AW13" i="10" s="1"/>
  <c r="AW10" i="11" s="1"/>
  <c r="AW63" i="6"/>
  <c r="AY43" i="8"/>
  <c r="AX44" i="8"/>
  <c r="AX48" i="8" s="1"/>
  <c r="BB36" i="9"/>
  <c r="BD34" i="2"/>
  <c r="BB14" i="6"/>
  <c r="BE32" i="2"/>
  <c r="BB15" i="7"/>
  <c r="BB7" i="12"/>
  <c r="BB7" i="5"/>
  <c r="BB7" i="1"/>
  <c r="BB7" i="7"/>
  <c r="BB7" i="13"/>
  <c r="BB7" i="15"/>
  <c r="BB7" i="10"/>
  <c r="BB7" i="6"/>
  <c r="BD7" i="4"/>
  <c r="BB7" i="9"/>
  <c r="BB7" i="8"/>
  <c r="BB7" i="14"/>
  <c r="AV14" i="10"/>
  <c r="BC35" i="9"/>
  <c r="BC12" i="5"/>
  <c r="BC12" i="6" s="1"/>
  <c r="BE19" i="2"/>
  <c r="BE7" i="2" s="1"/>
  <c r="BF29" i="2"/>
  <c r="BB49" i="6"/>
  <c r="BB45" i="6"/>
  <c r="BB12" i="7"/>
  <c r="BB48" i="6"/>
  <c r="BB24" i="6"/>
  <c r="BB47" i="6"/>
  <c r="BB50" i="6"/>
  <c r="BB44" i="6"/>
  <c r="BB46" i="6"/>
  <c r="AZ56" i="6"/>
  <c r="AZ40" i="7"/>
  <c r="AZ54" i="6"/>
  <c r="AZ58" i="6"/>
  <c r="AZ57" i="6"/>
  <c r="AZ55" i="6"/>
  <c r="BB115" i="8"/>
  <c r="BB135" i="8" s="1"/>
  <c r="BB36" i="8"/>
  <c r="BB39" i="13"/>
  <c r="BB13" i="12"/>
  <c r="BB18" i="12" s="1"/>
  <c r="BE40" i="2"/>
  <c r="BA34" i="5"/>
  <c r="BA36" i="5" s="1"/>
  <c r="BA38" i="5" s="1"/>
  <c r="BA11" i="11" s="1"/>
  <c r="BA27" i="6"/>
  <c r="BA28" i="6" s="1"/>
  <c r="BA30" i="6" s="1"/>
  <c r="AZ42" i="13"/>
  <c r="AZ100" i="8"/>
  <c r="AX11" i="10"/>
  <c r="AX79" i="6"/>
  <c r="AX26" i="7"/>
  <c r="AX14" i="13"/>
  <c r="AZ45" i="9"/>
  <c r="AZ29" i="7"/>
  <c r="AZ16" i="13"/>
  <c r="BB93" i="8"/>
  <c r="BE47" i="2"/>
  <c r="BA19" i="7"/>
  <c r="BA39" i="7"/>
  <c r="AZ37" i="6"/>
  <c r="AZ20" i="7"/>
  <c r="AZ21" i="7" s="1"/>
  <c r="BC8" i="4"/>
  <c r="BA8" i="1"/>
  <c r="AX25" i="7"/>
  <c r="AX39" i="6"/>
  <c r="BA56" i="8"/>
  <c r="BA58" i="8" s="1"/>
  <c r="BA40" i="8"/>
  <c r="BA39" i="8"/>
  <c r="BA55" i="8"/>
  <c r="BB15" i="1"/>
  <c r="BD57" i="2"/>
  <c r="BD8" i="2" s="1"/>
  <c r="BD56" i="2"/>
  <c r="BE53" i="2"/>
  <c r="AY41" i="7"/>
  <c r="AY38" i="6"/>
  <c r="AY101" i="8"/>
  <c r="AY43" i="13"/>
  <c r="AZ41" i="13"/>
  <c r="AZ41" i="8"/>
  <c r="AZ99" i="8"/>
  <c r="AZ134" i="8" s="1"/>
  <c r="AZ136" i="8" s="1"/>
  <c r="BF35" i="8"/>
  <c r="BF6" i="14"/>
  <c r="BF6" i="13"/>
  <c r="BF6" i="15"/>
  <c r="BF6" i="12"/>
  <c r="BF6" i="9"/>
  <c r="BF6" i="10"/>
  <c r="BF6" i="8"/>
  <c r="BF6" i="7"/>
  <c r="BF6" i="5"/>
  <c r="BF6" i="6"/>
  <c r="BG5" i="15"/>
  <c r="BG5" i="13"/>
  <c r="BG5" i="14"/>
  <c r="BG5" i="12"/>
  <c r="BG5" i="10"/>
  <c r="BG5" i="9"/>
  <c r="BG5" i="8"/>
  <c r="BG5" i="7"/>
  <c r="BG5" i="5"/>
  <c r="BG5" i="6"/>
  <c r="BF61" i="1"/>
  <c r="BF70" i="1" s="1"/>
  <c r="AH30" i="7"/>
  <c r="AH13" i="11"/>
  <c r="AH18" i="13" s="1"/>
  <c r="AK74" i="6"/>
  <c r="AK87" i="6" s="1"/>
  <c r="AL69" i="6"/>
  <c r="AI80" i="6"/>
  <c r="AI81" i="6" s="1"/>
  <c r="AI29" i="14" s="1"/>
  <c r="BK15" i="5"/>
  <c r="BK17" i="6" s="1"/>
  <c r="BI5" i="4"/>
  <c r="BG5" i="1"/>
  <c r="BG18" i="1" s="1"/>
  <c r="BG58" i="1" s="1"/>
  <c r="BH6" i="4"/>
  <c r="BF6" i="1"/>
  <c r="BH24" i="2"/>
  <c r="BF11" i="5" s="1"/>
  <c r="BF11" i="6" s="1"/>
  <c r="BF11" i="7" s="1"/>
  <c r="BI60" i="2"/>
  <c r="BG55" i="1" s="1"/>
  <c r="BI59" i="2"/>
  <c r="BI48" i="2"/>
  <c r="BI52" i="2"/>
  <c r="BG14" i="1" s="1"/>
  <c r="BG24" i="1" s="1"/>
  <c r="BG35" i="1" s="1"/>
  <c r="BI54" i="2"/>
  <c r="BG16" i="1" s="1"/>
  <c r="BG56" i="1" s="1"/>
  <c r="BI46" i="2"/>
  <c r="BI39" i="2"/>
  <c r="BI41" i="2"/>
  <c r="BG37" i="8" s="1"/>
  <c r="BI23" i="2"/>
  <c r="BI25" i="2"/>
  <c r="BI28" i="2"/>
  <c r="BI30" i="2"/>
  <c r="BG13" i="7" s="1"/>
  <c r="BJ5" i="2"/>
  <c r="BI18" i="2"/>
  <c r="BI6" i="2" s="1"/>
  <c r="BG6" i="11" l="1"/>
  <c r="BG6" i="18"/>
  <c r="BC7" i="18"/>
  <c r="BC7" i="11"/>
  <c r="BH5" i="11"/>
  <c r="BH5" i="18"/>
  <c r="BH57" i="18" s="1"/>
  <c r="AY26" i="7"/>
  <c r="AY79" i="6"/>
  <c r="AY14" i="13"/>
  <c r="BB51" i="6"/>
  <c r="BA16" i="13"/>
  <c r="BA45" i="9"/>
  <c r="BA29" i="7"/>
  <c r="AY44" i="8"/>
  <c r="AY48" i="8" s="1"/>
  <c r="AZ43" i="8"/>
  <c r="BC7" i="12"/>
  <c r="BC7" i="1"/>
  <c r="BC7" i="7"/>
  <c r="BC7" i="10"/>
  <c r="BC7" i="8"/>
  <c r="BC7" i="6"/>
  <c r="BC7" i="5"/>
  <c r="BC7" i="14"/>
  <c r="BC7" i="9"/>
  <c r="BC7" i="15"/>
  <c r="BC7" i="13"/>
  <c r="BE7" i="4"/>
  <c r="AY25" i="7"/>
  <c r="AY39" i="6"/>
  <c r="BC15" i="1"/>
  <c r="BE57" i="2"/>
  <c r="BE8" i="2" s="1"/>
  <c r="BE56" i="2"/>
  <c r="BF53" i="2"/>
  <c r="AX13" i="13"/>
  <c r="AX70" i="6"/>
  <c r="AX63" i="6"/>
  <c r="AX10" i="10"/>
  <c r="AX13" i="10" s="1"/>
  <c r="AX10" i="11" s="1"/>
  <c r="BA20" i="7"/>
  <c r="BA21" i="7" s="1"/>
  <c r="BA37" i="6"/>
  <c r="BC13" i="12"/>
  <c r="BC18" i="12" s="1"/>
  <c r="BC115" i="8"/>
  <c r="BC135" i="8" s="1"/>
  <c r="BC36" i="8"/>
  <c r="BC39" i="13"/>
  <c r="BF40" i="2"/>
  <c r="AZ59" i="6"/>
  <c r="AZ61" i="6" s="1"/>
  <c r="BB34" i="5"/>
  <c r="BB36" i="5" s="1"/>
  <c r="BB38" i="5" s="1"/>
  <c r="BB11" i="11" s="1"/>
  <c r="BB27" i="6"/>
  <c r="BB28" i="6" s="1"/>
  <c r="BB30" i="6" s="1"/>
  <c r="BA41" i="13"/>
  <c r="BA99" i="8"/>
  <c r="BA134" i="8" s="1"/>
  <c r="BA136" i="8" s="1"/>
  <c r="BA41" i="8"/>
  <c r="BC50" i="6"/>
  <c r="BC47" i="6"/>
  <c r="BC44" i="6"/>
  <c r="BC46" i="6"/>
  <c r="BC49" i="6"/>
  <c r="BC12" i="7"/>
  <c r="BC45" i="6"/>
  <c r="BC24" i="6"/>
  <c r="BC48" i="6"/>
  <c r="AZ43" i="13"/>
  <c r="AZ101" i="8"/>
  <c r="AZ41" i="7"/>
  <c r="AZ38" i="6"/>
  <c r="BB39" i="7"/>
  <c r="BB19" i="7"/>
  <c r="AW14" i="10"/>
  <c r="BD35" i="9"/>
  <c r="BD12" i="5"/>
  <c r="BD12" i="6" s="1"/>
  <c r="BF19" i="2"/>
  <c r="BF7" i="2" s="1"/>
  <c r="BG29" i="2"/>
  <c r="BA58" i="6"/>
  <c r="BA57" i="6"/>
  <c r="BA55" i="6"/>
  <c r="BA54" i="6"/>
  <c r="BA40" i="7"/>
  <c r="BA56" i="6"/>
  <c r="BD8" i="4"/>
  <c r="BB8" i="1"/>
  <c r="BC93" i="8"/>
  <c r="BF47" i="2"/>
  <c r="BC14" i="6"/>
  <c r="BE34" i="2"/>
  <c r="BC36" i="9"/>
  <c r="BF32" i="2"/>
  <c r="BC15" i="7"/>
  <c r="BA100" i="8"/>
  <c r="BA42" i="13"/>
  <c r="BE43" i="2"/>
  <c r="BB55" i="8"/>
  <c r="BB56" i="8"/>
  <c r="BB58" i="8" s="1"/>
  <c r="BB39" i="8"/>
  <c r="BB40" i="8"/>
  <c r="BG35" i="8"/>
  <c r="BG6" i="14"/>
  <c r="BG6" i="15"/>
  <c r="BG6" i="13"/>
  <c r="BG6" i="12"/>
  <c r="BG6" i="10"/>
  <c r="BG6" i="9"/>
  <c r="BG6" i="8"/>
  <c r="BG6" i="6"/>
  <c r="BG6" i="7"/>
  <c r="BG6" i="5"/>
  <c r="BH5" i="15"/>
  <c r="BH5" i="13"/>
  <c r="BH5" i="14"/>
  <c r="BH5" i="12"/>
  <c r="BH5" i="9"/>
  <c r="BH5" i="10"/>
  <c r="BH5" i="8"/>
  <c r="BH5" i="6"/>
  <c r="BH5" i="7"/>
  <c r="BH5" i="5"/>
  <c r="BG61" i="1"/>
  <c r="BG70" i="1" s="1"/>
  <c r="AJ78" i="6"/>
  <c r="AI83" i="6"/>
  <c r="AI88" i="6" s="1"/>
  <c r="AI89" i="6" s="1"/>
  <c r="AL71" i="6"/>
  <c r="AL72" i="6" s="1"/>
  <c r="AL18" i="14" s="1"/>
  <c r="BL15" i="5"/>
  <c r="BL17" i="6" s="1"/>
  <c r="BJ5" i="4"/>
  <c r="BH5" i="1"/>
  <c r="BH18" i="1" s="1"/>
  <c r="BH58" i="1" s="1"/>
  <c r="BI6" i="4"/>
  <c r="BG6" i="1"/>
  <c r="BJ60" i="2"/>
  <c r="BH55" i="1" s="1"/>
  <c r="BJ59" i="2"/>
  <c r="BJ54" i="2"/>
  <c r="BH16" i="1" s="1"/>
  <c r="BH56" i="1" s="1"/>
  <c r="BJ52" i="2"/>
  <c r="BH14" i="1" s="1"/>
  <c r="BH24" i="1" s="1"/>
  <c r="BH35" i="1" s="1"/>
  <c r="BJ46" i="2"/>
  <c r="BJ39" i="2"/>
  <c r="BJ48" i="2"/>
  <c r="BJ41" i="2"/>
  <c r="BH37" i="8" s="1"/>
  <c r="BJ23" i="2"/>
  <c r="BJ25" i="2"/>
  <c r="BJ18" i="2"/>
  <c r="BJ6" i="2" s="1"/>
  <c r="BJ30" i="2"/>
  <c r="BH13" i="7" s="1"/>
  <c r="BK5" i="2"/>
  <c r="BJ28" i="2"/>
  <c r="BI24" i="2"/>
  <c r="BG11" i="5" s="1"/>
  <c r="BG11" i="6" s="1"/>
  <c r="BG11" i="7" s="1"/>
  <c r="BI5" i="11" l="1"/>
  <c r="BI5" i="18"/>
  <c r="BI57" i="18" s="1"/>
  <c r="BD7" i="11"/>
  <c r="BD7" i="18"/>
  <c r="BH6" i="18"/>
  <c r="BH6" i="11"/>
  <c r="BF43" i="2"/>
  <c r="AZ25" i="7"/>
  <c r="AZ39" i="6"/>
  <c r="BA41" i="7"/>
  <c r="BA38" i="6"/>
  <c r="BC51" i="6"/>
  <c r="AZ79" i="6"/>
  <c r="AZ14" i="13"/>
  <c r="AZ11" i="10"/>
  <c r="AZ26" i="7"/>
  <c r="AX14" i="10"/>
  <c r="AY63" i="6"/>
  <c r="AY13" i="13"/>
  <c r="AY10" i="10"/>
  <c r="AY13" i="10" s="1"/>
  <c r="AY10" i="11" s="1"/>
  <c r="AY70" i="6"/>
  <c r="BB100" i="8"/>
  <c r="BB42" i="13"/>
  <c r="BC8" i="1"/>
  <c r="BE8" i="4"/>
  <c r="BB41" i="13"/>
  <c r="BB99" i="8"/>
  <c r="BB134" i="8" s="1"/>
  <c r="BB136" i="8" s="1"/>
  <c r="BB41" i="8"/>
  <c r="BD48" i="6"/>
  <c r="BD44" i="6"/>
  <c r="BD49" i="6"/>
  <c r="BD47" i="6"/>
  <c r="BD45" i="6"/>
  <c r="BD50" i="6"/>
  <c r="BD46" i="6"/>
  <c r="BD24" i="6"/>
  <c r="BD12" i="7"/>
  <c r="BC27" i="6"/>
  <c r="BC28" i="6" s="1"/>
  <c r="BC30" i="6" s="1"/>
  <c r="BC34" i="5"/>
  <c r="BC36" i="5" s="1"/>
  <c r="BC38" i="5" s="1"/>
  <c r="BC11" i="11" s="1"/>
  <c r="BA59" i="6"/>
  <c r="BA61" i="6" s="1"/>
  <c r="BG40" i="2"/>
  <c r="BD39" i="13"/>
  <c r="BD36" i="8"/>
  <c r="BD115" i="8"/>
  <c r="BD135" i="8" s="1"/>
  <c r="BD13" i="12"/>
  <c r="BD18" i="12" s="1"/>
  <c r="BE12" i="5"/>
  <c r="BE12" i="6" s="1"/>
  <c r="BE35" i="9"/>
  <c r="BH29" i="2"/>
  <c r="BG19" i="2"/>
  <c r="BG7" i="2" s="1"/>
  <c r="BC39" i="7"/>
  <c r="BC19" i="7"/>
  <c r="BD7" i="14"/>
  <c r="BD7" i="7"/>
  <c r="BD7" i="8"/>
  <c r="BD7" i="15"/>
  <c r="BD7" i="5"/>
  <c r="BD7" i="1"/>
  <c r="BD7" i="13"/>
  <c r="BD7" i="6"/>
  <c r="BF7" i="4"/>
  <c r="BD7" i="10"/>
  <c r="BD7" i="9"/>
  <c r="BD7" i="12"/>
  <c r="BB40" i="7"/>
  <c r="BB55" i="6"/>
  <c r="BB57" i="6"/>
  <c r="BB58" i="6"/>
  <c r="BB56" i="6"/>
  <c r="BB54" i="6"/>
  <c r="BF34" i="2"/>
  <c r="BD36" i="9"/>
  <c r="BD14" i="6"/>
  <c r="BD15" i="7"/>
  <c r="BG32" i="2"/>
  <c r="BA43" i="8"/>
  <c r="AZ44" i="8"/>
  <c r="AZ48" i="8" s="1"/>
  <c r="BB16" i="13"/>
  <c r="BB29" i="7"/>
  <c r="BB45" i="9"/>
  <c r="BD93" i="8"/>
  <c r="BG47" i="2"/>
  <c r="BA101" i="8"/>
  <c r="BA43" i="13"/>
  <c r="BC39" i="8"/>
  <c r="BC56" i="8"/>
  <c r="BC58" i="8" s="1"/>
  <c r="BC55" i="8"/>
  <c r="BC40" i="8"/>
  <c r="BB37" i="6"/>
  <c r="BB20" i="7"/>
  <c r="BB21" i="7" s="1"/>
  <c r="BD15" i="1"/>
  <c r="BF57" i="2"/>
  <c r="BF8" i="2" s="1"/>
  <c r="BG53" i="2"/>
  <c r="BF56" i="2"/>
  <c r="BH35" i="8"/>
  <c r="BI5" i="14"/>
  <c r="BI5" i="15"/>
  <c r="BI5" i="13"/>
  <c r="BI5" i="12"/>
  <c r="BI5" i="9"/>
  <c r="BI5" i="10"/>
  <c r="BI5" i="8"/>
  <c r="BI5" i="6"/>
  <c r="BI5" i="7"/>
  <c r="BI5" i="5"/>
  <c r="BH6" i="15"/>
  <c r="BH6" i="14"/>
  <c r="BH6" i="13"/>
  <c r="BH6" i="12"/>
  <c r="BH6" i="10"/>
  <c r="BH6" i="9"/>
  <c r="BH6" i="8"/>
  <c r="BH6" i="6"/>
  <c r="BH6" i="7"/>
  <c r="BH6" i="5"/>
  <c r="BH61" i="1"/>
  <c r="BH70" i="1" s="1"/>
  <c r="AI30" i="7"/>
  <c r="AI13" i="11"/>
  <c r="AI18" i="13" s="1"/>
  <c r="AL74" i="6"/>
  <c r="AL87" i="6" s="1"/>
  <c r="AM69" i="6"/>
  <c r="AJ80" i="6"/>
  <c r="AJ81" i="6" s="1"/>
  <c r="AJ29" i="14" s="1"/>
  <c r="BM15" i="5"/>
  <c r="BM17" i="6" s="1"/>
  <c r="BK5" i="4"/>
  <c r="BI5" i="1"/>
  <c r="BI18" i="1" s="1"/>
  <c r="BI58" i="1" s="1"/>
  <c r="BJ6" i="4"/>
  <c r="BH6" i="1"/>
  <c r="BK60" i="2"/>
  <c r="BI55" i="1" s="1"/>
  <c r="BK59" i="2"/>
  <c r="BK54" i="2"/>
  <c r="BI16" i="1" s="1"/>
  <c r="BI56" i="1" s="1"/>
  <c r="BK48" i="2"/>
  <c r="BK46" i="2"/>
  <c r="BK52" i="2"/>
  <c r="BI14" i="1" s="1"/>
  <c r="BI24" i="1" s="1"/>
  <c r="BI35" i="1" s="1"/>
  <c r="BK39" i="2"/>
  <c r="BK41" i="2"/>
  <c r="BI37" i="8" s="1"/>
  <c r="BK25" i="2"/>
  <c r="BK30" i="2"/>
  <c r="BI13" i="7" s="1"/>
  <c r="BK28" i="2"/>
  <c r="BK18" i="2"/>
  <c r="BK6" i="2" s="1"/>
  <c r="BL5" i="2"/>
  <c r="BK23" i="2"/>
  <c r="BJ24" i="2"/>
  <c r="BH11" i="5" s="1"/>
  <c r="BH11" i="6" s="1"/>
  <c r="BH11" i="7" s="1"/>
  <c r="BJ5" i="11" l="1"/>
  <c r="BJ5" i="18"/>
  <c r="BJ57" i="18" s="1"/>
  <c r="BI6" i="11"/>
  <c r="BI6" i="18"/>
  <c r="BE7" i="18"/>
  <c r="BE7" i="11"/>
  <c r="BD51" i="6"/>
  <c r="BA44" i="8"/>
  <c r="BA48" i="8" s="1"/>
  <c r="BB43" i="8"/>
  <c r="BG34" i="2"/>
  <c r="BE14" i="6"/>
  <c r="BH32" i="2"/>
  <c r="BE36" i="9"/>
  <c r="BE15" i="7"/>
  <c r="BB101" i="8"/>
  <c r="BB43" i="13"/>
  <c r="AY14" i="10"/>
  <c r="BC57" i="6"/>
  <c r="BC40" i="7"/>
  <c r="BC56" i="6"/>
  <c r="BC55" i="6"/>
  <c r="BC54" i="6"/>
  <c r="BC58" i="6"/>
  <c r="BE93" i="8"/>
  <c r="BH47" i="2"/>
  <c r="BD39" i="7"/>
  <c r="BD19" i="7"/>
  <c r="BC42" i="13"/>
  <c r="BC100" i="8"/>
  <c r="BC20" i="7"/>
  <c r="BC21" i="7" s="1"/>
  <c r="BC37" i="6"/>
  <c r="BD39" i="8"/>
  <c r="BD56" i="8"/>
  <c r="BD58" i="8" s="1"/>
  <c r="BD55" i="8"/>
  <c r="BD40" i="8"/>
  <c r="BE15" i="1"/>
  <c r="BH53" i="2"/>
  <c r="BG56" i="2"/>
  <c r="BG57" i="2"/>
  <c r="BG8" i="2" s="1"/>
  <c r="BF35" i="9"/>
  <c r="BF12" i="5"/>
  <c r="BF12" i="6" s="1"/>
  <c r="BI29" i="2"/>
  <c r="BH19" i="2"/>
  <c r="BH7" i="2" s="1"/>
  <c r="BE13" i="12"/>
  <c r="BE18" i="12" s="1"/>
  <c r="BE115" i="8"/>
  <c r="BE135" i="8" s="1"/>
  <c r="BE36" i="8"/>
  <c r="BE39" i="13"/>
  <c r="BH40" i="2"/>
  <c r="BA39" i="6"/>
  <c r="BA25" i="7"/>
  <c r="BB38" i="6"/>
  <c r="BB41" i="7"/>
  <c r="BF8" i="4"/>
  <c r="BD8" i="1"/>
  <c r="BC41" i="8"/>
  <c r="BC99" i="8"/>
  <c r="BC134" i="8" s="1"/>
  <c r="BC136" i="8" s="1"/>
  <c r="BC41" i="13"/>
  <c r="BD27" i="6"/>
  <c r="BD28" i="6" s="1"/>
  <c r="BD30" i="6" s="1"/>
  <c r="BD34" i="5"/>
  <c r="BD36" i="5" s="1"/>
  <c r="BD38" i="5" s="1"/>
  <c r="BD11" i="11" s="1"/>
  <c r="BA79" i="6"/>
  <c r="BA14" i="13"/>
  <c r="BA26" i="7"/>
  <c r="BA11" i="10"/>
  <c r="AZ13" i="13"/>
  <c r="AZ10" i="10"/>
  <c r="AZ13" i="10" s="1"/>
  <c r="AZ10" i="11" s="1"/>
  <c r="AZ70" i="6"/>
  <c r="AZ63" i="6"/>
  <c r="BE7" i="12"/>
  <c r="BE7" i="7"/>
  <c r="BE7" i="14"/>
  <c r="BE7" i="13"/>
  <c r="BE7" i="1"/>
  <c r="BE7" i="6"/>
  <c r="BE7" i="5"/>
  <c r="BE7" i="10"/>
  <c r="BG7" i="4"/>
  <c r="BE7" i="15"/>
  <c r="BE7" i="9"/>
  <c r="BE7" i="8"/>
  <c r="BG43" i="2"/>
  <c r="BB59" i="6"/>
  <c r="BB61" i="6" s="1"/>
  <c r="BE46" i="6"/>
  <c r="BE24" i="6"/>
  <c r="BE49" i="6"/>
  <c r="BE48" i="6"/>
  <c r="BE50" i="6"/>
  <c r="BE12" i="7"/>
  <c r="BE45" i="6"/>
  <c r="BE44" i="6"/>
  <c r="BE47" i="6"/>
  <c r="BC16" i="13"/>
  <c r="BC29" i="7"/>
  <c r="BC45" i="9"/>
  <c r="BI6" i="14"/>
  <c r="BI6" i="15"/>
  <c r="BI6" i="13"/>
  <c r="BI6" i="12"/>
  <c r="BI6" i="10"/>
  <c r="BI6" i="9"/>
  <c r="BI6" i="8"/>
  <c r="BI6" i="7"/>
  <c r="BI6" i="6"/>
  <c r="BI6" i="5"/>
  <c r="BI61" i="1"/>
  <c r="BI70" i="1" s="1"/>
  <c r="BI35" i="8"/>
  <c r="BJ5" i="14"/>
  <c r="BJ5" i="15"/>
  <c r="BJ5" i="13"/>
  <c r="BJ5" i="12"/>
  <c r="BJ5" i="9"/>
  <c r="BJ5" i="10"/>
  <c r="BJ5" i="8"/>
  <c r="BJ5" i="7"/>
  <c r="BJ5" i="6"/>
  <c r="BJ5" i="5"/>
  <c r="AK78" i="6"/>
  <c r="AJ83" i="6"/>
  <c r="AJ88" i="6" s="1"/>
  <c r="AJ89" i="6" s="1"/>
  <c r="AM71" i="6"/>
  <c r="AM72" i="6" s="1"/>
  <c r="AM18" i="14" s="1"/>
  <c r="BN15" i="5"/>
  <c r="BN17" i="6" s="1"/>
  <c r="BL5" i="4"/>
  <c r="BJ5" i="1"/>
  <c r="BJ18" i="1" s="1"/>
  <c r="BJ58" i="1" s="1"/>
  <c r="BK6" i="4"/>
  <c r="BI6" i="1"/>
  <c r="BL59" i="2"/>
  <c r="BL54" i="2"/>
  <c r="BJ16" i="1" s="1"/>
  <c r="BJ56" i="1" s="1"/>
  <c r="BL60" i="2"/>
  <c r="BJ55" i="1" s="1"/>
  <c r="BL46" i="2"/>
  <c r="BL48" i="2"/>
  <c r="BL52" i="2"/>
  <c r="BJ14" i="1" s="1"/>
  <c r="BJ24" i="1" s="1"/>
  <c r="BJ35" i="1" s="1"/>
  <c r="BL39" i="2"/>
  <c r="BL41" i="2"/>
  <c r="BJ37" i="8" s="1"/>
  <c r="BL25" i="2"/>
  <c r="BL30" i="2"/>
  <c r="BJ13" i="7" s="1"/>
  <c r="BL28" i="2"/>
  <c r="BL18" i="2"/>
  <c r="BL6" i="2" s="1"/>
  <c r="BL23" i="2"/>
  <c r="BM5" i="2"/>
  <c r="BK24" i="2"/>
  <c r="BI11" i="5" s="1"/>
  <c r="BI11" i="6" s="1"/>
  <c r="BI11" i="7" s="1"/>
  <c r="BJ6" i="18" l="1"/>
  <c r="BJ6" i="11"/>
  <c r="BF7" i="11"/>
  <c r="BF7" i="18"/>
  <c r="BK5" i="11"/>
  <c r="BK5" i="18"/>
  <c r="BK57" i="18" s="1"/>
  <c r="BH43" i="2"/>
  <c r="BE51" i="6"/>
  <c r="BF14" i="6"/>
  <c r="BF36" i="9"/>
  <c r="BH34" i="2"/>
  <c r="BF15" i="7"/>
  <c r="BI32" i="2"/>
  <c r="AZ14" i="10"/>
  <c r="BA63" i="6"/>
  <c r="BA70" i="6"/>
  <c r="BA13" i="13"/>
  <c r="BA10" i="10"/>
  <c r="BA13" i="10" s="1"/>
  <c r="BA10" i="11" s="1"/>
  <c r="BF44" i="6"/>
  <c r="BF45" i="6"/>
  <c r="BF47" i="6"/>
  <c r="BF48" i="6"/>
  <c r="BF50" i="6"/>
  <c r="BF46" i="6"/>
  <c r="BF12" i="7"/>
  <c r="BF49" i="6"/>
  <c r="BF24" i="6"/>
  <c r="BD37" i="6"/>
  <c r="BD20" i="7"/>
  <c r="BD21" i="7" s="1"/>
  <c r="BB25" i="7"/>
  <c r="BB39" i="6"/>
  <c r="BD29" i="7"/>
  <c r="BD45" i="9"/>
  <c r="BD16" i="13"/>
  <c r="BB11" i="10"/>
  <c r="BB14" i="13"/>
  <c r="BB26" i="7"/>
  <c r="BB79" i="6"/>
  <c r="BD58" i="6"/>
  <c r="BD57" i="6"/>
  <c r="BD55" i="6"/>
  <c r="BD54" i="6"/>
  <c r="BD56" i="6"/>
  <c r="BD40" i="7"/>
  <c r="BG12" i="5"/>
  <c r="BG12" i="6" s="1"/>
  <c r="BG35" i="9"/>
  <c r="BI19" i="2"/>
  <c r="BI7" i="2" s="1"/>
  <c r="BJ29" i="2"/>
  <c r="BC38" i="6"/>
  <c r="BC41" i="7"/>
  <c r="BE19" i="7"/>
  <c r="BE39" i="7"/>
  <c r="BF13" i="12"/>
  <c r="BF18" i="12" s="1"/>
  <c r="BI40" i="2"/>
  <c r="BF115" i="8"/>
  <c r="BF135" i="8" s="1"/>
  <c r="BF36" i="8"/>
  <c r="BF39" i="13"/>
  <c r="BD99" i="8"/>
  <c r="BD134" i="8" s="1"/>
  <c r="BD136" i="8" s="1"/>
  <c r="BD41" i="8"/>
  <c r="BD41" i="13"/>
  <c r="BF93" i="8"/>
  <c r="BI47" i="2"/>
  <c r="BE27" i="6"/>
  <c r="BE28" i="6" s="1"/>
  <c r="BE30" i="6" s="1"/>
  <c r="BE34" i="5"/>
  <c r="BE36" i="5" s="1"/>
  <c r="BE38" i="5" s="1"/>
  <c r="BE11" i="11" s="1"/>
  <c r="BC43" i="13"/>
  <c r="BC101" i="8"/>
  <c r="BE8" i="1"/>
  <c r="BG8" i="4"/>
  <c r="BB44" i="8"/>
  <c r="BB48" i="8" s="1"/>
  <c r="BC43" i="8"/>
  <c r="BD42" i="13"/>
  <c r="BD100" i="8"/>
  <c r="BE55" i="8"/>
  <c r="BE56" i="8"/>
  <c r="BE58" i="8" s="1"/>
  <c r="BE40" i="8"/>
  <c r="BE39" i="8"/>
  <c r="BF7" i="15"/>
  <c r="BF7" i="6"/>
  <c r="BF7" i="12"/>
  <c r="BF7" i="1"/>
  <c r="BF7" i="8"/>
  <c r="BF7" i="13"/>
  <c r="BF7" i="5"/>
  <c r="BF7" i="9"/>
  <c r="BF7" i="14"/>
  <c r="BF7" i="7"/>
  <c r="BF7" i="10"/>
  <c r="BH7" i="4"/>
  <c r="BF15" i="1"/>
  <c r="BH57" i="2"/>
  <c r="BH8" i="2" s="1"/>
  <c r="BI53" i="2"/>
  <c r="BH56" i="2"/>
  <c r="BC59" i="6"/>
  <c r="BC61" i="6" s="1"/>
  <c r="BJ6" i="14"/>
  <c r="BJ6" i="15"/>
  <c r="BJ6" i="13"/>
  <c r="BJ6" i="12"/>
  <c r="BJ6" i="10"/>
  <c r="BJ6" i="9"/>
  <c r="BJ6" i="8"/>
  <c r="BJ6" i="7"/>
  <c r="BJ6" i="6"/>
  <c r="BJ6" i="5"/>
  <c r="BJ35" i="8"/>
  <c r="BK5" i="15"/>
  <c r="BK5" i="14"/>
  <c r="BK5" i="13"/>
  <c r="BK5" i="12"/>
  <c r="BK5" i="10"/>
  <c r="BK5" i="9"/>
  <c r="BK5" i="8"/>
  <c r="BK5" i="7"/>
  <c r="BK5" i="6"/>
  <c r="BK5" i="5"/>
  <c r="BJ61" i="1"/>
  <c r="BJ70" i="1" s="1"/>
  <c r="AJ30" i="7"/>
  <c r="AJ13" i="11"/>
  <c r="AJ18" i="13" s="1"/>
  <c r="AN69" i="6"/>
  <c r="AM74" i="6"/>
  <c r="AM87" i="6" s="1"/>
  <c r="AK80" i="6"/>
  <c r="AK81" i="6" s="1"/>
  <c r="AK29" i="14" s="1"/>
  <c r="BO15" i="5"/>
  <c r="BO17" i="6" s="1"/>
  <c r="BM5" i="4"/>
  <c r="BK5" i="1"/>
  <c r="BK18" i="1" s="1"/>
  <c r="BK58" i="1" s="1"/>
  <c r="BL6" i="4"/>
  <c r="BJ6" i="1"/>
  <c r="BM52" i="2"/>
  <c r="BK14" i="1" s="1"/>
  <c r="BK24" i="1" s="1"/>
  <c r="BK35" i="1" s="1"/>
  <c r="BM46" i="2"/>
  <c r="BM59" i="2"/>
  <c r="BM60" i="2"/>
  <c r="BK55" i="1" s="1"/>
  <c r="BM54" i="2"/>
  <c r="BK16" i="1" s="1"/>
  <c r="BK56" i="1" s="1"/>
  <c r="BM48" i="2"/>
  <c r="BM41" i="2"/>
  <c r="BK37" i="8" s="1"/>
  <c r="BM39" i="2"/>
  <c r="BM25" i="2"/>
  <c r="BM30" i="2"/>
  <c r="BK13" i="7" s="1"/>
  <c r="BM28" i="2"/>
  <c r="BM18" i="2"/>
  <c r="BM6" i="2" s="1"/>
  <c r="BM23" i="2"/>
  <c r="BN5" i="2"/>
  <c r="BL24" i="2"/>
  <c r="BJ11" i="5" s="1"/>
  <c r="BJ11" i="6" s="1"/>
  <c r="BJ11" i="7" s="1"/>
  <c r="BI43" i="2" l="1"/>
  <c r="BG7" i="11"/>
  <c r="BG7" i="18"/>
  <c r="BL5" i="11"/>
  <c r="BL5" i="18"/>
  <c r="BL57" i="18" s="1"/>
  <c r="BK6" i="11"/>
  <c r="BK6" i="18"/>
  <c r="BK61" i="1"/>
  <c r="BK70" i="1" s="1"/>
  <c r="BD59" i="6"/>
  <c r="BD61" i="6" s="1"/>
  <c r="BE58" i="6"/>
  <c r="BE55" i="6"/>
  <c r="BE40" i="7"/>
  <c r="BE54" i="6"/>
  <c r="BE56" i="6"/>
  <c r="BE57" i="6"/>
  <c r="BF39" i="7"/>
  <c r="BF19" i="7"/>
  <c r="BC25" i="7"/>
  <c r="BC39" i="6"/>
  <c r="BG36" i="9"/>
  <c r="BI34" i="2"/>
  <c r="BG15" i="7"/>
  <c r="BJ32" i="2"/>
  <c r="BG14" i="6"/>
  <c r="BH12" i="5"/>
  <c r="BH12" i="6" s="1"/>
  <c r="BH35" i="9"/>
  <c r="BJ19" i="2"/>
  <c r="BJ7" i="2" s="1"/>
  <c r="BK29" i="2"/>
  <c r="BC26" i="7"/>
  <c r="BC79" i="6"/>
  <c r="BC14" i="13"/>
  <c r="BC11" i="10"/>
  <c r="BC44" i="8"/>
  <c r="BC48" i="8" s="1"/>
  <c r="BD43" i="8"/>
  <c r="BG93" i="8"/>
  <c r="BJ47" i="2"/>
  <c r="BG36" i="8"/>
  <c r="BG39" i="13"/>
  <c r="BG13" i="12"/>
  <c r="BG18" i="12" s="1"/>
  <c r="BG115" i="8"/>
  <c r="BG135" i="8" s="1"/>
  <c r="BJ40" i="2"/>
  <c r="BG7" i="13"/>
  <c r="BG7" i="6"/>
  <c r="BG7" i="12"/>
  <c r="BG7" i="5"/>
  <c r="BG7" i="8"/>
  <c r="BG7" i="7"/>
  <c r="BG7" i="10"/>
  <c r="BG7" i="15"/>
  <c r="BG7" i="9"/>
  <c r="BI7" i="4"/>
  <c r="BG7" i="1"/>
  <c r="BG7" i="14"/>
  <c r="BF34" i="5"/>
  <c r="BF36" i="5" s="1"/>
  <c r="BF38" i="5" s="1"/>
  <c r="BF11" i="11" s="1"/>
  <c r="BF27" i="6"/>
  <c r="BF28" i="6" s="1"/>
  <c r="BF30" i="6" s="1"/>
  <c r="BF51" i="6"/>
  <c r="BB13" i="13"/>
  <c r="BB70" i="6"/>
  <c r="BB10" i="10"/>
  <c r="BB13" i="10" s="1"/>
  <c r="BB10" i="11" s="1"/>
  <c r="BB63" i="6"/>
  <c r="BF40" i="8"/>
  <c r="BF55" i="8"/>
  <c r="BF39" i="8"/>
  <c r="BF56" i="8"/>
  <c r="BF58" i="8" s="1"/>
  <c r="BG15" i="1"/>
  <c r="BJ53" i="2"/>
  <c r="BI57" i="2"/>
  <c r="BI8" i="2" s="1"/>
  <c r="BI56" i="2"/>
  <c r="BE41" i="8"/>
  <c r="BE41" i="13"/>
  <c r="BE99" i="8"/>
  <c r="BE134" i="8" s="1"/>
  <c r="BE136" i="8" s="1"/>
  <c r="BE20" i="7"/>
  <c r="BE21" i="7" s="1"/>
  <c r="BE37" i="6"/>
  <c r="BG12" i="7"/>
  <c r="BG50" i="6"/>
  <c r="BG24" i="6"/>
  <c r="BG46" i="6"/>
  <c r="BG48" i="6"/>
  <c r="BG49" i="6"/>
  <c r="BG47" i="6"/>
  <c r="BG45" i="6"/>
  <c r="BG44" i="6"/>
  <c r="BE29" i="7"/>
  <c r="BE16" i="13"/>
  <c r="BE45" i="9"/>
  <c r="BA14" i="10"/>
  <c r="BF8" i="1"/>
  <c r="BH8" i="4"/>
  <c r="BE100" i="8"/>
  <c r="BE42" i="13"/>
  <c r="BD43" i="13"/>
  <c r="BD101" i="8"/>
  <c r="BD38" i="6"/>
  <c r="BD41" i="7"/>
  <c r="BK6" i="15"/>
  <c r="BK6" i="14"/>
  <c r="BK6" i="12"/>
  <c r="BK6" i="13"/>
  <c r="BK6" i="10"/>
  <c r="BK6" i="9"/>
  <c r="BK6" i="8"/>
  <c r="BK6" i="7"/>
  <c r="BK6" i="5"/>
  <c r="BK6" i="6"/>
  <c r="BK35" i="8"/>
  <c r="BL5" i="14"/>
  <c r="BL5" i="15"/>
  <c r="BL5" i="13"/>
  <c r="BL5" i="12"/>
  <c r="BL5" i="10"/>
  <c r="BL5" i="9"/>
  <c r="BL5" i="8"/>
  <c r="BL5" i="7"/>
  <c r="BL5" i="5"/>
  <c r="BL5" i="6"/>
  <c r="AL78" i="6"/>
  <c r="AK83" i="6"/>
  <c r="AK88" i="6" s="1"/>
  <c r="AK89" i="6" s="1"/>
  <c r="AK13" i="11" s="1"/>
  <c r="AN71" i="6"/>
  <c r="AN72" i="6" s="1"/>
  <c r="AN18" i="14" s="1"/>
  <c r="BP15" i="5"/>
  <c r="BP17" i="6" s="1"/>
  <c r="BN5" i="4"/>
  <c r="BL5" i="1"/>
  <c r="BL18" i="1" s="1"/>
  <c r="BL58" i="1" s="1"/>
  <c r="BM6" i="4"/>
  <c r="BK6" i="1"/>
  <c r="BM24" i="2"/>
  <c r="BK11" i="5" s="1"/>
  <c r="BK11" i="6" s="1"/>
  <c r="BK11" i="7" s="1"/>
  <c r="BN59" i="2"/>
  <c r="BN60" i="2"/>
  <c r="BL55" i="1" s="1"/>
  <c r="BN46" i="2"/>
  <c r="BN54" i="2"/>
  <c r="BL16" i="1" s="1"/>
  <c r="BL56" i="1" s="1"/>
  <c r="BN48" i="2"/>
  <c r="BN52" i="2"/>
  <c r="BL14" i="1" s="1"/>
  <c r="BL24" i="1" s="1"/>
  <c r="BL35" i="1" s="1"/>
  <c r="BN41" i="2"/>
  <c r="BL37" i="8" s="1"/>
  <c r="BN30" i="2"/>
  <c r="BL13" i="7" s="1"/>
  <c r="BN39" i="2"/>
  <c r="BN28" i="2"/>
  <c r="BN18" i="2"/>
  <c r="BN6" i="2" s="1"/>
  <c r="BN25" i="2"/>
  <c r="BN23" i="2"/>
  <c r="BO5" i="2"/>
  <c r="BL6" i="11" l="1"/>
  <c r="BL6" i="18"/>
  <c r="BH7" i="11"/>
  <c r="BH7" i="18"/>
  <c r="BM5" i="11"/>
  <c r="BM5" i="18"/>
  <c r="BM57" i="18" s="1"/>
  <c r="BG51" i="6"/>
  <c r="BG19" i="7"/>
  <c r="BG39" i="7"/>
  <c r="BH15" i="1"/>
  <c r="BJ56" i="2"/>
  <c r="BK53" i="2"/>
  <c r="BJ57" i="2"/>
  <c r="BJ8" i="2" s="1"/>
  <c r="BH93" i="8"/>
  <c r="BK47" i="2"/>
  <c r="BI35" i="9"/>
  <c r="BI12" i="5"/>
  <c r="BI12" i="6" s="1"/>
  <c r="BK19" i="2"/>
  <c r="BK7" i="2" s="1"/>
  <c r="BL29" i="2"/>
  <c r="BE59" i="6"/>
  <c r="BE61" i="6" s="1"/>
  <c r="BF29" i="7"/>
  <c r="BF45" i="9"/>
  <c r="BF16" i="13"/>
  <c r="BB14" i="10"/>
  <c r="BG27" i="6"/>
  <c r="BG28" i="6" s="1"/>
  <c r="BG30" i="6" s="1"/>
  <c r="BG34" i="5"/>
  <c r="BG36" i="5" s="1"/>
  <c r="BG38" i="5" s="1"/>
  <c r="BG11" i="11" s="1"/>
  <c r="BD39" i="6"/>
  <c r="BD25" i="7"/>
  <c r="BH7" i="14"/>
  <c r="BH7" i="6"/>
  <c r="BJ7" i="4"/>
  <c r="BH7" i="15"/>
  <c r="BH7" i="5"/>
  <c r="BH7" i="1"/>
  <c r="BH7" i="9"/>
  <c r="BH7" i="7"/>
  <c r="BH7" i="10"/>
  <c r="BH7" i="8"/>
  <c r="BH7" i="13"/>
  <c r="BH7" i="12"/>
  <c r="BC13" i="13"/>
  <c r="BC10" i="10"/>
  <c r="BC13" i="10" s="1"/>
  <c r="BC10" i="11" s="1"/>
  <c r="BC63" i="6"/>
  <c r="BC70" i="6"/>
  <c r="BE41" i="7"/>
  <c r="BE38" i="6"/>
  <c r="BF57" i="6"/>
  <c r="BF56" i="6"/>
  <c r="BF40" i="7"/>
  <c r="BF54" i="6"/>
  <c r="BF58" i="6"/>
  <c r="BF55" i="6"/>
  <c r="BE101" i="8"/>
  <c r="BE43" i="13"/>
  <c r="BF20" i="7"/>
  <c r="BF21" i="7" s="1"/>
  <c r="BF37" i="6"/>
  <c r="BG8" i="1"/>
  <c r="BI8" i="4"/>
  <c r="BG55" i="8"/>
  <c r="BG56" i="8"/>
  <c r="BG58" i="8" s="1"/>
  <c r="BG40" i="8"/>
  <c r="BG39" i="8"/>
  <c r="BL61" i="1"/>
  <c r="BL70" i="1" s="1"/>
  <c r="BE43" i="8"/>
  <c r="BD44" i="8"/>
  <c r="BD48" i="8" s="1"/>
  <c r="BF42" i="13"/>
  <c r="BF100" i="8"/>
  <c r="BJ34" i="2"/>
  <c r="BH36" i="9"/>
  <c r="BH15" i="7"/>
  <c r="BH14" i="6"/>
  <c r="BK32" i="2"/>
  <c r="BF41" i="13"/>
  <c r="BF99" i="8"/>
  <c r="BF134" i="8" s="1"/>
  <c r="BF136" i="8" s="1"/>
  <c r="BF41" i="8"/>
  <c r="BH36" i="8"/>
  <c r="BH39" i="13"/>
  <c r="BH13" i="12"/>
  <c r="BH18" i="12" s="1"/>
  <c r="BH115" i="8"/>
  <c r="BH135" i="8" s="1"/>
  <c r="BK40" i="2"/>
  <c r="BH49" i="6"/>
  <c r="BH47" i="6"/>
  <c r="BH48" i="6"/>
  <c r="BH46" i="6"/>
  <c r="BH12" i="7"/>
  <c r="BH44" i="6"/>
  <c r="BH45" i="6"/>
  <c r="BH50" i="6"/>
  <c r="BH24" i="6"/>
  <c r="BJ43" i="2"/>
  <c r="BD26" i="7"/>
  <c r="BD11" i="10"/>
  <c r="BD14" i="13"/>
  <c r="BD79" i="6"/>
  <c r="BL6" i="15"/>
  <c r="BL6" i="14"/>
  <c r="BL6" i="13"/>
  <c r="BL6" i="12"/>
  <c r="BL6" i="10"/>
  <c r="BL6" i="9"/>
  <c r="BL6" i="8"/>
  <c r="BL6" i="7"/>
  <c r="BL6" i="6"/>
  <c r="BL6" i="5"/>
  <c r="BL35" i="8"/>
  <c r="BM5" i="14"/>
  <c r="BM5" i="15"/>
  <c r="BM5" i="13"/>
  <c r="BM5" i="12"/>
  <c r="BM5" i="10"/>
  <c r="BM5" i="9"/>
  <c r="BM5" i="8"/>
  <c r="BM5" i="6"/>
  <c r="BM5" i="5"/>
  <c r="BM5" i="7"/>
  <c r="AK30" i="7"/>
  <c r="AK18" i="13"/>
  <c r="AO69" i="6"/>
  <c r="AN74" i="6"/>
  <c r="AN87" i="6" s="1"/>
  <c r="AL80" i="6"/>
  <c r="AL81" i="6" s="1"/>
  <c r="AL29" i="14" s="1"/>
  <c r="BQ15" i="5"/>
  <c r="BQ17" i="6" s="1"/>
  <c r="BN6" i="4"/>
  <c r="BL6" i="1"/>
  <c r="BO5" i="4"/>
  <c r="BM5" i="1"/>
  <c r="BM18" i="1" s="1"/>
  <c r="BM58" i="1" s="1"/>
  <c r="BN24" i="2"/>
  <c r="BL11" i="5" s="1"/>
  <c r="BL11" i="6" s="1"/>
  <c r="BL11" i="7" s="1"/>
  <c r="BO59" i="2"/>
  <c r="BO54" i="2"/>
  <c r="BM16" i="1" s="1"/>
  <c r="BM56" i="1" s="1"/>
  <c r="BO60" i="2"/>
  <c r="BM55" i="1" s="1"/>
  <c r="BO48" i="2"/>
  <c r="BO52" i="2"/>
  <c r="BM14" i="1" s="1"/>
  <c r="BM24" i="1" s="1"/>
  <c r="BM35" i="1" s="1"/>
  <c r="BO41" i="2"/>
  <c r="BM37" i="8" s="1"/>
  <c r="BO30" i="2"/>
  <c r="BM13" i="7" s="1"/>
  <c r="BO39" i="2"/>
  <c r="BO23" i="2"/>
  <c r="BO28" i="2"/>
  <c r="BP5" i="2"/>
  <c r="BO25" i="2"/>
  <c r="BO18" i="2"/>
  <c r="BO6" i="2" s="1"/>
  <c r="BO46" i="2"/>
  <c r="BM6" i="11" l="1"/>
  <c r="BM6" i="18"/>
  <c r="BI7" i="11"/>
  <c r="BI7" i="18"/>
  <c r="BN5" i="18"/>
  <c r="BN57" i="18" s="1"/>
  <c r="BN5" i="11"/>
  <c r="BF59" i="6"/>
  <c r="BF61" i="6" s="1"/>
  <c r="BF11" i="10" s="1"/>
  <c r="BM61" i="1"/>
  <c r="BM70" i="1" s="1"/>
  <c r="BK34" i="2"/>
  <c r="BI15" i="7"/>
  <c r="BL32" i="2"/>
  <c r="BI36" i="9"/>
  <c r="BI14" i="6"/>
  <c r="BE44" i="8"/>
  <c r="BE48" i="8" s="1"/>
  <c r="BF43" i="8"/>
  <c r="BG55" i="6"/>
  <c r="BG54" i="6"/>
  <c r="BG40" i="7"/>
  <c r="BG56" i="6"/>
  <c r="BG58" i="6"/>
  <c r="BG57" i="6"/>
  <c r="BE26" i="7"/>
  <c r="BE11" i="10"/>
  <c r="BE14" i="13"/>
  <c r="BE79" i="6"/>
  <c r="BI15" i="1"/>
  <c r="BL53" i="2"/>
  <c r="BK56" i="2"/>
  <c r="BK57" i="2"/>
  <c r="BK8" i="2" s="1"/>
  <c r="BC14" i="10"/>
  <c r="BF38" i="6"/>
  <c r="BF41" i="7"/>
  <c r="BH51" i="6"/>
  <c r="BJ35" i="9"/>
  <c r="BJ12" i="5"/>
  <c r="BJ12" i="6" s="1"/>
  <c r="BM29" i="2"/>
  <c r="BL19" i="2"/>
  <c r="BL7" i="2" s="1"/>
  <c r="BH8" i="1"/>
  <c r="BJ8" i="4"/>
  <c r="BH19" i="7"/>
  <c r="BH39" i="7"/>
  <c r="BG41" i="8"/>
  <c r="BG41" i="13"/>
  <c r="BG99" i="8"/>
  <c r="BG134" i="8" s="1"/>
  <c r="BG136" i="8" s="1"/>
  <c r="BI7" i="9"/>
  <c r="BI7" i="12"/>
  <c r="BI7" i="5"/>
  <c r="BI7" i="8"/>
  <c r="BI7" i="6"/>
  <c r="BI7" i="10"/>
  <c r="BI7" i="14"/>
  <c r="BK7" i="4"/>
  <c r="BI7" i="13"/>
  <c r="BI7" i="7"/>
  <c r="BI7" i="15"/>
  <c r="BI7" i="1"/>
  <c r="BD70" i="6"/>
  <c r="BD63" i="6"/>
  <c r="BD13" i="13"/>
  <c r="BD10" i="10"/>
  <c r="BD13" i="10" s="1"/>
  <c r="BD10" i="11" s="1"/>
  <c r="BI13" i="12"/>
  <c r="BI18" i="12" s="1"/>
  <c r="BI39" i="13"/>
  <c r="BI115" i="8"/>
  <c r="BI135" i="8" s="1"/>
  <c r="BI36" i="8"/>
  <c r="BL40" i="2"/>
  <c r="BG29" i="7"/>
  <c r="BG16" i="13"/>
  <c r="BG45" i="9"/>
  <c r="BH40" i="8"/>
  <c r="BH56" i="8"/>
  <c r="BH58" i="8" s="1"/>
  <c r="BH39" i="8"/>
  <c r="BH55" i="8"/>
  <c r="BG42" i="13"/>
  <c r="BG100" i="8"/>
  <c r="BE25" i="7"/>
  <c r="BE39" i="6"/>
  <c r="BI47" i="6"/>
  <c r="BI48" i="6"/>
  <c r="BI45" i="6"/>
  <c r="BI46" i="6"/>
  <c r="BI44" i="6"/>
  <c r="BI49" i="6"/>
  <c r="BI12" i="7"/>
  <c r="BI24" i="6"/>
  <c r="BI50" i="6"/>
  <c r="BG20" i="7"/>
  <c r="BG21" i="7" s="1"/>
  <c r="BG37" i="6"/>
  <c r="BF101" i="8"/>
  <c r="BF43" i="13"/>
  <c r="BH34" i="5"/>
  <c r="BH36" i="5" s="1"/>
  <c r="BH38" i="5" s="1"/>
  <c r="BH11" i="11" s="1"/>
  <c r="BH27" i="6"/>
  <c r="BH28" i="6" s="1"/>
  <c r="BH30" i="6" s="1"/>
  <c r="BK43" i="2"/>
  <c r="BI93" i="8"/>
  <c r="BL47" i="2"/>
  <c r="BM6" i="14"/>
  <c r="BM6" i="15"/>
  <c r="BM6" i="13"/>
  <c r="BM6" i="12"/>
  <c r="BM6" i="9"/>
  <c r="BM6" i="10"/>
  <c r="BM6" i="8"/>
  <c r="BM6" i="6"/>
  <c r="BM6" i="5"/>
  <c r="BM6" i="7"/>
  <c r="BN5" i="15"/>
  <c r="BN5" i="14"/>
  <c r="BN5" i="12"/>
  <c r="BN5" i="10"/>
  <c r="BN5" i="13"/>
  <c r="BN5" i="9"/>
  <c r="BN5" i="8"/>
  <c r="BN5" i="7"/>
  <c r="BN5" i="6"/>
  <c r="BN5" i="5"/>
  <c r="BM35" i="8"/>
  <c r="AL83" i="6"/>
  <c r="AL88" i="6" s="1"/>
  <c r="AL89" i="6" s="1"/>
  <c r="AL13" i="11" s="1"/>
  <c r="AM78" i="6"/>
  <c r="AO71" i="6"/>
  <c r="AO72" i="6" s="1"/>
  <c r="AO18" i="14" s="1"/>
  <c r="BR15" i="5"/>
  <c r="BR17" i="6" s="1"/>
  <c r="BO6" i="4"/>
  <c r="BM6" i="1"/>
  <c r="BP5" i="4"/>
  <c r="BN5" i="1"/>
  <c r="BN18" i="1" s="1"/>
  <c r="BN58" i="1" s="1"/>
  <c r="BP59" i="2"/>
  <c r="BP54" i="2"/>
  <c r="BN16" i="1" s="1"/>
  <c r="BN56" i="1" s="1"/>
  <c r="BP60" i="2"/>
  <c r="BN55" i="1" s="1"/>
  <c r="BP48" i="2"/>
  <c r="BP52" i="2"/>
  <c r="BN14" i="1" s="1"/>
  <c r="BN24" i="1" s="1"/>
  <c r="BN35" i="1" s="1"/>
  <c r="BP39" i="2"/>
  <c r="BP46" i="2"/>
  <c r="BP30" i="2"/>
  <c r="BN13" i="7" s="1"/>
  <c r="BP23" i="2"/>
  <c r="BP41" i="2"/>
  <c r="BN37" i="8" s="1"/>
  <c r="BP25" i="2"/>
  <c r="BP18" i="2"/>
  <c r="BP6" i="2" s="1"/>
  <c r="BP28" i="2"/>
  <c r="BQ5" i="2"/>
  <c r="BO24" i="2"/>
  <c r="BM11" i="5" s="1"/>
  <c r="BM11" i="6" s="1"/>
  <c r="BM11" i="7" s="1"/>
  <c r="BO5" i="11" l="1"/>
  <c r="BO5" i="18"/>
  <c r="BO57" i="18" s="1"/>
  <c r="BN6" i="11"/>
  <c r="BN6" i="18"/>
  <c r="BJ7" i="18"/>
  <c r="BJ7" i="11"/>
  <c r="BF79" i="6"/>
  <c r="BF14" i="13"/>
  <c r="BF26" i="7"/>
  <c r="BI51" i="6"/>
  <c r="BH41" i="13"/>
  <c r="BH99" i="8"/>
  <c r="BH134" i="8" s="1"/>
  <c r="BH136" i="8" s="1"/>
  <c r="BH41" i="8"/>
  <c r="BJ13" i="12"/>
  <c r="BJ18" i="12" s="1"/>
  <c r="BJ115" i="8"/>
  <c r="BJ135" i="8" s="1"/>
  <c r="BM40" i="2"/>
  <c r="BJ36" i="8"/>
  <c r="BJ39" i="13"/>
  <c r="BK35" i="9"/>
  <c r="BK12" i="5"/>
  <c r="BK12" i="6" s="1"/>
  <c r="BM19" i="2"/>
  <c r="BM7" i="2" s="1"/>
  <c r="BN29" i="2"/>
  <c r="BK8" i="4"/>
  <c r="BI8" i="1"/>
  <c r="BL7" i="4"/>
  <c r="BJ7" i="10"/>
  <c r="BJ7" i="1"/>
  <c r="BJ7" i="9"/>
  <c r="BJ7" i="14"/>
  <c r="BJ7" i="15"/>
  <c r="BJ7" i="12"/>
  <c r="BJ7" i="8"/>
  <c r="BJ7" i="6"/>
  <c r="BJ7" i="5"/>
  <c r="BJ7" i="13"/>
  <c r="BJ7" i="7"/>
  <c r="BI40" i="8"/>
  <c r="BI39" i="8"/>
  <c r="BI56" i="8"/>
  <c r="BI58" i="8" s="1"/>
  <c r="BI55" i="8"/>
  <c r="BG43" i="13"/>
  <c r="BG101" i="8"/>
  <c r="BJ46" i="6"/>
  <c r="BJ45" i="6"/>
  <c r="BJ24" i="6"/>
  <c r="BJ48" i="6"/>
  <c r="BJ49" i="6"/>
  <c r="BJ47" i="6"/>
  <c r="BJ12" i="7"/>
  <c r="BJ44" i="6"/>
  <c r="BJ50" i="6"/>
  <c r="BL43" i="2"/>
  <c r="BH42" i="13"/>
  <c r="BH100" i="8"/>
  <c r="BH37" i="6"/>
  <c r="BH20" i="7"/>
  <c r="BH21" i="7" s="1"/>
  <c r="BJ15" i="1"/>
  <c r="BM53" i="2"/>
  <c r="BL56" i="2"/>
  <c r="BL57" i="2"/>
  <c r="BL8" i="2" s="1"/>
  <c r="BJ15" i="7"/>
  <c r="BM32" i="2"/>
  <c r="BL34" i="2"/>
  <c r="BJ36" i="9"/>
  <c r="BJ14" i="6"/>
  <c r="BG43" i="8"/>
  <c r="BF44" i="8"/>
  <c r="BF48" i="8" s="1"/>
  <c r="BJ93" i="8"/>
  <c r="BM47" i="2"/>
  <c r="BH40" i="7"/>
  <c r="BH57" i="6"/>
  <c r="BH56" i="6"/>
  <c r="BH58" i="6"/>
  <c r="BH54" i="6"/>
  <c r="BH55" i="6"/>
  <c r="BE10" i="10"/>
  <c r="BE13" i="10" s="1"/>
  <c r="BE10" i="11" s="1"/>
  <c r="BE70" i="6"/>
  <c r="BE13" i="13"/>
  <c r="BE63" i="6"/>
  <c r="BG38" i="6"/>
  <c r="BG41" i="7"/>
  <c r="BH45" i="9"/>
  <c r="BH29" i="7"/>
  <c r="BH16" i="13"/>
  <c r="BI39" i="7"/>
  <c r="BI19" i="7"/>
  <c r="BF25" i="7"/>
  <c r="BF39" i="6"/>
  <c r="BG59" i="6"/>
  <c r="BG61" i="6" s="1"/>
  <c r="BI34" i="5"/>
  <c r="BI36" i="5" s="1"/>
  <c r="BI38" i="5" s="1"/>
  <c r="BI11" i="11" s="1"/>
  <c r="BI27" i="6"/>
  <c r="BI28" i="6" s="1"/>
  <c r="BI30" i="6" s="1"/>
  <c r="BD14" i="10"/>
  <c r="BN6" i="14"/>
  <c r="BN6" i="13"/>
  <c r="BN6" i="12"/>
  <c r="BN6" i="15"/>
  <c r="BN6" i="9"/>
  <c r="BN6" i="10"/>
  <c r="BN6" i="8"/>
  <c r="BN6" i="7"/>
  <c r="BN6" i="5"/>
  <c r="BN6" i="6"/>
  <c r="BO5" i="15"/>
  <c r="BO5" i="14"/>
  <c r="BO5" i="13"/>
  <c r="BO5" i="12"/>
  <c r="BO5" i="9"/>
  <c r="BO5" i="10"/>
  <c r="BO5" i="8"/>
  <c r="BO5" i="7"/>
  <c r="BO5" i="6"/>
  <c r="BO5" i="5"/>
  <c r="BN35" i="8"/>
  <c r="BN61" i="1"/>
  <c r="BN70" i="1" s="1"/>
  <c r="AL30" i="7"/>
  <c r="AL18" i="13"/>
  <c r="AO74" i="6"/>
  <c r="AO87" i="6" s="1"/>
  <c r="AP69" i="6"/>
  <c r="AM80" i="6"/>
  <c r="AM81" i="6" s="1"/>
  <c r="AM29" i="14" s="1"/>
  <c r="BS15" i="5"/>
  <c r="BS17" i="6" s="1"/>
  <c r="BP6" i="4"/>
  <c r="BN6" i="1"/>
  <c r="BQ5" i="4"/>
  <c r="BO5" i="1"/>
  <c r="BO18" i="1" s="1"/>
  <c r="BO58" i="1" s="1"/>
  <c r="BQ60" i="2"/>
  <c r="BO55" i="1" s="1"/>
  <c r="BQ59" i="2"/>
  <c r="BQ48" i="2"/>
  <c r="BQ54" i="2"/>
  <c r="BO16" i="1" s="1"/>
  <c r="BO56" i="1" s="1"/>
  <c r="BQ52" i="2"/>
  <c r="BO14" i="1" s="1"/>
  <c r="BO24" i="1" s="1"/>
  <c r="BO35" i="1" s="1"/>
  <c r="BQ39" i="2"/>
  <c r="BQ46" i="2"/>
  <c r="BQ41" i="2"/>
  <c r="BO37" i="8" s="1"/>
  <c r="BQ23" i="2"/>
  <c r="BQ30" i="2"/>
  <c r="BO13" i="7" s="1"/>
  <c r="BQ28" i="2"/>
  <c r="BQ25" i="2"/>
  <c r="BQ18" i="2"/>
  <c r="BQ6" i="2" s="1"/>
  <c r="BR5" i="2"/>
  <c r="BP24" i="2"/>
  <c r="BN11" i="5" s="1"/>
  <c r="BN11" i="6" s="1"/>
  <c r="BN11" i="7" s="1"/>
  <c r="BP5" i="11" l="1"/>
  <c r="BP5" i="18"/>
  <c r="BP57" i="18" s="1"/>
  <c r="BK7" i="18"/>
  <c r="BK7" i="11"/>
  <c r="BO6" i="11"/>
  <c r="BO6" i="18"/>
  <c r="BI37" i="6"/>
  <c r="BI20" i="7"/>
  <c r="BI21" i="7" s="1"/>
  <c r="BJ34" i="5"/>
  <c r="BJ36" i="5" s="1"/>
  <c r="BJ38" i="5" s="1"/>
  <c r="BJ11" i="11" s="1"/>
  <c r="BJ27" i="6"/>
  <c r="BJ28" i="6" s="1"/>
  <c r="BJ30" i="6" s="1"/>
  <c r="BK115" i="8"/>
  <c r="BK135" i="8" s="1"/>
  <c r="BK36" i="8"/>
  <c r="BK13" i="12"/>
  <c r="BK18" i="12" s="1"/>
  <c r="BN40" i="2"/>
  <c r="BK39" i="13"/>
  <c r="BH38" i="6"/>
  <c r="BH41" i="7"/>
  <c r="BK14" i="6"/>
  <c r="BM34" i="2"/>
  <c r="BN32" i="2"/>
  <c r="BK15" i="7"/>
  <c r="BK36" i="9"/>
  <c r="BI41" i="13"/>
  <c r="BI99" i="8"/>
  <c r="BI134" i="8" s="1"/>
  <c r="BI136" i="8" s="1"/>
  <c r="BI41" i="8"/>
  <c r="BG39" i="6"/>
  <c r="BG25" i="7"/>
  <c r="BI40" i="7"/>
  <c r="BI56" i="6"/>
  <c r="BI55" i="6"/>
  <c r="BI54" i="6"/>
  <c r="BI57" i="6"/>
  <c r="BI58" i="6"/>
  <c r="BK93" i="8"/>
  <c r="BN47" i="2"/>
  <c r="BI42" i="13"/>
  <c r="BI100" i="8"/>
  <c r="BL35" i="9"/>
  <c r="BL12" i="5"/>
  <c r="BL12" i="6" s="1"/>
  <c r="BO29" i="2"/>
  <c r="BN19" i="2"/>
  <c r="BN7" i="2" s="1"/>
  <c r="BI29" i="7"/>
  <c r="BI16" i="13"/>
  <c r="BI45" i="9"/>
  <c r="BE14" i="10"/>
  <c r="BL8" i="4"/>
  <c r="BJ8" i="1"/>
  <c r="BM43" i="2"/>
  <c r="BK7" i="9"/>
  <c r="BK7" i="8"/>
  <c r="BK7" i="1"/>
  <c r="BK7" i="10"/>
  <c r="BK7" i="15"/>
  <c r="BK7" i="6"/>
  <c r="BM7" i="4"/>
  <c r="BK7" i="14"/>
  <c r="BK7" i="7"/>
  <c r="BK7" i="12"/>
  <c r="BK7" i="5"/>
  <c r="BK7" i="13"/>
  <c r="BH101" i="8"/>
  <c r="BH43" i="13"/>
  <c r="BJ40" i="8"/>
  <c r="BJ39" i="8"/>
  <c r="BJ56" i="8"/>
  <c r="BJ58" i="8" s="1"/>
  <c r="BJ55" i="8"/>
  <c r="BG14" i="13"/>
  <c r="BG11" i="10"/>
  <c r="BG79" i="6"/>
  <c r="BG26" i="7"/>
  <c r="BK46" i="6"/>
  <c r="BK12" i="7"/>
  <c r="BK47" i="6"/>
  <c r="BK24" i="6"/>
  <c r="BK45" i="6"/>
  <c r="BK48" i="6"/>
  <c r="BK44" i="6"/>
  <c r="BK50" i="6"/>
  <c r="BK49" i="6"/>
  <c r="BJ19" i="7"/>
  <c r="BJ39" i="7"/>
  <c r="BF70" i="6"/>
  <c r="BF13" i="13"/>
  <c r="BF10" i="10"/>
  <c r="BF13" i="10" s="1"/>
  <c r="BF10" i="11" s="1"/>
  <c r="BF63" i="6"/>
  <c r="BH59" i="6"/>
  <c r="BH61" i="6" s="1"/>
  <c r="BG44" i="8"/>
  <c r="BG48" i="8" s="1"/>
  <c r="BH43" i="8"/>
  <c r="BK15" i="1"/>
  <c r="BN53" i="2"/>
  <c r="BM56" i="2"/>
  <c r="BM57" i="2"/>
  <c r="BM8" i="2" s="1"/>
  <c r="BJ51" i="6"/>
  <c r="BO35" i="8"/>
  <c r="BP5" i="14"/>
  <c r="BP5" i="13"/>
  <c r="BP5" i="15"/>
  <c r="BP5" i="12"/>
  <c r="BP5" i="9"/>
  <c r="BP5" i="10"/>
  <c r="BP5" i="8"/>
  <c r="BP5" i="6"/>
  <c r="BP5" i="5"/>
  <c r="BP5" i="7"/>
  <c r="BO6" i="14"/>
  <c r="BO6" i="15"/>
  <c r="BO6" i="13"/>
  <c r="BO6" i="12"/>
  <c r="BO6" i="10"/>
  <c r="BO6" i="9"/>
  <c r="BO6" i="8"/>
  <c r="BO6" i="6"/>
  <c r="BO6" i="7"/>
  <c r="BO6" i="5"/>
  <c r="BO61" i="1"/>
  <c r="BO70" i="1" s="1"/>
  <c r="AM83" i="6"/>
  <c r="AM88" i="6" s="1"/>
  <c r="AM89" i="6" s="1"/>
  <c r="AM13" i="11" s="1"/>
  <c r="AN78" i="6"/>
  <c r="AP71" i="6"/>
  <c r="AP72" i="6" s="1"/>
  <c r="AP18" i="14" s="1"/>
  <c r="BT15" i="5"/>
  <c r="BT17" i="6" s="1"/>
  <c r="BQ6" i="4"/>
  <c r="BO6" i="1"/>
  <c r="BR5" i="4"/>
  <c r="BP5" i="1"/>
  <c r="BP18" i="1" s="1"/>
  <c r="BP58" i="1" s="1"/>
  <c r="BR60" i="2"/>
  <c r="BP55" i="1" s="1"/>
  <c r="BR59" i="2"/>
  <c r="BR54" i="2"/>
  <c r="BP16" i="1" s="1"/>
  <c r="BP56" i="1" s="1"/>
  <c r="BR52" i="2"/>
  <c r="BP14" i="1" s="1"/>
  <c r="BP24" i="1" s="1"/>
  <c r="BP35" i="1" s="1"/>
  <c r="BR46" i="2"/>
  <c r="BR39" i="2"/>
  <c r="BR48" i="2"/>
  <c r="BR41" i="2"/>
  <c r="BP37" i="8" s="1"/>
  <c r="BR23" i="2"/>
  <c r="BR25" i="2"/>
  <c r="BR28" i="2"/>
  <c r="BR18" i="2"/>
  <c r="BR6" i="2" s="1"/>
  <c r="BS5" i="2"/>
  <c r="BR30" i="2"/>
  <c r="BP13" i="7" s="1"/>
  <c r="BQ24" i="2"/>
  <c r="BO11" i="5" s="1"/>
  <c r="BO11" i="6" s="1"/>
  <c r="BO11" i="7" s="1"/>
  <c r="BP6" i="18" l="1"/>
  <c r="BP6" i="11"/>
  <c r="BQ5" i="11"/>
  <c r="BQ5" i="18"/>
  <c r="BQ57" i="18" s="1"/>
  <c r="BL7" i="11"/>
  <c r="BL7" i="18"/>
  <c r="BJ42" i="13"/>
  <c r="BJ100" i="8"/>
  <c r="BN43" i="2"/>
  <c r="BK27" i="6"/>
  <c r="BK28" i="6" s="1"/>
  <c r="BK30" i="6" s="1"/>
  <c r="BK34" i="5"/>
  <c r="BK36" i="5" s="1"/>
  <c r="BK38" i="5" s="1"/>
  <c r="BK11" i="11" s="1"/>
  <c r="BL15" i="1"/>
  <c r="BN56" i="2"/>
  <c r="BO53" i="2"/>
  <c r="BN57" i="2"/>
  <c r="BN8" i="2" s="1"/>
  <c r="BI41" i="7"/>
  <c r="BI38" i="6"/>
  <c r="BH44" i="8"/>
  <c r="BH48" i="8" s="1"/>
  <c r="BI43" i="8"/>
  <c r="BK19" i="7"/>
  <c r="BK39" i="7"/>
  <c r="BK40" i="8"/>
  <c r="BK55" i="8"/>
  <c r="BK39" i="8"/>
  <c r="BK56" i="8"/>
  <c r="BK58" i="8" s="1"/>
  <c r="BH26" i="7"/>
  <c r="BH11" i="10"/>
  <c r="BH14" i="13"/>
  <c r="BH79" i="6"/>
  <c r="BL7" i="12"/>
  <c r="BN7" i="4"/>
  <c r="BL7" i="1"/>
  <c r="BL7" i="15"/>
  <c r="BL7" i="13"/>
  <c r="BL7" i="10"/>
  <c r="BL7" i="7"/>
  <c r="BL7" i="5"/>
  <c r="BL7" i="9"/>
  <c r="BL7" i="8"/>
  <c r="BL7" i="14"/>
  <c r="BL7" i="6"/>
  <c r="BG70" i="6"/>
  <c r="BG13" i="13"/>
  <c r="BG10" i="10"/>
  <c r="BG13" i="10" s="1"/>
  <c r="BG10" i="11" s="1"/>
  <c r="BG63" i="6"/>
  <c r="BJ57" i="6"/>
  <c r="BJ56" i="6"/>
  <c r="BJ54" i="6"/>
  <c r="BJ55" i="6"/>
  <c r="BJ40" i="7"/>
  <c r="BJ58" i="6"/>
  <c r="BJ41" i="13"/>
  <c r="BJ99" i="8"/>
  <c r="BJ134" i="8" s="1"/>
  <c r="BJ136" i="8" s="1"/>
  <c r="BJ41" i="8"/>
  <c r="BL93" i="8"/>
  <c r="BO47" i="2"/>
  <c r="BN34" i="2"/>
  <c r="BO32" i="2"/>
  <c r="BL15" i="7"/>
  <c r="BL36" i="9"/>
  <c r="BL14" i="6"/>
  <c r="BK51" i="6"/>
  <c r="BM35" i="9"/>
  <c r="BM12" i="5"/>
  <c r="BM12" i="6" s="1"/>
  <c r="BO19" i="2"/>
  <c r="BO7" i="2" s="1"/>
  <c r="BP29" i="2"/>
  <c r="BI101" i="8"/>
  <c r="BI43" i="13"/>
  <c r="BH39" i="6"/>
  <c r="BH25" i="7"/>
  <c r="BJ29" i="7"/>
  <c r="BJ16" i="13"/>
  <c r="BJ45" i="9"/>
  <c r="BL36" i="8"/>
  <c r="BL39" i="13"/>
  <c r="BL115" i="8"/>
  <c r="BL135" i="8" s="1"/>
  <c r="BL13" i="12"/>
  <c r="BL18" i="12" s="1"/>
  <c r="BO40" i="2"/>
  <c r="BK8" i="1"/>
  <c r="BM8" i="4"/>
  <c r="BF14" i="10"/>
  <c r="BL12" i="7"/>
  <c r="BL47" i="6"/>
  <c r="BL24" i="6"/>
  <c r="BL46" i="6"/>
  <c r="BL49" i="6"/>
  <c r="BL50" i="6"/>
  <c r="BL45" i="6"/>
  <c r="BL48" i="6"/>
  <c r="BL44" i="6"/>
  <c r="BI59" i="6"/>
  <c r="BI61" i="6" s="1"/>
  <c r="BJ37" i="6"/>
  <c r="BJ20" i="7"/>
  <c r="BJ21" i="7" s="1"/>
  <c r="BP6" i="15"/>
  <c r="BP6" i="14"/>
  <c r="BP6" i="12"/>
  <c r="BP6" i="13"/>
  <c r="BP6" i="10"/>
  <c r="BP6" i="9"/>
  <c r="BP6" i="8"/>
  <c r="BP6" i="6"/>
  <c r="BP6" i="7"/>
  <c r="BP6" i="5"/>
  <c r="BP35" i="8"/>
  <c r="BQ5" i="14"/>
  <c r="BQ5" i="13"/>
  <c r="BQ5" i="15"/>
  <c r="BQ5" i="12"/>
  <c r="BQ5" i="9"/>
  <c r="BQ5" i="10"/>
  <c r="BQ5" i="8"/>
  <c r="BQ5" i="6"/>
  <c r="BQ5" i="7"/>
  <c r="BQ5" i="5"/>
  <c r="BP61" i="1"/>
  <c r="BP70" i="1" s="1"/>
  <c r="AM30" i="7"/>
  <c r="AM18" i="13"/>
  <c r="AP74" i="6"/>
  <c r="AP87" i="6" s="1"/>
  <c r="AQ69" i="6"/>
  <c r="AN80" i="6"/>
  <c r="AN81" i="6" s="1"/>
  <c r="AN29" i="14" s="1"/>
  <c r="BU15" i="5"/>
  <c r="BU17" i="6" s="1"/>
  <c r="BR6" i="4"/>
  <c r="BP6" i="1"/>
  <c r="BS5" i="4"/>
  <c r="BQ5" i="1"/>
  <c r="BQ18" i="1" s="1"/>
  <c r="BQ58" i="1" s="1"/>
  <c r="BS60" i="2"/>
  <c r="BQ55" i="1" s="1"/>
  <c r="BS52" i="2"/>
  <c r="BQ14" i="1" s="1"/>
  <c r="BQ24" i="1" s="1"/>
  <c r="BQ35" i="1" s="1"/>
  <c r="BS59" i="2"/>
  <c r="BS54" i="2"/>
  <c r="BQ16" i="1" s="1"/>
  <c r="BQ56" i="1" s="1"/>
  <c r="BS48" i="2"/>
  <c r="BS39" i="2"/>
  <c r="BS46" i="2"/>
  <c r="BS41" i="2"/>
  <c r="BQ37" i="8" s="1"/>
  <c r="BS25" i="2"/>
  <c r="BS28" i="2"/>
  <c r="BS23" i="2"/>
  <c r="BT5" i="2"/>
  <c r="BS30" i="2"/>
  <c r="BQ13" i="7" s="1"/>
  <c r="BS18" i="2"/>
  <c r="BS6" i="2" s="1"/>
  <c r="BR24" i="2"/>
  <c r="BP11" i="5" s="1"/>
  <c r="BP11" i="6" s="1"/>
  <c r="BP11" i="7" s="1"/>
  <c r="BQ6" i="11" l="1"/>
  <c r="BQ6" i="18"/>
  <c r="BR5" i="11"/>
  <c r="BR5" i="18"/>
  <c r="BR57" i="18" s="1"/>
  <c r="BM7" i="18"/>
  <c r="BM7" i="11"/>
  <c r="BQ61" i="1"/>
  <c r="BQ70" i="1" s="1"/>
  <c r="BN35" i="9"/>
  <c r="BN12" i="5"/>
  <c r="BN12" i="6" s="1"/>
  <c r="BP19" i="2"/>
  <c r="BP7" i="2" s="1"/>
  <c r="BQ29" i="2"/>
  <c r="BM47" i="6"/>
  <c r="BM46" i="6"/>
  <c r="BM12" i="7"/>
  <c r="BM49" i="6"/>
  <c r="BM48" i="6"/>
  <c r="BM45" i="6"/>
  <c r="BM24" i="6"/>
  <c r="BM50" i="6"/>
  <c r="BM44" i="6"/>
  <c r="BM15" i="7"/>
  <c r="BP32" i="2"/>
  <c r="BO34" i="2"/>
  <c r="BM36" i="9"/>
  <c r="BM14" i="6"/>
  <c r="BJ41" i="7"/>
  <c r="BJ38" i="6"/>
  <c r="BJ43" i="8"/>
  <c r="BI44" i="8"/>
  <c r="BI48" i="8" s="1"/>
  <c r="BK29" i="7"/>
  <c r="BK45" i="9"/>
  <c r="BK16" i="13"/>
  <c r="BK100" i="8"/>
  <c r="BK42" i="13"/>
  <c r="BM13" i="12"/>
  <c r="BM18" i="12" s="1"/>
  <c r="BM115" i="8"/>
  <c r="BM135" i="8" s="1"/>
  <c r="BM36" i="8"/>
  <c r="BP40" i="2"/>
  <c r="BM39" i="13"/>
  <c r="BL34" i="5"/>
  <c r="BL36" i="5" s="1"/>
  <c r="BL38" i="5" s="1"/>
  <c r="BL11" i="11" s="1"/>
  <c r="BL27" i="6"/>
  <c r="BL28" i="6" s="1"/>
  <c r="BL30" i="6" s="1"/>
  <c r="BK55" i="6"/>
  <c r="BK54" i="6"/>
  <c r="BK56" i="6"/>
  <c r="BK58" i="6"/>
  <c r="BK40" i="7"/>
  <c r="BK57" i="6"/>
  <c r="BL39" i="8"/>
  <c r="BL55" i="8"/>
  <c r="BL56" i="8"/>
  <c r="BL58" i="8" s="1"/>
  <c r="BL40" i="8"/>
  <c r="BK20" i="7"/>
  <c r="BK21" i="7" s="1"/>
  <c r="BK37" i="6"/>
  <c r="BM7" i="10"/>
  <c r="BM7" i="5"/>
  <c r="BM7" i="7"/>
  <c r="BM7" i="9"/>
  <c r="BO7" i="4"/>
  <c r="BM7" i="6"/>
  <c r="BM7" i="13"/>
  <c r="BM7" i="15"/>
  <c r="BM7" i="12"/>
  <c r="BM7" i="8"/>
  <c r="BM7" i="14"/>
  <c r="BM7" i="1"/>
  <c r="BM93" i="8"/>
  <c r="BP47" i="2"/>
  <c r="BJ59" i="6"/>
  <c r="BJ61" i="6" s="1"/>
  <c r="BO43" i="2"/>
  <c r="BM15" i="1"/>
  <c r="BP53" i="2"/>
  <c r="BO57" i="2"/>
  <c r="BO8" i="2" s="1"/>
  <c r="BO56" i="2"/>
  <c r="BI14" i="13"/>
  <c r="BI79" i="6"/>
  <c r="BI26" i="7"/>
  <c r="BI11" i="10"/>
  <c r="BH10" i="10"/>
  <c r="BH13" i="10" s="1"/>
  <c r="BH10" i="11" s="1"/>
  <c r="BH13" i="13"/>
  <c r="BH70" i="6"/>
  <c r="BH63" i="6"/>
  <c r="BK41" i="13"/>
  <c r="BK99" i="8"/>
  <c r="BK134" i="8" s="1"/>
  <c r="BK136" i="8" s="1"/>
  <c r="BK41" i="8"/>
  <c r="BI25" i="7"/>
  <c r="BI39" i="6"/>
  <c r="BG14" i="10"/>
  <c r="BL51" i="6"/>
  <c r="BL19" i="7"/>
  <c r="BL39" i="7"/>
  <c r="BJ101" i="8"/>
  <c r="BJ43" i="13"/>
  <c r="BN8" i="4"/>
  <c r="BL8" i="1"/>
  <c r="BR5" i="14"/>
  <c r="BR5" i="15"/>
  <c r="BR5" i="13"/>
  <c r="BR5" i="12"/>
  <c r="BR5" i="9"/>
  <c r="BR5" i="10"/>
  <c r="BR5" i="8"/>
  <c r="BR5" i="7"/>
  <c r="BR5" i="6"/>
  <c r="BR5" i="5"/>
  <c r="BQ6" i="14"/>
  <c r="BQ6" i="15"/>
  <c r="BQ6" i="13"/>
  <c r="BQ6" i="12"/>
  <c r="BQ6" i="10"/>
  <c r="BQ6" i="9"/>
  <c r="BQ6" i="8"/>
  <c r="BQ6" i="7"/>
  <c r="BQ6" i="6"/>
  <c r="BQ6" i="5"/>
  <c r="BQ35" i="8"/>
  <c r="AN83" i="6"/>
  <c r="AN88" i="6" s="1"/>
  <c r="AN89" i="6" s="1"/>
  <c r="AN13" i="11" s="1"/>
  <c r="AO78" i="6"/>
  <c r="AQ71" i="6"/>
  <c r="AQ72" i="6" s="1"/>
  <c r="AQ18" i="14" s="1"/>
  <c r="BV15" i="5"/>
  <c r="BV17" i="6" s="1"/>
  <c r="BT5" i="4"/>
  <c r="BR5" i="1"/>
  <c r="BR18" i="1" s="1"/>
  <c r="BR58" i="1" s="1"/>
  <c r="BS6" i="4"/>
  <c r="BQ6" i="1"/>
  <c r="BT59" i="2"/>
  <c r="BT54" i="2"/>
  <c r="BR16" i="1" s="1"/>
  <c r="BR56" i="1" s="1"/>
  <c r="BT60" i="2"/>
  <c r="BR55" i="1" s="1"/>
  <c r="BT46" i="2"/>
  <c r="BT48" i="2"/>
  <c r="BT52" i="2"/>
  <c r="BR14" i="1" s="1"/>
  <c r="BR24" i="1" s="1"/>
  <c r="BR35" i="1" s="1"/>
  <c r="BT39" i="2"/>
  <c r="BT41" i="2"/>
  <c r="BR37" i="8" s="1"/>
  <c r="BT25" i="2"/>
  <c r="BT28" i="2"/>
  <c r="BT18" i="2"/>
  <c r="BT6" i="2" s="1"/>
  <c r="BT30" i="2"/>
  <c r="BR13" i="7" s="1"/>
  <c r="BT23" i="2"/>
  <c r="BU5" i="2"/>
  <c r="BS24" i="2"/>
  <c r="BQ11" i="5" s="1"/>
  <c r="BQ11" i="6" s="1"/>
  <c r="BQ11" i="7" s="1"/>
  <c r="BR6" i="18" l="1"/>
  <c r="BR6" i="11"/>
  <c r="BN7" i="11"/>
  <c r="BN7" i="18"/>
  <c r="BS5" i="11"/>
  <c r="BS5" i="18"/>
  <c r="BS57" i="18" s="1"/>
  <c r="BR61" i="1"/>
  <c r="BR70" i="1" s="1"/>
  <c r="BM34" i="5"/>
  <c r="BM36" i="5" s="1"/>
  <c r="BM38" i="5" s="1"/>
  <c r="BM11" i="11" s="1"/>
  <c r="BM27" i="6"/>
  <c r="BM28" i="6" s="1"/>
  <c r="BM30" i="6" s="1"/>
  <c r="BL42" i="13"/>
  <c r="BL100" i="8"/>
  <c r="BK59" i="6"/>
  <c r="BK61" i="6" s="1"/>
  <c r="BK43" i="8"/>
  <c r="BJ44" i="8"/>
  <c r="BJ48" i="8" s="1"/>
  <c r="BM51" i="6"/>
  <c r="BL37" i="6"/>
  <c r="BL20" i="7"/>
  <c r="BL21" i="7" s="1"/>
  <c r="BN13" i="12"/>
  <c r="BN18" i="12" s="1"/>
  <c r="BN115" i="8"/>
  <c r="BN135" i="8" s="1"/>
  <c r="BQ40" i="2"/>
  <c r="BN36" i="8"/>
  <c r="BN39" i="13"/>
  <c r="BN36" i="9"/>
  <c r="BN15" i="7"/>
  <c r="BP34" i="2"/>
  <c r="BQ32" i="2"/>
  <c r="BN14" i="6"/>
  <c r="BO8" i="4"/>
  <c r="BM8" i="1"/>
  <c r="BO12" i="5"/>
  <c r="BO12" i="6" s="1"/>
  <c r="BO35" i="9"/>
  <c r="BR29" i="2"/>
  <c r="BQ19" i="2"/>
  <c r="BQ7" i="2" s="1"/>
  <c r="BK101" i="8"/>
  <c r="BK43" i="13"/>
  <c r="BK41" i="7"/>
  <c r="BK38" i="6"/>
  <c r="BN93" i="8"/>
  <c r="BQ47" i="2"/>
  <c r="BM40" i="8"/>
  <c r="BM56" i="8"/>
  <c r="BM58" i="8" s="1"/>
  <c r="BM39" i="8"/>
  <c r="BM55" i="8"/>
  <c r="BM39" i="7"/>
  <c r="BM19" i="7"/>
  <c r="BN15" i="1"/>
  <c r="BP57" i="2"/>
  <c r="BP8" i="2" s="1"/>
  <c r="BP56" i="2"/>
  <c r="BQ53" i="2"/>
  <c r="BL56" i="6"/>
  <c r="BL58" i="6"/>
  <c r="BL57" i="6"/>
  <c r="BL55" i="6"/>
  <c r="BL40" i="7"/>
  <c r="BL54" i="6"/>
  <c r="BJ25" i="7"/>
  <c r="BJ39" i="6"/>
  <c r="BN7" i="8"/>
  <c r="BN7" i="15"/>
  <c r="BN7" i="6"/>
  <c r="BN7" i="1"/>
  <c r="BN7" i="13"/>
  <c r="BN7" i="5"/>
  <c r="BP7" i="4"/>
  <c r="BN7" i="10"/>
  <c r="BN7" i="9"/>
  <c r="BN7" i="14"/>
  <c r="BN7" i="7"/>
  <c r="BN7" i="12"/>
  <c r="BI10" i="10"/>
  <c r="BI13" i="10" s="1"/>
  <c r="BI10" i="11" s="1"/>
  <c r="BI63" i="6"/>
  <c r="BI13" i="13"/>
  <c r="BI70" i="6"/>
  <c r="BH14" i="10"/>
  <c r="BL41" i="13"/>
  <c r="BL41" i="8"/>
  <c r="BL99" i="8"/>
  <c r="BL134" i="8" s="1"/>
  <c r="BL136" i="8" s="1"/>
  <c r="BL29" i="7"/>
  <c r="BL45" i="9"/>
  <c r="BL16" i="13"/>
  <c r="BN47" i="6"/>
  <c r="BN45" i="6"/>
  <c r="BN46" i="6"/>
  <c r="BN12" i="7"/>
  <c r="BN44" i="6"/>
  <c r="BN50" i="6"/>
  <c r="BN48" i="6"/>
  <c r="BN24" i="6"/>
  <c r="BN49" i="6"/>
  <c r="BJ14" i="13"/>
  <c r="BJ11" i="10"/>
  <c r="BJ79" i="6"/>
  <c r="BJ26" i="7"/>
  <c r="BP43" i="2"/>
  <c r="BR6" i="14"/>
  <c r="BR6" i="15"/>
  <c r="BR6" i="12"/>
  <c r="BR6" i="10"/>
  <c r="BR6" i="13"/>
  <c r="BR6" i="9"/>
  <c r="BR6" i="8"/>
  <c r="BR6" i="7"/>
  <c r="BR6" i="6"/>
  <c r="BR6" i="5"/>
  <c r="BR35" i="8"/>
  <c r="BS5" i="15"/>
  <c r="BS5" i="14"/>
  <c r="BS5" i="13"/>
  <c r="BS5" i="12"/>
  <c r="BS5" i="10"/>
  <c r="BS5" i="9"/>
  <c r="BS5" i="8"/>
  <c r="BS5" i="7"/>
  <c r="BS5" i="6"/>
  <c r="BS5" i="5"/>
  <c r="AN30" i="7"/>
  <c r="AN18" i="13"/>
  <c r="AQ74" i="6"/>
  <c r="AQ87" i="6" s="1"/>
  <c r="AR69" i="6"/>
  <c r="AO80" i="6"/>
  <c r="AO81" i="6" s="1"/>
  <c r="AO29" i="14" s="1"/>
  <c r="BW15" i="5"/>
  <c r="BW17" i="6" s="1"/>
  <c r="BT6" i="4"/>
  <c r="BR6" i="1"/>
  <c r="BU5" i="4"/>
  <c r="BS5" i="1"/>
  <c r="BS18" i="1" s="1"/>
  <c r="BS58" i="1" s="1"/>
  <c r="BU52" i="2"/>
  <c r="BS14" i="1" s="1"/>
  <c r="BS24" i="1" s="1"/>
  <c r="BS35" i="1" s="1"/>
  <c r="BU59" i="2"/>
  <c r="BU54" i="2"/>
  <c r="BS16" i="1" s="1"/>
  <c r="BS56" i="1" s="1"/>
  <c r="BU60" i="2"/>
  <c r="BS55" i="1" s="1"/>
  <c r="BU46" i="2"/>
  <c r="BU48" i="2"/>
  <c r="BU41" i="2"/>
  <c r="BS37" i="8" s="1"/>
  <c r="BU25" i="2"/>
  <c r="BU28" i="2"/>
  <c r="BU18" i="2"/>
  <c r="BU6" i="2" s="1"/>
  <c r="BU30" i="2"/>
  <c r="BS13" i="7" s="1"/>
  <c r="BU39" i="2"/>
  <c r="BU23" i="2"/>
  <c r="BV5" i="2"/>
  <c r="BT24" i="2"/>
  <c r="BR11" i="5" s="1"/>
  <c r="BR11" i="6" s="1"/>
  <c r="BR11" i="7" s="1"/>
  <c r="BS6" i="11" l="1"/>
  <c r="BS6" i="18"/>
  <c r="BT5" i="11"/>
  <c r="BT5" i="18"/>
  <c r="BT57" i="18" s="1"/>
  <c r="BO7" i="11"/>
  <c r="BO7" i="18"/>
  <c r="BL43" i="8"/>
  <c r="BK44" i="8"/>
  <c r="BK48" i="8" s="1"/>
  <c r="BK14" i="13"/>
  <c r="BK26" i="7"/>
  <c r="BK11" i="10"/>
  <c r="BK79" i="6"/>
  <c r="BL38" i="6"/>
  <c r="BL41" i="7"/>
  <c r="BO50" i="6"/>
  <c r="BO44" i="6"/>
  <c r="BO46" i="6"/>
  <c r="BO12" i="7"/>
  <c r="BO45" i="6"/>
  <c r="BO24" i="6"/>
  <c r="BO49" i="6"/>
  <c r="BO48" i="6"/>
  <c r="BO47" i="6"/>
  <c r="BM20" i="7"/>
  <c r="BM21" i="7" s="1"/>
  <c r="BM37" i="6"/>
  <c r="BN39" i="8"/>
  <c r="BN56" i="8"/>
  <c r="BN58" i="8" s="1"/>
  <c r="BN55" i="8"/>
  <c r="BN40" i="8"/>
  <c r="BK25" i="7"/>
  <c r="BK39" i="6"/>
  <c r="BO39" i="13"/>
  <c r="BR40" i="2"/>
  <c r="BO13" i="12"/>
  <c r="BO18" i="12" s="1"/>
  <c r="BO36" i="8"/>
  <c r="BO115" i="8"/>
  <c r="BO135" i="8" s="1"/>
  <c r="BJ10" i="10"/>
  <c r="BJ13" i="10" s="1"/>
  <c r="BJ10" i="11" s="1"/>
  <c r="BJ13" i="13"/>
  <c r="BJ63" i="6"/>
  <c r="BJ70" i="6"/>
  <c r="BO15" i="1"/>
  <c r="BQ56" i="2"/>
  <c r="BQ57" i="2"/>
  <c r="BQ8" i="2" s="1"/>
  <c r="BR53" i="2"/>
  <c r="BR32" i="2"/>
  <c r="BO36" i="9"/>
  <c r="BQ34" i="2"/>
  <c r="BO15" i="7"/>
  <c r="BO14" i="6"/>
  <c r="BL101" i="8"/>
  <c r="BL43" i="13"/>
  <c r="BQ43" i="2"/>
  <c r="BM99" i="8"/>
  <c r="BM134" i="8" s="1"/>
  <c r="BM136" i="8" s="1"/>
  <c r="BM41" i="13"/>
  <c r="BM41" i="8"/>
  <c r="BN51" i="6"/>
  <c r="BM42" i="13"/>
  <c r="BM100" i="8"/>
  <c r="BO7" i="10"/>
  <c r="BO7" i="1"/>
  <c r="BO7" i="9"/>
  <c r="BQ7" i="4"/>
  <c r="BO7" i="8"/>
  <c r="BO7" i="12"/>
  <c r="BO7" i="15"/>
  <c r="BO7" i="7"/>
  <c r="BO7" i="13"/>
  <c r="BO7" i="5"/>
  <c r="BO7" i="6"/>
  <c r="BO7" i="14"/>
  <c r="BN34" i="5"/>
  <c r="BN36" i="5" s="1"/>
  <c r="BN38" i="5" s="1"/>
  <c r="BN11" i="11" s="1"/>
  <c r="BN27" i="6"/>
  <c r="BN28" i="6" s="1"/>
  <c r="BN30" i="6" s="1"/>
  <c r="BM56" i="6"/>
  <c r="BM55" i="6"/>
  <c r="BM58" i="6"/>
  <c r="BM57" i="6"/>
  <c r="BM40" i="7"/>
  <c r="BM54" i="6"/>
  <c r="BN19" i="7"/>
  <c r="BN39" i="7"/>
  <c r="BI14" i="10"/>
  <c r="BL59" i="6"/>
  <c r="BL61" i="6" s="1"/>
  <c r="BP8" i="4"/>
  <c r="BN8" i="1"/>
  <c r="BO93" i="8"/>
  <c r="BR47" i="2"/>
  <c r="BP12" i="5"/>
  <c r="BP12" i="6" s="1"/>
  <c r="BP35" i="9"/>
  <c r="BS29" i="2"/>
  <c r="BR19" i="2"/>
  <c r="BR7" i="2" s="1"/>
  <c r="BM29" i="7"/>
  <c r="BM45" i="9"/>
  <c r="BM16" i="13"/>
  <c r="BS35" i="8"/>
  <c r="BS6" i="15"/>
  <c r="BS6" i="13"/>
  <c r="BS6" i="14"/>
  <c r="BS6" i="12"/>
  <c r="BS6" i="10"/>
  <c r="BS6" i="9"/>
  <c r="BS6" i="8"/>
  <c r="BS6" i="7"/>
  <c r="BS6" i="6"/>
  <c r="BS6" i="5"/>
  <c r="BT5" i="14"/>
  <c r="BT5" i="15"/>
  <c r="BT5" i="13"/>
  <c r="BT5" i="12"/>
  <c r="BT5" i="10"/>
  <c r="BT5" i="9"/>
  <c r="BT5" i="8"/>
  <c r="BT5" i="7"/>
  <c r="BT5" i="5"/>
  <c r="BT5" i="6"/>
  <c r="BS61" i="1"/>
  <c r="BS70" i="1" s="1"/>
  <c r="AP78" i="6"/>
  <c r="AO83" i="6"/>
  <c r="AO88" i="6" s="1"/>
  <c r="AO89" i="6" s="1"/>
  <c r="AO13" i="11" s="1"/>
  <c r="AR71" i="6"/>
  <c r="AR72" i="6" s="1"/>
  <c r="AR18" i="14" s="1"/>
  <c r="BX15" i="5"/>
  <c r="BX17" i="6" s="1"/>
  <c r="BV5" i="4"/>
  <c r="BT5" i="1"/>
  <c r="BT18" i="1" s="1"/>
  <c r="BT58" i="1" s="1"/>
  <c r="BU6" i="4"/>
  <c r="BS6" i="1"/>
  <c r="BU24" i="2"/>
  <c r="BS11" i="5" s="1"/>
  <c r="BS11" i="6" s="1"/>
  <c r="BS11" i="7" s="1"/>
  <c r="BV59" i="2"/>
  <c r="BV60" i="2"/>
  <c r="BT55" i="1" s="1"/>
  <c r="BV46" i="2"/>
  <c r="BV48" i="2"/>
  <c r="BV52" i="2"/>
  <c r="BT14" i="1" s="1"/>
  <c r="BT24" i="1" s="1"/>
  <c r="BT35" i="1" s="1"/>
  <c r="BV41" i="2"/>
  <c r="BT37" i="8" s="1"/>
  <c r="BV30" i="2"/>
  <c r="BT13" i="7" s="1"/>
  <c r="BV54" i="2"/>
  <c r="BT16" i="1" s="1"/>
  <c r="BT56" i="1" s="1"/>
  <c r="BV39" i="2"/>
  <c r="BV28" i="2"/>
  <c r="BV18" i="2"/>
  <c r="BV6" i="2" s="1"/>
  <c r="BV25" i="2"/>
  <c r="BW5" i="2"/>
  <c r="BV23" i="2"/>
  <c r="BT6" i="11" l="1"/>
  <c r="BT6" i="18"/>
  <c r="BP7" i="11"/>
  <c r="BP7" i="18"/>
  <c r="BU5" i="11"/>
  <c r="BU5" i="18"/>
  <c r="BU57" i="18" s="1"/>
  <c r="BR43" i="2"/>
  <c r="BP7" i="10"/>
  <c r="BP7" i="8"/>
  <c r="BP7" i="5"/>
  <c r="BP7" i="9"/>
  <c r="BP7" i="14"/>
  <c r="BP7" i="6"/>
  <c r="BP7" i="15"/>
  <c r="BP7" i="12"/>
  <c r="BP7" i="13"/>
  <c r="BR7" i="4"/>
  <c r="BP7" i="7"/>
  <c r="BP7" i="1"/>
  <c r="BO39" i="8"/>
  <c r="BO55" i="8"/>
  <c r="BO40" i="8"/>
  <c r="BO56" i="8"/>
  <c r="BO58" i="8" s="1"/>
  <c r="BQ35" i="9"/>
  <c r="BQ12" i="5"/>
  <c r="BQ12" i="6" s="1"/>
  <c r="BS19" i="2"/>
  <c r="BS7" i="2" s="1"/>
  <c r="BT29" i="2"/>
  <c r="BP48" i="6"/>
  <c r="BP44" i="6"/>
  <c r="BP47" i="6"/>
  <c r="BP12" i="7"/>
  <c r="BP49" i="6"/>
  <c r="BP45" i="6"/>
  <c r="BP46" i="6"/>
  <c r="BP24" i="6"/>
  <c r="BP50" i="6"/>
  <c r="BN20" i="7"/>
  <c r="BN21" i="7" s="1"/>
  <c r="BN37" i="6"/>
  <c r="BN56" i="6"/>
  <c r="BN57" i="6"/>
  <c r="BN58" i="6"/>
  <c r="BN54" i="6"/>
  <c r="BN55" i="6"/>
  <c r="BN40" i="7"/>
  <c r="BN99" i="8"/>
  <c r="BN134" i="8" s="1"/>
  <c r="BN136" i="8" s="1"/>
  <c r="BN41" i="13"/>
  <c r="BN41" i="8"/>
  <c r="BO19" i="7"/>
  <c r="BO39" i="7"/>
  <c r="BL11" i="10"/>
  <c r="BL26" i="7"/>
  <c r="BL79" i="6"/>
  <c r="BL14" i="13"/>
  <c r="BL39" i="6"/>
  <c r="BL25" i="7"/>
  <c r="BQ8" i="4"/>
  <c r="BO8" i="1"/>
  <c r="BP93" i="8"/>
  <c r="BS47" i="2"/>
  <c r="BN45" i="9"/>
  <c r="BN16" i="13"/>
  <c r="BN29" i="7"/>
  <c r="BP115" i="8"/>
  <c r="BP135" i="8" s="1"/>
  <c r="BP39" i="13"/>
  <c r="BP13" i="12"/>
  <c r="BP18" i="12" s="1"/>
  <c r="BP36" i="8"/>
  <c r="BS40" i="2"/>
  <c r="BN42" i="13"/>
  <c r="BN100" i="8"/>
  <c r="BM59" i="6"/>
  <c r="BM61" i="6" s="1"/>
  <c r="BM43" i="13"/>
  <c r="BM101" i="8"/>
  <c r="BO27" i="6"/>
  <c r="BO28" i="6" s="1"/>
  <c r="BO30" i="6" s="1"/>
  <c r="BO34" i="5"/>
  <c r="BO36" i="5" s="1"/>
  <c r="BO38" i="5" s="1"/>
  <c r="BO11" i="11" s="1"/>
  <c r="BO51" i="6"/>
  <c r="BM38" i="6"/>
  <c r="BM41" i="7"/>
  <c r="BK70" i="6"/>
  <c r="BK13" i="13"/>
  <c r="BK63" i="6"/>
  <c r="BK10" i="10"/>
  <c r="BK13" i="10" s="1"/>
  <c r="BK10" i="11" s="1"/>
  <c r="BP15" i="1"/>
  <c r="BS53" i="2"/>
  <c r="BR56" i="2"/>
  <c r="BR57" i="2"/>
  <c r="BR8" i="2" s="1"/>
  <c r="BS32" i="2"/>
  <c r="BP14" i="6"/>
  <c r="BP36" i="9"/>
  <c r="BP15" i="7"/>
  <c r="BR34" i="2"/>
  <c r="BJ14" i="10"/>
  <c r="BM43" i="8"/>
  <c r="BL44" i="8"/>
  <c r="BL48" i="8" s="1"/>
  <c r="BT6" i="15"/>
  <c r="BT6" i="13"/>
  <c r="BT6" i="14"/>
  <c r="BT6" i="10"/>
  <c r="BT6" i="12"/>
  <c r="BT6" i="9"/>
  <c r="BT6" i="8"/>
  <c r="BT6" i="7"/>
  <c r="BT6" i="6"/>
  <c r="BT6" i="5"/>
  <c r="BU5" i="14"/>
  <c r="BU5" i="15"/>
  <c r="BU5" i="13"/>
  <c r="BU5" i="12"/>
  <c r="BU5" i="10"/>
  <c r="BU5" i="9"/>
  <c r="BU5" i="8"/>
  <c r="BU5" i="6"/>
  <c r="BU5" i="5"/>
  <c r="BU5" i="7"/>
  <c r="BT35" i="8"/>
  <c r="BT61" i="1"/>
  <c r="BT70" i="1" s="1"/>
  <c r="AO30" i="7"/>
  <c r="AO18" i="13"/>
  <c r="AR74" i="6"/>
  <c r="AR87" i="6" s="1"/>
  <c r="AS69" i="6"/>
  <c r="AP80" i="6"/>
  <c r="AP81" i="6" s="1"/>
  <c r="AP29" i="14" s="1"/>
  <c r="BY15" i="5"/>
  <c r="BY17" i="6" s="1"/>
  <c r="BW5" i="4"/>
  <c r="BU5" i="1"/>
  <c r="BU18" i="1" s="1"/>
  <c r="BU58" i="1" s="1"/>
  <c r="BV6" i="4"/>
  <c r="BT6" i="1"/>
  <c r="BV24" i="2"/>
  <c r="BT11" i="5" s="1"/>
  <c r="BT11" i="6" s="1"/>
  <c r="BT11" i="7" s="1"/>
  <c r="BW59" i="2"/>
  <c r="BW54" i="2"/>
  <c r="BU16" i="1" s="1"/>
  <c r="BU56" i="1" s="1"/>
  <c r="BW60" i="2"/>
  <c r="BU55" i="1" s="1"/>
  <c r="BW48" i="2"/>
  <c r="BW52" i="2"/>
  <c r="BU14" i="1" s="1"/>
  <c r="BU24" i="1" s="1"/>
  <c r="BU35" i="1" s="1"/>
  <c r="BW41" i="2"/>
  <c r="BU37" i="8" s="1"/>
  <c r="BW30" i="2"/>
  <c r="BU13" i="7" s="1"/>
  <c r="BW46" i="2"/>
  <c r="BW39" i="2"/>
  <c r="BW23" i="2"/>
  <c r="BW28" i="2"/>
  <c r="BX5" i="2"/>
  <c r="BW25" i="2"/>
  <c r="BW18" i="2"/>
  <c r="BW6" i="2" s="1"/>
  <c r="BU6" i="11" l="1"/>
  <c r="BU6" i="18"/>
  <c r="BQ7" i="11"/>
  <c r="BQ7" i="18"/>
  <c r="BV5" i="18"/>
  <c r="BV57" i="18" s="1"/>
  <c r="BV5" i="11"/>
  <c r="BP51" i="6"/>
  <c r="BN59" i="6"/>
  <c r="BN61" i="6" s="1"/>
  <c r="BN79" i="6" s="1"/>
  <c r="BO100" i="8"/>
  <c r="BO42" i="13"/>
  <c r="BK14" i="10"/>
  <c r="BO29" i="7"/>
  <c r="BO16" i="13"/>
  <c r="BO45" i="9"/>
  <c r="BQ36" i="8"/>
  <c r="BQ115" i="8"/>
  <c r="BQ135" i="8" s="1"/>
  <c r="BT40" i="2"/>
  <c r="BQ13" i="12"/>
  <c r="BQ18" i="12" s="1"/>
  <c r="BQ39" i="13"/>
  <c r="BN38" i="6"/>
  <c r="BN41" i="7"/>
  <c r="BO40" i="7"/>
  <c r="BO56" i="6"/>
  <c r="BO57" i="6"/>
  <c r="BO58" i="6"/>
  <c r="BO54" i="6"/>
  <c r="BO55" i="6"/>
  <c r="BP56" i="8"/>
  <c r="BP58" i="8" s="1"/>
  <c r="BP55" i="8"/>
  <c r="BP40" i="8"/>
  <c r="BP39" i="8"/>
  <c r="BQ93" i="8"/>
  <c r="BT47" i="2"/>
  <c r="BR35" i="9"/>
  <c r="BR12" i="5"/>
  <c r="BR12" i="6" s="1"/>
  <c r="BU29" i="2"/>
  <c r="BT19" i="2"/>
  <c r="BT7" i="2" s="1"/>
  <c r="BO41" i="13"/>
  <c r="BO41" i="8"/>
  <c r="BO99" i="8"/>
  <c r="BO134" i="8" s="1"/>
  <c r="BO136" i="8" s="1"/>
  <c r="BQ7" i="14"/>
  <c r="BQ7" i="6"/>
  <c r="BQ7" i="1"/>
  <c r="BQ7" i="15"/>
  <c r="BQ7" i="5"/>
  <c r="BQ7" i="12"/>
  <c r="BQ7" i="8"/>
  <c r="BQ7" i="13"/>
  <c r="BQ7" i="9"/>
  <c r="BQ7" i="7"/>
  <c r="BQ7" i="10"/>
  <c r="BS7" i="4"/>
  <c r="BQ15" i="7"/>
  <c r="BQ14" i="6"/>
  <c r="BT32" i="2"/>
  <c r="BQ36" i="9"/>
  <c r="BS34" i="2"/>
  <c r="BO37" i="6"/>
  <c r="BO20" i="7"/>
  <c r="BO21" i="7" s="1"/>
  <c r="BQ44" i="6"/>
  <c r="BQ45" i="6"/>
  <c r="BQ50" i="6"/>
  <c r="BQ49" i="6"/>
  <c r="BQ48" i="6"/>
  <c r="BQ24" i="6"/>
  <c r="BQ46" i="6"/>
  <c r="BQ47" i="6"/>
  <c r="BQ12" i="7"/>
  <c r="BM44" i="8"/>
  <c r="BM48" i="8" s="1"/>
  <c r="BN43" i="8"/>
  <c r="BR8" i="4"/>
  <c r="BP8" i="1"/>
  <c r="BM25" i="7"/>
  <c r="BM39" i="6"/>
  <c r="BM26" i="7"/>
  <c r="BM14" i="13"/>
  <c r="BM79" i="6"/>
  <c r="BM11" i="10"/>
  <c r="BP27" i="6"/>
  <c r="BP28" i="6" s="1"/>
  <c r="BP30" i="6" s="1"/>
  <c r="BP34" i="5"/>
  <c r="BP36" i="5" s="1"/>
  <c r="BP38" i="5" s="1"/>
  <c r="BP11" i="11" s="1"/>
  <c r="BN43" i="13"/>
  <c r="BN101" i="8"/>
  <c r="BP19" i="7"/>
  <c r="BP39" i="7"/>
  <c r="BS43" i="2"/>
  <c r="BQ15" i="1"/>
  <c r="BS56" i="2"/>
  <c r="BS57" i="2"/>
  <c r="BS8" i="2" s="1"/>
  <c r="BT53" i="2"/>
  <c r="BL70" i="6"/>
  <c r="BL13" i="13"/>
  <c r="BL10" i="10"/>
  <c r="BL13" i="10" s="1"/>
  <c r="BL10" i="11" s="1"/>
  <c r="BL63" i="6"/>
  <c r="BU35" i="8"/>
  <c r="BU6" i="14"/>
  <c r="BU6" i="13"/>
  <c r="BU6" i="15"/>
  <c r="BU6" i="12"/>
  <c r="BU6" i="9"/>
  <c r="BU6" i="10"/>
  <c r="BU6" i="8"/>
  <c r="BU6" i="6"/>
  <c r="BU6" i="5"/>
  <c r="BU6" i="7"/>
  <c r="BV5" i="15"/>
  <c r="BV5" i="14"/>
  <c r="BV5" i="13"/>
  <c r="BV5" i="12"/>
  <c r="BV5" i="10"/>
  <c r="BV5" i="9"/>
  <c r="BV5" i="8"/>
  <c r="BV5" i="7"/>
  <c r="BV5" i="6"/>
  <c r="BV5" i="5"/>
  <c r="BU61" i="1"/>
  <c r="BU70" i="1" s="1"/>
  <c r="AP83" i="6"/>
  <c r="AP88" i="6" s="1"/>
  <c r="AP89" i="6" s="1"/>
  <c r="AP13" i="11" s="1"/>
  <c r="AQ78" i="6"/>
  <c r="AS71" i="6"/>
  <c r="AS72" i="6" s="1"/>
  <c r="AS18" i="14" s="1"/>
  <c r="BZ15" i="5"/>
  <c r="BZ17" i="6" s="1"/>
  <c r="BW6" i="4"/>
  <c r="BU6" i="1"/>
  <c r="BX5" i="4"/>
  <c r="BV5" i="1"/>
  <c r="BV18" i="1" s="1"/>
  <c r="BV58" i="1" s="1"/>
  <c r="BW24" i="2"/>
  <c r="BU11" i="5" s="1"/>
  <c r="BU11" i="6" s="1"/>
  <c r="BU11" i="7" s="1"/>
  <c r="BX59" i="2"/>
  <c r="BX54" i="2"/>
  <c r="BV16" i="1" s="1"/>
  <c r="BV56" i="1" s="1"/>
  <c r="BX60" i="2"/>
  <c r="BV55" i="1" s="1"/>
  <c r="BX48" i="2"/>
  <c r="BX52" i="2"/>
  <c r="BV14" i="1" s="1"/>
  <c r="BV24" i="1" s="1"/>
  <c r="BV35" i="1" s="1"/>
  <c r="BX46" i="2"/>
  <c r="BX39" i="2"/>
  <c r="BX30" i="2"/>
  <c r="BV13" i="7" s="1"/>
  <c r="BX23" i="2"/>
  <c r="BX28" i="2"/>
  <c r="BX18" i="2"/>
  <c r="BX6" i="2" s="1"/>
  <c r="BX41" i="2"/>
  <c r="BV37" i="8" s="1"/>
  <c r="BX25" i="2"/>
  <c r="BY5" i="2"/>
  <c r="BN11" i="10" l="1"/>
  <c r="BR7" i="18"/>
  <c r="BR7" i="11"/>
  <c r="BW5" i="11"/>
  <c r="BW5" i="18"/>
  <c r="BW57" i="18" s="1"/>
  <c r="BV6" i="11"/>
  <c r="BV6" i="18"/>
  <c r="BN26" i="7"/>
  <c r="BT43" i="2"/>
  <c r="BN14" i="13"/>
  <c r="BO59" i="6"/>
  <c r="BO61" i="6" s="1"/>
  <c r="BO14" i="13" s="1"/>
  <c r="BP45" i="9"/>
  <c r="BP29" i="7"/>
  <c r="BP16" i="13"/>
  <c r="BR7" i="15"/>
  <c r="BR7" i="7"/>
  <c r="BT7" i="4"/>
  <c r="BR7" i="12"/>
  <c r="BR7" i="5"/>
  <c r="BR7" i="1"/>
  <c r="BR7" i="13"/>
  <c r="BR7" i="6"/>
  <c r="BR7" i="10"/>
  <c r="BR7" i="8"/>
  <c r="BR7" i="9"/>
  <c r="BR7" i="14"/>
  <c r="BN39" i="6"/>
  <c r="BN25" i="7"/>
  <c r="BP54" i="6"/>
  <c r="BP40" i="7"/>
  <c r="BP57" i="6"/>
  <c r="BP56" i="6"/>
  <c r="BP58" i="6"/>
  <c r="BP55" i="6"/>
  <c r="BR15" i="7"/>
  <c r="BU32" i="2"/>
  <c r="BT34" i="2"/>
  <c r="BR14" i="6"/>
  <c r="BR36" i="9"/>
  <c r="BS35" i="9"/>
  <c r="BS12" i="5"/>
  <c r="BS12" i="6" s="1"/>
  <c r="BV29" i="2"/>
  <c r="BU19" i="2"/>
  <c r="BU7" i="2" s="1"/>
  <c r="BO41" i="7"/>
  <c r="BO38" i="6"/>
  <c r="BL14" i="10"/>
  <c r="BO43" i="8"/>
  <c r="BN44" i="8"/>
  <c r="BN48" i="8" s="1"/>
  <c r="BR46" i="6"/>
  <c r="BR49" i="6"/>
  <c r="BR47" i="6"/>
  <c r="BR45" i="6"/>
  <c r="BR50" i="6"/>
  <c r="BR44" i="6"/>
  <c r="BR12" i="7"/>
  <c r="BR48" i="6"/>
  <c r="BR24" i="6"/>
  <c r="BP20" i="7"/>
  <c r="BP21" i="7" s="1"/>
  <c r="BP37" i="6"/>
  <c r="BP42" i="13"/>
  <c r="BP100" i="8"/>
  <c r="BQ19" i="7"/>
  <c r="BQ39" i="7"/>
  <c r="BQ51" i="6"/>
  <c r="BR93" i="8"/>
  <c r="BU47" i="2"/>
  <c r="BR36" i="8"/>
  <c r="BR115" i="8"/>
  <c r="BR135" i="8" s="1"/>
  <c r="BU40" i="2"/>
  <c r="BU43" i="2" s="1"/>
  <c r="BR13" i="12"/>
  <c r="BR18" i="12" s="1"/>
  <c r="BR39" i="13"/>
  <c r="BQ27" i="6"/>
  <c r="BQ28" i="6" s="1"/>
  <c r="BQ30" i="6" s="1"/>
  <c r="BQ34" i="5"/>
  <c r="BQ36" i="5" s="1"/>
  <c r="BQ38" i="5" s="1"/>
  <c r="BQ11" i="11" s="1"/>
  <c r="BR15" i="1"/>
  <c r="BU53" i="2"/>
  <c r="BT57" i="2"/>
  <c r="BT8" i="2" s="1"/>
  <c r="BT56" i="2"/>
  <c r="BQ8" i="1"/>
  <c r="BS8" i="4"/>
  <c r="BM10" i="10"/>
  <c r="BM13" i="10" s="1"/>
  <c r="BM10" i="11" s="1"/>
  <c r="BM63" i="6"/>
  <c r="BM13" i="13"/>
  <c r="BM70" i="6"/>
  <c r="BO101" i="8"/>
  <c r="BO43" i="13"/>
  <c r="BP41" i="13"/>
  <c r="BP99" i="8"/>
  <c r="BP134" i="8" s="1"/>
  <c r="BP136" i="8" s="1"/>
  <c r="BP41" i="8"/>
  <c r="BQ40" i="8"/>
  <c r="BQ55" i="8"/>
  <c r="BQ56" i="8"/>
  <c r="BQ58" i="8" s="1"/>
  <c r="BQ39" i="8"/>
  <c r="BW5" i="15"/>
  <c r="BW5" i="13"/>
  <c r="BW5" i="14"/>
  <c r="BW5" i="12"/>
  <c r="BW5" i="10"/>
  <c r="BW5" i="9"/>
  <c r="BW5" i="8"/>
  <c r="BW5" i="7"/>
  <c r="BW5" i="5"/>
  <c r="BW5" i="6"/>
  <c r="BV6" i="14"/>
  <c r="BV6" i="13"/>
  <c r="BV6" i="15"/>
  <c r="BV6" i="12"/>
  <c r="BV6" i="9"/>
  <c r="BV6" i="10"/>
  <c r="BV6" i="8"/>
  <c r="BV6" i="7"/>
  <c r="BV6" i="5"/>
  <c r="BV6" i="6"/>
  <c r="BV35" i="8"/>
  <c r="BV61" i="1"/>
  <c r="BV70" i="1" s="1"/>
  <c r="AP30" i="7"/>
  <c r="AP18" i="13"/>
  <c r="AS74" i="6"/>
  <c r="AS87" i="6" s="1"/>
  <c r="AT69" i="6"/>
  <c r="AQ80" i="6"/>
  <c r="AQ81" i="6" s="1"/>
  <c r="AQ29" i="14" s="1"/>
  <c r="CA15" i="5"/>
  <c r="CA17" i="6" s="1"/>
  <c r="BY5" i="4"/>
  <c r="BW5" i="1"/>
  <c r="BW18" i="1" s="1"/>
  <c r="BW58" i="1" s="1"/>
  <c r="BX6" i="4"/>
  <c r="BV6" i="1"/>
  <c r="BX24" i="2"/>
  <c r="BV11" i="5" s="1"/>
  <c r="BV11" i="6" s="1"/>
  <c r="BV11" i="7" s="1"/>
  <c r="BY60" i="2"/>
  <c r="BW55" i="1" s="1"/>
  <c r="BY59" i="2"/>
  <c r="BY48" i="2"/>
  <c r="BY52" i="2"/>
  <c r="BW14" i="1" s="1"/>
  <c r="BW24" i="1" s="1"/>
  <c r="BW35" i="1" s="1"/>
  <c r="BY54" i="2"/>
  <c r="BW16" i="1" s="1"/>
  <c r="BW56" i="1" s="1"/>
  <c r="BY46" i="2"/>
  <c r="BY39" i="2"/>
  <c r="BY41" i="2"/>
  <c r="BW37" i="8" s="1"/>
  <c r="BY30" i="2"/>
  <c r="BW13" i="7" s="1"/>
  <c r="BY23" i="2"/>
  <c r="BY28" i="2"/>
  <c r="BY18" i="2"/>
  <c r="BY6" i="2" s="1"/>
  <c r="BY25" i="2"/>
  <c r="BZ5" i="2"/>
  <c r="BS7" i="18" l="1"/>
  <c r="BS7" i="11"/>
  <c r="BX5" i="11"/>
  <c r="BX5" i="18"/>
  <c r="BX57" i="18" s="1"/>
  <c r="BW6" i="11"/>
  <c r="BW6" i="18"/>
  <c r="BO11" i="10"/>
  <c r="BO26" i="7"/>
  <c r="BO79" i="6"/>
  <c r="BR51" i="6"/>
  <c r="BQ41" i="13"/>
  <c r="BQ99" i="8"/>
  <c r="BQ134" i="8" s="1"/>
  <c r="BQ136" i="8" s="1"/>
  <c r="BQ41" i="8"/>
  <c r="BS115" i="8"/>
  <c r="BS135" i="8" s="1"/>
  <c r="BS36" i="8"/>
  <c r="BV40" i="2"/>
  <c r="BS39" i="13"/>
  <c r="BS13" i="12"/>
  <c r="BS18" i="12" s="1"/>
  <c r="BR8" i="1"/>
  <c r="BT8" i="4"/>
  <c r="BP38" i="6"/>
  <c r="BP41" i="7"/>
  <c r="BS15" i="1"/>
  <c r="BV53" i="2"/>
  <c r="BU57" i="2"/>
  <c r="BU8" i="2" s="1"/>
  <c r="BU56" i="2"/>
  <c r="BR56" i="8"/>
  <c r="BR58" i="8" s="1"/>
  <c r="BR39" i="8"/>
  <c r="BR55" i="8"/>
  <c r="BR40" i="8"/>
  <c r="BR27" i="6"/>
  <c r="BR28" i="6" s="1"/>
  <c r="BR30" i="6" s="1"/>
  <c r="BR34" i="5"/>
  <c r="BR36" i="5" s="1"/>
  <c r="BR38" i="5" s="1"/>
  <c r="BR11" i="11" s="1"/>
  <c r="BP59" i="6"/>
  <c r="BP61" i="6" s="1"/>
  <c r="BQ42" i="13"/>
  <c r="BQ100" i="8"/>
  <c r="BS93" i="8"/>
  <c r="BV47" i="2"/>
  <c r="BO25" i="7"/>
  <c r="BO39" i="6"/>
  <c r="BS36" i="9"/>
  <c r="BS15" i="7"/>
  <c r="BU34" i="2"/>
  <c r="BV32" i="2"/>
  <c r="BS14" i="6"/>
  <c r="BP101" i="8"/>
  <c r="BP43" i="13"/>
  <c r="BM14" i="10"/>
  <c r="BQ45" i="9"/>
  <c r="BQ16" i="13"/>
  <c r="BQ29" i="7"/>
  <c r="BS7" i="14"/>
  <c r="BS7" i="5"/>
  <c r="BS7" i="13"/>
  <c r="BS7" i="7"/>
  <c r="BS7" i="12"/>
  <c r="BS7" i="10"/>
  <c r="BU7" i="4"/>
  <c r="BS7" i="6"/>
  <c r="BS7" i="9"/>
  <c r="BS7" i="1"/>
  <c r="BS7" i="8"/>
  <c r="BS7" i="15"/>
  <c r="BQ40" i="7"/>
  <c r="BQ57" i="6"/>
  <c r="BQ55" i="6"/>
  <c r="BQ56" i="6"/>
  <c r="BQ58" i="6"/>
  <c r="BQ54" i="6"/>
  <c r="BT35" i="9"/>
  <c r="BT12" i="5"/>
  <c r="BT12" i="6" s="1"/>
  <c r="BV19" i="2"/>
  <c r="BV7" i="2" s="1"/>
  <c r="BW29" i="2"/>
  <c r="BN63" i="6"/>
  <c r="BN70" i="6"/>
  <c r="BN10" i="10"/>
  <c r="BN13" i="10" s="1"/>
  <c r="BN10" i="11" s="1"/>
  <c r="BN13" i="13"/>
  <c r="BW61" i="1"/>
  <c r="BW70" i="1" s="1"/>
  <c r="BQ37" i="6"/>
  <c r="BQ20" i="7"/>
  <c r="BQ21" i="7" s="1"/>
  <c r="BR19" i="7"/>
  <c r="BR39" i="7"/>
  <c r="BP43" i="8"/>
  <c r="BO44" i="8"/>
  <c r="BO48" i="8" s="1"/>
  <c r="BS48" i="6"/>
  <c r="BS49" i="6"/>
  <c r="BS50" i="6"/>
  <c r="BS46" i="6"/>
  <c r="BS47" i="6"/>
  <c r="BS44" i="6"/>
  <c r="BS12" i="7"/>
  <c r="BS24" i="6"/>
  <c r="BS45" i="6"/>
  <c r="BW35" i="8"/>
  <c r="BX5" i="13"/>
  <c r="BX5" i="15"/>
  <c r="BX5" i="14"/>
  <c r="BX5" i="12"/>
  <c r="BX5" i="9"/>
  <c r="BX5" i="10"/>
  <c r="BX5" i="8"/>
  <c r="BX5" i="6"/>
  <c r="BX5" i="5"/>
  <c r="BX5" i="7"/>
  <c r="BW6" i="14"/>
  <c r="BW6" i="15"/>
  <c r="BW6" i="13"/>
  <c r="BW6" i="12"/>
  <c r="BW6" i="9"/>
  <c r="BW6" i="10"/>
  <c r="BW6" i="8"/>
  <c r="BW6" i="6"/>
  <c r="BW6" i="7"/>
  <c r="BW6" i="5"/>
  <c r="AR78" i="6"/>
  <c r="AQ83" i="6"/>
  <c r="AQ88" i="6" s="1"/>
  <c r="AQ89" i="6" s="1"/>
  <c r="AQ13" i="11" s="1"/>
  <c r="AT71" i="6"/>
  <c r="AT72" i="6" s="1"/>
  <c r="AT18" i="14" s="1"/>
  <c r="CB15" i="5"/>
  <c r="CB17" i="6" s="1"/>
  <c r="BY6" i="4"/>
  <c r="BW6" i="1"/>
  <c r="BZ5" i="4"/>
  <c r="BX5" i="1"/>
  <c r="BX18" i="1" s="1"/>
  <c r="BX58" i="1" s="1"/>
  <c r="BZ60" i="2"/>
  <c r="BX55" i="1" s="1"/>
  <c r="BZ59" i="2"/>
  <c r="BZ54" i="2"/>
  <c r="BX16" i="1" s="1"/>
  <c r="BX56" i="1" s="1"/>
  <c r="BZ52" i="2"/>
  <c r="BX14" i="1" s="1"/>
  <c r="BX24" i="1" s="1"/>
  <c r="BX35" i="1" s="1"/>
  <c r="BZ46" i="2"/>
  <c r="BZ39" i="2"/>
  <c r="BZ48" i="2"/>
  <c r="BZ41" i="2"/>
  <c r="BX37" i="8" s="1"/>
  <c r="BZ30" i="2"/>
  <c r="BX13" i="7" s="1"/>
  <c r="BZ23" i="2"/>
  <c r="BZ25" i="2"/>
  <c r="BZ18" i="2"/>
  <c r="BZ6" i="2" s="1"/>
  <c r="BZ28" i="2"/>
  <c r="CA5" i="2"/>
  <c r="BY24" i="2"/>
  <c r="BW11" i="5" s="1"/>
  <c r="BW11" i="6" s="1"/>
  <c r="BW11" i="7" s="1"/>
  <c r="BY5" i="11" l="1"/>
  <c r="BY5" i="18"/>
  <c r="BY57" i="18" s="1"/>
  <c r="BT7" i="11"/>
  <c r="BT7" i="18"/>
  <c r="BX6" i="18"/>
  <c r="BX6" i="11"/>
  <c r="BQ59" i="6"/>
  <c r="BQ61" i="6" s="1"/>
  <c r="BQ11" i="10" s="1"/>
  <c r="BN14" i="10"/>
  <c r="BO13" i="13"/>
  <c r="BO10" i="10"/>
  <c r="BO13" i="10" s="1"/>
  <c r="BO10" i="11" s="1"/>
  <c r="BO63" i="6"/>
  <c r="BO70" i="6"/>
  <c r="BR40" i="7"/>
  <c r="BR55" i="6"/>
  <c r="BR57" i="6"/>
  <c r="BR56" i="6"/>
  <c r="BR58" i="6"/>
  <c r="BR54" i="6"/>
  <c r="BS55" i="8"/>
  <c r="BS40" i="8"/>
  <c r="BS39" i="8"/>
  <c r="BS56" i="8"/>
  <c r="BS58" i="8" s="1"/>
  <c r="BS19" i="7"/>
  <c r="BS39" i="7"/>
  <c r="BQ43" i="8"/>
  <c r="BP44" i="8"/>
  <c r="BP48" i="8" s="1"/>
  <c r="BR42" i="13"/>
  <c r="BR100" i="8"/>
  <c r="BP25" i="7"/>
  <c r="BP39" i="6"/>
  <c r="BS51" i="6"/>
  <c r="BR37" i="6"/>
  <c r="BR20" i="7"/>
  <c r="BR21" i="7" s="1"/>
  <c r="BT93" i="8"/>
  <c r="BW47" i="2"/>
  <c r="BQ101" i="8"/>
  <c r="BQ43" i="13"/>
  <c r="BR29" i="7"/>
  <c r="BR16" i="13"/>
  <c r="BR45" i="9"/>
  <c r="BU35" i="9"/>
  <c r="BU12" i="5"/>
  <c r="BU12" i="6" s="1"/>
  <c r="BW19" i="2"/>
  <c r="BW7" i="2" s="1"/>
  <c r="BX29" i="2"/>
  <c r="BR41" i="13"/>
  <c r="BR99" i="8"/>
  <c r="BR134" i="8" s="1"/>
  <c r="BR136" i="8" s="1"/>
  <c r="BR41" i="8"/>
  <c r="BT7" i="8"/>
  <c r="BT7" i="1"/>
  <c r="BT7" i="14"/>
  <c r="BT7" i="7"/>
  <c r="BT7" i="15"/>
  <c r="BT7" i="5"/>
  <c r="BT7" i="6"/>
  <c r="BT7" i="10"/>
  <c r="BT7" i="13"/>
  <c r="BV7" i="4"/>
  <c r="BT7" i="12"/>
  <c r="BT7" i="9"/>
  <c r="BQ38" i="6"/>
  <c r="BQ41" i="7"/>
  <c r="BT14" i="6"/>
  <c r="BW32" i="2"/>
  <c r="BT15" i="7"/>
  <c r="BV34" i="2"/>
  <c r="BT36" i="9"/>
  <c r="BT39" i="13"/>
  <c r="BT13" i="12"/>
  <c r="BT18" i="12" s="1"/>
  <c r="BT115" i="8"/>
  <c r="BT135" i="8" s="1"/>
  <c r="BT36" i="8"/>
  <c r="BW40" i="2"/>
  <c r="BT50" i="6"/>
  <c r="BT47" i="6"/>
  <c r="BT45" i="6"/>
  <c r="BT46" i="6"/>
  <c r="BT24" i="6"/>
  <c r="BT49" i="6"/>
  <c r="BT48" i="6"/>
  <c r="BT12" i="7"/>
  <c r="BT44" i="6"/>
  <c r="BS34" i="5"/>
  <c r="BS36" i="5" s="1"/>
  <c r="BS38" i="5" s="1"/>
  <c r="BS11" i="11" s="1"/>
  <c r="BS27" i="6"/>
  <c r="BS28" i="6" s="1"/>
  <c r="BS30" i="6" s="1"/>
  <c r="BT15" i="1"/>
  <c r="BV57" i="2"/>
  <c r="BV8" i="2" s="1"/>
  <c r="BW53" i="2"/>
  <c r="BV56" i="2"/>
  <c r="BP26" i="7"/>
  <c r="BP79" i="6"/>
  <c r="BP11" i="10"/>
  <c r="BP14" i="13"/>
  <c r="BU8" i="4"/>
  <c r="BS8" i="1"/>
  <c r="BV43" i="2"/>
  <c r="BY5" i="14"/>
  <c r="BY5" i="13"/>
  <c r="BY5" i="15"/>
  <c r="BY5" i="12"/>
  <c r="BY5" i="9"/>
  <c r="BY5" i="10"/>
  <c r="BY5" i="8"/>
  <c r="BY5" i="6"/>
  <c r="BY5" i="7"/>
  <c r="BY5" i="5"/>
  <c r="BX35" i="8"/>
  <c r="BX6" i="15"/>
  <c r="BX6" i="14"/>
  <c r="BX6" i="12"/>
  <c r="BX6" i="13"/>
  <c r="BX6" i="10"/>
  <c r="BX6" i="9"/>
  <c r="BX6" i="8"/>
  <c r="BX6" i="6"/>
  <c r="BX6" i="7"/>
  <c r="BX6" i="5"/>
  <c r="BX61" i="1"/>
  <c r="BX70" i="1" s="1"/>
  <c r="AQ30" i="7"/>
  <c r="AQ18" i="13"/>
  <c r="AT74" i="6"/>
  <c r="AT87" i="6" s="1"/>
  <c r="AU69" i="6"/>
  <c r="AR80" i="6"/>
  <c r="AR81" i="6" s="1"/>
  <c r="AR29" i="14" s="1"/>
  <c r="CC15" i="5"/>
  <c r="CC17" i="6" s="1"/>
  <c r="CA5" i="4"/>
  <c r="BY5" i="1"/>
  <c r="BY18" i="1" s="1"/>
  <c r="BY58" i="1" s="1"/>
  <c r="BZ6" i="4"/>
  <c r="BX6" i="1"/>
  <c r="BZ24" i="2"/>
  <c r="BX11" i="5" s="1"/>
  <c r="BX11" i="6" s="1"/>
  <c r="BX11" i="7" s="1"/>
  <c r="CA60" i="2"/>
  <c r="BY55" i="1" s="1"/>
  <c r="CA52" i="2"/>
  <c r="BY14" i="1" s="1"/>
  <c r="BY24" i="1" s="1"/>
  <c r="BY35" i="1" s="1"/>
  <c r="CA54" i="2"/>
  <c r="BY16" i="1" s="1"/>
  <c r="BY56" i="1" s="1"/>
  <c r="CA48" i="2"/>
  <c r="CA46" i="2"/>
  <c r="CA39" i="2"/>
  <c r="CA59" i="2"/>
  <c r="CA41" i="2"/>
  <c r="BY37" i="8" s="1"/>
  <c r="CA25" i="2"/>
  <c r="CA28" i="2"/>
  <c r="CA30" i="2"/>
  <c r="BY13" i="7" s="1"/>
  <c r="CA23" i="2"/>
  <c r="CA18" i="2"/>
  <c r="CA6" i="2" s="1"/>
  <c r="CB5" i="2"/>
  <c r="BZ5" i="11" l="1"/>
  <c r="BZ5" i="18"/>
  <c r="BZ57" i="18" s="1"/>
  <c r="BU7" i="18"/>
  <c r="BU7" i="11"/>
  <c r="BY6" i="11"/>
  <c r="BY6" i="18"/>
  <c r="BQ14" i="13"/>
  <c r="BQ79" i="6"/>
  <c r="BQ26" i="7"/>
  <c r="BT51" i="6"/>
  <c r="BW43" i="2"/>
  <c r="BT19" i="7"/>
  <c r="BT39" i="7"/>
  <c r="BU39" i="13"/>
  <c r="BU13" i="12"/>
  <c r="BU18" i="12" s="1"/>
  <c r="BU115" i="8"/>
  <c r="BU135" i="8" s="1"/>
  <c r="BX40" i="2"/>
  <c r="BU36" i="8"/>
  <c r="BU36" i="9"/>
  <c r="BX32" i="2"/>
  <c r="BW34" i="2"/>
  <c r="BU14" i="6"/>
  <c r="BU15" i="7"/>
  <c r="BU93" i="8"/>
  <c r="BX47" i="2"/>
  <c r="BS41" i="13"/>
  <c r="BS99" i="8"/>
  <c r="BS134" i="8" s="1"/>
  <c r="BS136" i="8" s="1"/>
  <c r="BS41" i="8"/>
  <c r="BR38" i="6"/>
  <c r="BR41" i="7"/>
  <c r="BT39" i="8"/>
  <c r="BT55" i="8"/>
  <c r="BT56" i="8"/>
  <c r="BT58" i="8" s="1"/>
  <c r="BT40" i="8"/>
  <c r="BS100" i="8"/>
  <c r="BS42" i="13"/>
  <c r="BU15" i="1"/>
  <c r="BX53" i="2"/>
  <c r="BW56" i="2"/>
  <c r="BW57" i="2"/>
  <c r="BW8" i="2" s="1"/>
  <c r="BQ25" i="7"/>
  <c r="BQ39" i="6"/>
  <c r="BR43" i="13"/>
  <c r="BR101" i="8"/>
  <c r="BU48" i="6"/>
  <c r="BU24" i="6"/>
  <c r="BU46" i="6"/>
  <c r="BU47" i="6"/>
  <c r="BU50" i="6"/>
  <c r="BU45" i="6"/>
  <c r="BU12" i="7"/>
  <c r="BU49" i="6"/>
  <c r="BU44" i="6"/>
  <c r="BV8" i="4"/>
  <c r="BT8" i="1"/>
  <c r="BR43" i="8"/>
  <c r="BQ44" i="8"/>
  <c r="BQ48" i="8" s="1"/>
  <c r="BR59" i="6"/>
  <c r="BR61" i="6" s="1"/>
  <c r="BO14" i="10"/>
  <c r="BY61" i="1"/>
  <c r="BY70" i="1" s="1"/>
  <c r="BS20" i="7"/>
  <c r="BS21" i="7" s="1"/>
  <c r="BS37" i="6"/>
  <c r="BS57" i="6"/>
  <c r="BS55" i="6"/>
  <c r="BS56" i="6"/>
  <c r="BS40" i="7"/>
  <c r="BS54" i="6"/>
  <c r="BS58" i="6"/>
  <c r="BV35" i="9"/>
  <c r="BV12" i="5"/>
  <c r="BV12" i="6" s="1"/>
  <c r="BY29" i="2"/>
  <c r="BX19" i="2"/>
  <c r="BX7" i="2" s="1"/>
  <c r="BS45" i="9"/>
  <c r="BS16" i="13"/>
  <c r="BS29" i="7"/>
  <c r="BT27" i="6"/>
  <c r="BT28" i="6" s="1"/>
  <c r="BT30" i="6" s="1"/>
  <c r="BT34" i="5"/>
  <c r="BT36" i="5" s="1"/>
  <c r="BT38" i="5" s="1"/>
  <c r="BT11" i="11" s="1"/>
  <c r="BU7" i="10"/>
  <c r="BU7" i="9"/>
  <c r="BU7" i="8"/>
  <c r="BU7" i="1"/>
  <c r="BU7" i="14"/>
  <c r="BU7" i="6"/>
  <c r="BU7" i="15"/>
  <c r="BU7" i="5"/>
  <c r="BU7" i="13"/>
  <c r="BU7" i="7"/>
  <c r="BU7" i="12"/>
  <c r="BW7" i="4"/>
  <c r="BP13" i="13"/>
  <c r="BP10" i="10"/>
  <c r="BP13" i="10" s="1"/>
  <c r="BP10" i="11" s="1"/>
  <c r="BP70" i="6"/>
  <c r="BP63" i="6"/>
  <c r="BZ5" i="14"/>
  <c r="BZ5" i="15"/>
  <c r="BZ5" i="13"/>
  <c r="BZ5" i="12"/>
  <c r="BZ5" i="9"/>
  <c r="BZ5" i="10"/>
  <c r="BZ5" i="8"/>
  <c r="BZ5" i="7"/>
  <c r="BZ5" i="5"/>
  <c r="BZ5" i="6"/>
  <c r="BY35" i="8"/>
  <c r="BY6" i="14"/>
  <c r="BY6" i="15"/>
  <c r="BY6" i="13"/>
  <c r="BY6" i="12"/>
  <c r="BY6" i="10"/>
  <c r="BY6" i="9"/>
  <c r="BY6" i="8"/>
  <c r="BY6" i="7"/>
  <c r="BY6" i="5"/>
  <c r="BY6" i="6"/>
  <c r="AR83" i="6"/>
  <c r="AR88" i="6" s="1"/>
  <c r="AR89" i="6" s="1"/>
  <c r="AR13" i="11" s="1"/>
  <c r="AS78" i="6"/>
  <c r="AU71" i="6"/>
  <c r="AU72" i="6" s="1"/>
  <c r="AU18" i="14" s="1"/>
  <c r="CD15" i="5"/>
  <c r="CD17" i="6" s="1"/>
  <c r="CB5" i="4"/>
  <c r="BZ5" i="1"/>
  <c r="BZ18" i="1" s="1"/>
  <c r="BZ58" i="1" s="1"/>
  <c r="CA6" i="4"/>
  <c r="BY6" i="1"/>
  <c r="CA24" i="2"/>
  <c r="BY11" i="5" s="1"/>
  <c r="BY11" i="6" s="1"/>
  <c r="BY11" i="7" s="1"/>
  <c r="CB59" i="2"/>
  <c r="CB54" i="2"/>
  <c r="BZ16" i="1" s="1"/>
  <c r="BZ56" i="1" s="1"/>
  <c r="CB60" i="2"/>
  <c r="BZ55" i="1" s="1"/>
  <c r="CB52" i="2"/>
  <c r="BZ14" i="1" s="1"/>
  <c r="BZ24" i="1" s="1"/>
  <c r="BZ35" i="1" s="1"/>
  <c r="CB46" i="2"/>
  <c r="CB48" i="2"/>
  <c r="CB39" i="2"/>
  <c r="CB41" i="2"/>
  <c r="BZ37" i="8" s="1"/>
  <c r="CB25" i="2"/>
  <c r="CB28" i="2"/>
  <c r="CB18" i="2"/>
  <c r="CB6" i="2" s="1"/>
  <c r="CB30" i="2"/>
  <c r="BZ13" i="7" s="1"/>
  <c r="CB23" i="2"/>
  <c r="CC5" i="2"/>
  <c r="BV7" i="11" l="1"/>
  <c r="BV7" i="18"/>
  <c r="BZ6" i="18"/>
  <c r="BZ6" i="11"/>
  <c r="CA5" i="11"/>
  <c r="CA5" i="18"/>
  <c r="CA57" i="18" s="1"/>
  <c r="BX43" i="2"/>
  <c r="BT29" i="7"/>
  <c r="BT45" i="9"/>
  <c r="BT16" i="13"/>
  <c r="BV46" i="6"/>
  <c r="BV49" i="6"/>
  <c r="BV50" i="6"/>
  <c r="BV44" i="6"/>
  <c r="BV12" i="7"/>
  <c r="BV45" i="6"/>
  <c r="BV24" i="6"/>
  <c r="BV47" i="6"/>
  <c r="BV48" i="6"/>
  <c r="BU55" i="8"/>
  <c r="BU56" i="8"/>
  <c r="BU58" i="8" s="1"/>
  <c r="BU40" i="8"/>
  <c r="BU39" i="8"/>
  <c r="BT42" i="13"/>
  <c r="BT100" i="8"/>
  <c r="BP14" i="10"/>
  <c r="BT41" i="13"/>
  <c r="BT41" i="8"/>
  <c r="BT99" i="8"/>
  <c r="BT134" i="8" s="1"/>
  <c r="BT136" i="8" s="1"/>
  <c r="BR14" i="13"/>
  <c r="BR79" i="6"/>
  <c r="BR11" i="10"/>
  <c r="BR26" i="7"/>
  <c r="BT57" i="6"/>
  <c r="BT40" i="7"/>
  <c r="BT55" i="6"/>
  <c r="BT56" i="6"/>
  <c r="BT54" i="6"/>
  <c r="BT58" i="6"/>
  <c r="BV93" i="8"/>
  <c r="BY47" i="2"/>
  <c r="BS59" i="6"/>
  <c r="BS61" i="6" s="1"/>
  <c r="BV15" i="1"/>
  <c r="BX57" i="2"/>
  <c r="BX8" i="2" s="1"/>
  <c r="BY53" i="2"/>
  <c r="BX56" i="2"/>
  <c r="BS43" i="8"/>
  <c r="BR44" i="8"/>
  <c r="BR48" i="8" s="1"/>
  <c r="BW8" i="4"/>
  <c r="BU8" i="1"/>
  <c r="BV36" i="8"/>
  <c r="BY40" i="2"/>
  <c r="BV115" i="8"/>
  <c r="BV135" i="8" s="1"/>
  <c r="BV39" i="13"/>
  <c r="BV13" i="12"/>
  <c r="BV18" i="12" s="1"/>
  <c r="BS41" i="7"/>
  <c r="BS38" i="6"/>
  <c r="BU51" i="6"/>
  <c r="BR25" i="7"/>
  <c r="BR39" i="6"/>
  <c r="BW35" i="9"/>
  <c r="BW12" i="5"/>
  <c r="BW12" i="6" s="1"/>
  <c r="BY19" i="2"/>
  <c r="BY7" i="2" s="1"/>
  <c r="BZ29" i="2"/>
  <c r="BQ10" i="10"/>
  <c r="BQ13" i="10" s="1"/>
  <c r="BQ10" i="11" s="1"/>
  <c r="BQ70" i="6"/>
  <c r="BQ13" i="13"/>
  <c r="BQ63" i="6"/>
  <c r="BU27" i="6"/>
  <c r="BU28" i="6" s="1"/>
  <c r="BU30" i="6" s="1"/>
  <c r="BU34" i="5"/>
  <c r="BU36" i="5" s="1"/>
  <c r="BU38" i="5" s="1"/>
  <c r="BU11" i="11" s="1"/>
  <c r="BT37" i="6"/>
  <c r="BT20" i="7"/>
  <c r="BT21" i="7" s="1"/>
  <c r="BV7" i="13"/>
  <c r="BV7" i="5"/>
  <c r="BV7" i="15"/>
  <c r="BV7" i="14"/>
  <c r="BV7" i="7"/>
  <c r="BX7" i="4"/>
  <c r="BV7" i="8"/>
  <c r="BV7" i="12"/>
  <c r="BV7" i="1"/>
  <c r="BV7" i="10"/>
  <c r="BV7" i="9"/>
  <c r="BV7" i="6"/>
  <c r="BU19" i="7"/>
  <c r="BU39" i="7"/>
  <c r="BS43" i="13"/>
  <c r="BS101" i="8"/>
  <c r="BV15" i="7"/>
  <c r="BX34" i="2"/>
  <c r="BY32" i="2"/>
  <c r="BV14" i="6"/>
  <c r="BV36" i="9"/>
  <c r="BZ35" i="8"/>
  <c r="CA5" i="15"/>
  <c r="CA5" i="14"/>
  <c r="CA5" i="13"/>
  <c r="CA5" i="12"/>
  <c r="CA5" i="10"/>
  <c r="CA5" i="9"/>
  <c r="CA5" i="8"/>
  <c r="CA5" i="7"/>
  <c r="CA5" i="6"/>
  <c r="CA5" i="5"/>
  <c r="BZ6" i="14"/>
  <c r="BZ6" i="15"/>
  <c r="BZ6" i="13"/>
  <c r="BZ6" i="12"/>
  <c r="BZ6" i="10"/>
  <c r="BZ6" i="9"/>
  <c r="BZ6" i="8"/>
  <c r="BZ6" i="7"/>
  <c r="BZ6" i="6"/>
  <c r="BZ6" i="5"/>
  <c r="BZ61" i="1"/>
  <c r="BZ70" i="1" s="1"/>
  <c r="AR30" i="7"/>
  <c r="AR18" i="13"/>
  <c r="AU74" i="6"/>
  <c r="AU87" i="6" s="1"/>
  <c r="AV69" i="6"/>
  <c r="AS80" i="6"/>
  <c r="AS81" i="6" s="1"/>
  <c r="AS29" i="14" s="1"/>
  <c r="CE15" i="5"/>
  <c r="CE17" i="6" s="1"/>
  <c r="CC5" i="4"/>
  <c r="CA5" i="1"/>
  <c r="CA18" i="1" s="1"/>
  <c r="CA58" i="1" s="1"/>
  <c r="CB6" i="4"/>
  <c r="BZ6" i="1"/>
  <c r="CB24" i="2"/>
  <c r="BZ11" i="5" s="1"/>
  <c r="BZ11" i="6" s="1"/>
  <c r="BZ11" i="7" s="1"/>
  <c r="CC52" i="2"/>
  <c r="CA14" i="1" s="1"/>
  <c r="CA24" i="1" s="1"/>
  <c r="CA35" i="1" s="1"/>
  <c r="CC46" i="2"/>
  <c r="CC54" i="2"/>
  <c r="CA16" i="1" s="1"/>
  <c r="CA56" i="1" s="1"/>
  <c r="CC48" i="2"/>
  <c r="CC59" i="2"/>
  <c r="CC60" i="2"/>
  <c r="CA55" i="1" s="1"/>
  <c r="CC41" i="2"/>
  <c r="CA37" i="8" s="1"/>
  <c r="CC25" i="2"/>
  <c r="CC28" i="2"/>
  <c r="CC18" i="2"/>
  <c r="CC6" i="2" s="1"/>
  <c r="CC30" i="2"/>
  <c r="CA13" i="7" s="1"/>
  <c r="CC23" i="2"/>
  <c r="CC39" i="2"/>
  <c r="CD5" i="2"/>
  <c r="CA6" i="11" l="1"/>
  <c r="CA6" i="18"/>
  <c r="BW7" i="18"/>
  <c r="BW7" i="11"/>
  <c r="CB5" i="11"/>
  <c r="CB5" i="18"/>
  <c r="CB57" i="18" s="1"/>
  <c r="BV39" i="8"/>
  <c r="BV55" i="8"/>
  <c r="BV56" i="8"/>
  <c r="BV58" i="8" s="1"/>
  <c r="BV40" i="8"/>
  <c r="BQ14" i="10"/>
  <c r="BT101" i="8"/>
  <c r="BT43" i="13"/>
  <c r="BU20" i="7"/>
  <c r="BU21" i="7" s="1"/>
  <c r="BU37" i="6"/>
  <c r="BX35" i="9"/>
  <c r="BX12" i="5"/>
  <c r="BX12" i="6" s="1"/>
  <c r="BZ19" i="2"/>
  <c r="BZ7" i="2" s="1"/>
  <c r="CA29" i="2"/>
  <c r="BS39" i="6"/>
  <c r="BS25" i="7"/>
  <c r="BW93" i="8"/>
  <c r="BZ47" i="2"/>
  <c r="BT38" i="6"/>
  <c r="BT41" i="7"/>
  <c r="BW7" i="15"/>
  <c r="BW7" i="7"/>
  <c r="BW7" i="13"/>
  <c r="BW7" i="5"/>
  <c r="BW7" i="8"/>
  <c r="BW7" i="14"/>
  <c r="BW7" i="6"/>
  <c r="BW7" i="10"/>
  <c r="BW7" i="12"/>
  <c r="BY7" i="4"/>
  <c r="BW7" i="9"/>
  <c r="BW7" i="1"/>
  <c r="BS44" i="8"/>
  <c r="BS48" i="8" s="1"/>
  <c r="BT43" i="8"/>
  <c r="BS79" i="6"/>
  <c r="BS26" i="7"/>
  <c r="BS14" i="13"/>
  <c r="BS11" i="10"/>
  <c r="BU29" i="7"/>
  <c r="BU45" i="9"/>
  <c r="BU16" i="13"/>
  <c r="BW47" i="6"/>
  <c r="BW44" i="6"/>
  <c r="BW45" i="6"/>
  <c r="BW49" i="6"/>
  <c r="BW46" i="6"/>
  <c r="BW24" i="6"/>
  <c r="BW48" i="6"/>
  <c r="BW12" i="7"/>
  <c r="BW50" i="6"/>
  <c r="BZ32" i="2"/>
  <c r="BW36" i="9"/>
  <c r="BW15" i="7"/>
  <c r="BW14" i="6"/>
  <c r="BY34" i="2"/>
  <c r="BU57" i="6"/>
  <c r="BU56" i="6"/>
  <c r="BU54" i="6"/>
  <c r="BU55" i="6"/>
  <c r="BU40" i="7"/>
  <c r="BU58" i="6"/>
  <c r="BW15" i="1"/>
  <c r="BY56" i="2"/>
  <c r="BZ53" i="2"/>
  <c r="BY57" i="2"/>
  <c r="BY8" i="2" s="1"/>
  <c r="BT59" i="6"/>
  <c r="BT61" i="6" s="1"/>
  <c r="BU41" i="13"/>
  <c r="BU99" i="8"/>
  <c r="BU134" i="8" s="1"/>
  <c r="BU136" i="8" s="1"/>
  <c r="BU41" i="8"/>
  <c r="BV19" i="7"/>
  <c r="BV39" i="7"/>
  <c r="BV27" i="6"/>
  <c r="BV28" i="6" s="1"/>
  <c r="BV30" i="6" s="1"/>
  <c r="BV34" i="5"/>
  <c r="BV36" i="5" s="1"/>
  <c r="BV38" i="5" s="1"/>
  <c r="BV11" i="11" s="1"/>
  <c r="BR70" i="6"/>
  <c r="BR10" i="10"/>
  <c r="BR13" i="10" s="1"/>
  <c r="BR10" i="11" s="1"/>
  <c r="BR13" i="13"/>
  <c r="BR63" i="6"/>
  <c r="BW39" i="13"/>
  <c r="BW13" i="12"/>
  <c r="BW18" i="12" s="1"/>
  <c r="BW115" i="8"/>
  <c r="BW135" i="8" s="1"/>
  <c r="BW36" i="8"/>
  <c r="BZ40" i="2"/>
  <c r="BX8" i="4"/>
  <c r="BV8" i="1"/>
  <c r="BU42" i="13"/>
  <c r="BU100" i="8"/>
  <c r="BV51" i="6"/>
  <c r="BY43" i="2"/>
  <c r="CA6" i="15"/>
  <c r="CA6" i="14"/>
  <c r="CA6" i="13"/>
  <c r="CA6" i="12"/>
  <c r="CA6" i="10"/>
  <c r="CA6" i="9"/>
  <c r="CA6" i="8"/>
  <c r="CA6" i="7"/>
  <c r="CA6" i="5"/>
  <c r="CA6" i="6"/>
  <c r="CA35" i="8"/>
  <c r="CB5" i="14"/>
  <c r="CB5" i="15"/>
  <c r="CB5" i="13"/>
  <c r="CB5" i="12"/>
  <c r="CB5" i="10"/>
  <c r="CB5" i="9"/>
  <c r="CB5" i="8"/>
  <c r="CB5" i="7"/>
  <c r="CB5" i="5"/>
  <c r="CB5" i="6"/>
  <c r="CA61" i="1"/>
  <c r="CA70" i="1" s="1"/>
  <c r="AT78" i="6"/>
  <c r="AS83" i="6"/>
  <c r="AS88" i="6" s="1"/>
  <c r="AS89" i="6" s="1"/>
  <c r="AS13" i="11" s="1"/>
  <c r="AV71" i="6"/>
  <c r="AV72" i="6" s="1"/>
  <c r="AV18" i="14" s="1"/>
  <c r="CF15" i="5"/>
  <c r="CF17" i="6" s="1"/>
  <c r="CC6" i="4"/>
  <c r="CA6" i="1"/>
  <c r="CD5" i="4"/>
  <c r="CB5" i="1"/>
  <c r="CB18" i="1" s="1"/>
  <c r="CB58" i="1" s="1"/>
  <c r="CD59" i="2"/>
  <c r="CD60" i="2"/>
  <c r="CB55" i="1" s="1"/>
  <c r="CD46" i="2"/>
  <c r="CD54" i="2"/>
  <c r="CB16" i="1" s="1"/>
  <c r="CB56" i="1" s="1"/>
  <c r="CD48" i="2"/>
  <c r="CD41" i="2"/>
  <c r="CB37" i="8" s="1"/>
  <c r="CD30" i="2"/>
  <c r="CB13" i="7" s="1"/>
  <c r="CD39" i="2"/>
  <c r="CD28" i="2"/>
  <c r="CD18" i="2"/>
  <c r="CD6" i="2" s="1"/>
  <c r="CD25" i="2"/>
  <c r="CD52" i="2"/>
  <c r="CB14" i="1" s="1"/>
  <c r="CB24" i="1" s="1"/>
  <c r="CB35" i="1" s="1"/>
  <c r="CE5" i="2"/>
  <c r="CD23" i="2"/>
  <c r="CC24" i="2"/>
  <c r="CA11" i="5" s="1"/>
  <c r="CA11" i="6" s="1"/>
  <c r="CA11" i="7" s="1"/>
  <c r="CC5" i="11" l="1"/>
  <c r="CC5" i="18"/>
  <c r="CC57" i="18" s="1"/>
  <c r="CB6" i="11"/>
  <c r="CB6" i="18"/>
  <c r="BX7" i="11"/>
  <c r="BX7" i="18"/>
  <c r="BU59" i="6"/>
  <c r="BU61" i="6" s="1"/>
  <c r="BU79" i="6" s="1"/>
  <c r="BR14" i="10"/>
  <c r="CA32" i="2"/>
  <c r="BZ34" i="2"/>
  <c r="BX36" i="9"/>
  <c r="BX14" i="6"/>
  <c r="BX15" i="7"/>
  <c r="BW51" i="6"/>
  <c r="BS63" i="6"/>
  <c r="BS70" i="6"/>
  <c r="BS13" i="13"/>
  <c r="BS10" i="10"/>
  <c r="BS13" i="10" s="1"/>
  <c r="BS10" i="11" s="1"/>
  <c r="BX39" i="13"/>
  <c r="CA40" i="2"/>
  <c r="BX13" i="12"/>
  <c r="BX18" i="12" s="1"/>
  <c r="BX36" i="8"/>
  <c r="BX115" i="8"/>
  <c r="BX135" i="8" s="1"/>
  <c r="BT26" i="7"/>
  <c r="BT11" i="10"/>
  <c r="BT79" i="6"/>
  <c r="BT14" i="13"/>
  <c r="BY35" i="9"/>
  <c r="BY12" i="5"/>
  <c r="BY12" i="6" s="1"/>
  <c r="CA19" i="2"/>
  <c r="CA7" i="2" s="1"/>
  <c r="CB29" i="2"/>
  <c r="BW40" i="8"/>
  <c r="BW39" i="8"/>
  <c r="BW55" i="8"/>
  <c r="BW56" i="8"/>
  <c r="BW58" i="8" s="1"/>
  <c r="BV45" i="9"/>
  <c r="BV16" i="13"/>
  <c r="BV29" i="7"/>
  <c r="BY8" i="4"/>
  <c r="BW8" i="1"/>
  <c r="BW19" i="7"/>
  <c r="BW39" i="7"/>
  <c r="BX7" i="10"/>
  <c r="BX7" i="8"/>
  <c r="BZ7" i="4"/>
  <c r="BX7" i="14"/>
  <c r="BX7" i="6"/>
  <c r="BX7" i="1"/>
  <c r="BX7" i="15"/>
  <c r="BX7" i="9"/>
  <c r="BX7" i="13"/>
  <c r="BX7" i="7"/>
  <c r="BX7" i="5"/>
  <c r="BX7" i="12"/>
  <c r="BU38" i="6"/>
  <c r="BU41" i="7"/>
  <c r="BZ43" i="2"/>
  <c r="BV40" i="7"/>
  <c r="BV54" i="6"/>
  <c r="BV58" i="6"/>
  <c r="BV57" i="6"/>
  <c r="BV55" i="6"/>
  <c r="BV56" i="6"/>
  <c r="BX15" i="1"/>
  <c r="BZ56" i="2"/>
  <c r="BZ57" i="2"/>
  <c r="BZ8" i="2" s="1"/>
  <c r="CA53" i="2"/>
  <c r="BT44" i="8"/>
  <c r="BT48" i="8" s="1"/>
  <c r="BU43" i="8"/>
  <c r="BT25" i="7"/>
  <c r="BT39" i="6"/>
  <c r="BX48" i="6"/>
  <c r="BX47" i="6"/>
  <c r="BX12" i="7"/>
  <c r="BX44" i="6"/>
  <c r="BX45" i="6"/>
  <c r="BX24" i="6"/>
  <c r="BX49" i="6"/>
  <c r="BX50" i="6"/>
  <c r="BX46" i="6"/>
  <c r="BV42" i="13"/>
  <c r="BV100" i="8"/>
  <c r="BV20" i="7"/>
  <c r="BV21" i="7" s="1"/>
  <c r="BV37" i="6"/>
  <c r="BW27" i="6"/>
  <c r="BW28" i="6" s="1"/>
  <c r="BW30" i="6" s="1"/>
  <c r="BW34" i="5"/>
  <c r="BW36" i="5" s="1"/>
  <c r="BW38" i="5" s="1"/>
  <c r="BW11" i="11" s="1"/>
  <c r="BX93" i="8"/>
  <c r="CA47" i="2"/>
  <c r="BU101" i="8"/>
  <c r="BU43" i="13"/>
  <c r="BV99" i="8"/>
  <c r="BV134" i="8" s="1"/>
  <c r="BV136" i="8" s="1"/>
  <c r="BV41" i="8"/>
  <c r="BV41" i="13"/>
  <c r="CB35" i="8"/>
  <c r="CC5" i="14"/>
  <c r="CC5" i="15"/>
  <c r="CC5" i="13"/>
  <c r="CC5" i="12"/>
  <c r="CC5" i="10"/>
  <c r="CC5" i="9"/>
  <c r="CC5" i="8"/>
  <c r="CC5" i="6"/>
  <c r="CC5" i="5"/>
  <c r="CC5" i="7"/>
  <c r="CB6" i="15"/>
  <c r="CB6" i="14"/>
  <c r="CB6" i="13"/>
  <c r="CB6" i="10"/>
  <c r="CB6" i="12"/>
  <c r="CB6" i="9"/>
  <c r="CB6" i="8"/>
  <c r="CB6" i="7"/>
  <c r="CB6" i="6"/>
  <c r="CB6" i="5"/>
  <c r="CB61" i="1"/>
  <c r="CB70" i="1" s="1"/>
  <c r="AS30" i="7"/>
  <c r="AS18" i="13"/>
  <c r="AV74" i="6"/>
  <c r="AV87" i="6" s="1"/>
  <c r="AW69" i="6"/>
  <c r="AT80" i="6"/>
  <c r="AT81" i="6" s="1"/>
  <c r="AT29" i="14" s="1"/>
  <c r="CG15" i="5"/>
  <c r="CG17" i="6" s="1"/>
  <c r="CE5" i="4"/>
  <c r="CC5" i="1"/>
  <c r="CC18" i="1" s="1"/>
  <c r="CC58" i="1" s="1"/>
  <c r="CD6" i="4"/>
  <c r="CB6" i="1"/>
  <c r="CD24" i="2"/>
  <c r="CB11" i="5" s="1"/>
  <c r="CB11" i="6" s="1"/>
  <c r="CB11" i="7" s="1"/>
  <c r="CE59" i="2"/>
  <c r="CE54" i="2"/>
  <c r="CC16" i="1" s="1"/>
  <c r="CC56" i="1" s="1"/>
  <c r="CE48" i="2"/>
  <c r="CE60" i="2"/>
  <c r="CC55" i="1" s="1"/>
  <c r="CE52" i="2"/>
  <c r="CC14" i="1" s="1"/>
  <c r="CC24" i="1" s="1"/>
  <c r="CC35" i="1" s="1"/>
  <c r="CE41" i="2"/>
  <c r="CC37" i="8" s="1"/>
  <c r="CE30" i="2"/>
  <c r="CC13" i="7" s="1"/>
  <c r="CE39" i="2"/>
  <c r="CE23" i="2"/>
  <c r="CE28" i="2"/>
  <c r="CF5" i="2"/>
  <c r="CE25" i="2"/>
  <c r="CE18" i="2"/>
  <c r="CE6" i="2" s="1"/>
  <c r="CE46" i="2"/>
  <c r="CD5" i="18" l="1"/>
  <c r="CD57" i="18" s="1"/>
  <c r="CD5" i="11"/>
  <c r="BY7" i="11"/>
  <c r="BY7" i="18"/>
  <c r="CC6" i="11"/>
  <c r="CC6" i="18"/>
  <c r="CA43" i="2"/>
  <c r="BU26" i="7"/>
  <c r="BU14" i="13"/>
  <c r="BU11" i="10"/>
  <c r="BW29" i="7"/>
  <c r="BW16" i="13"/>
  <c r="BW45" i="9"/>
  <c r="BW40" i="7"/>
  <c r="BW58" i="6"/>
  <c r="BW57" i="6"/>
  <c r="BW56" i="6"/>
  <c r="BW55" i="6"/>
  <c r="BW54" i="6"/>
  <c r="BW42" i="13"/>
  <c r="BW100" i="8"/>
  <c r="BV101" i="8"/>
  <c r="BV43" i="13"/>
  <c r="BU44" i="8"/>
  <c r="BU48" i="8" s="1"/>
  <c r="BV43" i="8"/>
  <c r="BY39" i="13"/>
  <c r="BY13" i="12"/>
  <c r="BY18" i="12" s="1"/>
  <c r="BY36" i="8"/>
  <c r="CB40" i="2"/>
  <c r="BY115" i="8"/>
  <c r="BY135" i="8" s="1"/>
  <c r="BT70" i="6"/>
  <c r="BT13" i="13"/>
  <c r="BT10" i="10"/>
  <c r="BT13" i="10" s="1"/>
  <c r="BT10" i="11" s="1"/>
  <c r="BT63" i="6"/>
  <c r="BW41" i="8"/>
  <c r="BW41" i="13"/>
  <c r="BW99" i="8"/>
  <c r="BW134" i="8" s="1"/>
  <c r="BW136" i="8" s="1"/>
  <c r="BZ12" i="5"/>
  <c r="BZ12" i="6" s="1"/>
  <c r="BZ35" i="9"/>
  <c r="CB19" i="2"/>
  <c r="CB7" i="2" s="1"/>
  <c r="CC29" i="2"/>
  <c r="BX51" i="6"/>
  <c r="BY15" i="1"/>
  <c r="CB53" i="2"/>
  <c r="CA57" i="2"/>
  <c r="CA8" i="2" s="1"/>
  <c r="CA56" i="2"/>
  <c r="BV59" i="6"/>
  <c r="BV61" i="6" s="1"/>
  <c r="BY7" i="14"/>
  <c r="BY7" i="5"/>
  <c r="BY7" i="1"/>
  <c r="BY7" i="7"/>
  <c r="BY7" i="15"/>
  <c r="BY7" i="6"/>
  <c r="BY7" i="12"/>
  <c r="CA7" i="4"/>
  <c r="BY7" i="9"/>
  <c r="BY7" i="10"/>
  <c r="BY7" i="8"/>
  <c r="BY7" i="13"/>
  <c r="BS14" i="10"/>
  <c r="BX27" i="6"/>
  <c r="BX28" i="6" s="1"/>
  <c r="BX30" i="6" s="1"/>
  <c r="BX34" i="5"/>
  <c r="BX36" i="5" s="1"/>
  <c r="BX38" i="5" s="1"/>
  <c r="BX11" i="11" s="1"/>
  <c r="BX39" i="8"/>
  <c r="BX55" i="8"/>
  <c r="BX56" i="8"/>
  <c r="BX58" i="8" s="1"/>
  <c r="BX40" i="8"/>
  <c r="BX39" i="7"/>
  <c r="BX19" i="7"/>
  <c r="BX8" i="1"/>
  <c r="BZ8" i="4"/>
  <c r="BV38" i="6"/>
  <c r="BV41" i="7"/>
  <c r="BY46" i="6"/>
  <c r="BY50" i="6"/>
  <c r="BY48" i="6"/>
  <c r="BY12" i="7"/>
  <c r="BY24" i="6"/>
  <c r="BY44" i="6"/>
  <c r="BY47" i="6"/>
  <c r="BY49" i="6"/>
  <c r="BY45" i="6"/>
  <c r="CA34" i="2"/>
  <c r="CB32" i="2"/>
  <c r="BY36" i="9"/>
  <c r="BY14" i="6"/>
  <c r="BY15" i="7"/>
  <c r="BY93" i="8"/>
  <c r="CB47" i="2"/>
  <c r="BW20" i="7"/>
  <c r="BW21" i="7" s="1"/>
  <c r="BW37" i="6"/>
  <c r="BU39" i="6"/>
  <c r="BU25" i="7"/>
  <c r="CC6" i="14"/>
  <c r="CC6" i="15"/>
  <c r="CC6" i="13"/>
  <c r="CC6" i="12"/>
  <c r="CC6" i="9"/>
  <c r="CC6" i="10"/>
  <c r="CC6" i="8"/>
  <c r="CC6" i="6"/>
  <c r="CC6" i="5"/>
  <c r="CC6" i="7"/>
  <c r="CD5" i="15"/>
  <c r="CD5" i="14"/>
  <c r="CD5" i="12"/>
  <c r="CD5" i="13"/>
  <c r="CD5" i="10"/>
  <c r="CD5" i="9"/>
  <c r="CD5" i="8"/>
  <c r="CD5" i="7"/>
  <c r="CD5" i="6"/>
  <c r="CD5" i="5"/>
  <c r="CC35" i="8"/>
  <c r="CC61" i="1"/>
  <c r="CC70" i="1" s="1"/>
  <c r="AT83" i="6"/>
  <c r="AT88" i="6" s="1"/>
  <c r="AT89" i="6" s="1"/>
  <c r="AT13" i="11" s="1"/>
  <c r="AU78" i="6"/>
  <c r="AW71" i="6"/>
  <c r="AW72" i="6" s="1"/>
  <c r="AW18" i="14" s="1"/>
  <c r="CH15" i="5"/>
  <c r="CH17" i="6" s="1"/>
  <c r="CE6" i="4"/>
  <c r="CC6" i="1"/>
  <c r="CF5" i="4"/>
  <c r="CD5" i="1"/>
  <c r="CD18" i="1" s="1"/>
  <c r="CD58" i="1" s="1"/>
  <c r="CE24" i="2"/>
  <c r="CC11" i="5" s="1"/>
  <c r="CC11" i="6" s="1"/>
  <c r="CC11" i="7" s="1"/>
  <c r="CF59" i="2"/>
  <c r="CF54" i="2"/>
  <c r="CD16" i="1" s="1"/>
  <c r="CD56" i="1" s="1"/>
  <c r="CF60" i="2"/>
  <c r="CD55" i="1" s="1"/>
  <c r="CF48" i="2"/>
  <c r="CF52" i="2"/>
  <c r="CD14" i="1" s="1"/>
  <c r="CD24" i="1" s="1"/>
  <c r="CD35" i="1" s="1"/>
  <c r="CF46" i="2"/>
  <c r="CF39" i="2"/>
  <c r="CF23" i="2"/>
  <c r="CF30" i="2"/>
  <c r="CD13" i="7" s="1"/>
  <c r="CF25" i="2"/>
  <c r="CF28" i="2"/>
  <c r="CF18" i="2"/>
  <c r="CF6" i="2" s="1"/>
  <c r="CG5" i="2"/>
  <c r="CF41" i="2"/>
  <c r="CD37" i="8" s="1"/>
  <c r="CB43" i="2" l="1"/>
  <c r="CD6" i="11"/>
  <c r="CD6" i="18"/>
  <c r="BZ7" i="18"/>
  <c r="BZ7" i="11"/>
  <c r="CE5" i="11"/>
  <c r="CE5" i="18"/>
  <c r="CE57" i="18" s="1"/>
  <c r="BX57" i="6"/>
  <c r="BX54" i="6"/>
  <c r="BX40" i="7"/>
  <c r="BX55" i="6"/>
  <c r="BX58" i="6"/>
  <c r="BX56" i="6"/>
  <c r="BZ36" i="9"/>
  <c r="BZ15" i="7"/>
  <c r="CC32" i="2"/>
  <c r="CB34" i="2"/>
  <c r="BZ14" i="6"/>
  <c r="BX20" i="7"/>
  <c r="BX21" i="7" s="1"/>
  <c r="BX37" i="6"/>
  <c r="CA8" i="4"/>
  <c r="BY8" i="1"/>
  <c r="BZ46" i="6"/>
  <c r="BZ24" i="6"/>
  <c r="BZ49" i="6"/>
  <c r="BZ50" i="6"/>
  <c r="BZ12" i="7"/>
  <c r="BZ48" i="6"/>
  <c r="BZ44" i="6"/>
  <c r="BZ47" i="6"/>
  <c r="BZ45" i="6"/>
  <c r="BY27" i="6"/>
  <c r="BY28" i="6" s="1"/>
  <c r="BY30" i="6" s="1"/>
  <c r="BY34" i="5"/>
  <c r="BY36" i="5" s="1"/>
  <c r="BY38" i="5" s="1"/>
  <c r="BY11" i="11" s="1"/>
  <c r="BX42" i="13"/>
  <c r="BX100" i="8"/>
  <c r="BZ15" i="1"/>
  <c r="CB56" i="2"/>
  <c r="CB57" i="2"/>
  <c r="CB8" i="2" s="1"/>
  <c r="CC53" i="2"/>
  <c r="BZ36" i="8"/>
  <c r="CC40" i="2"/>
  <c r="CC43" i="2" s="1"/>
  <c r="BZ115" i="8"/>
  <c r="BZ135" i="8" s="1"/>
  <c r="BZ39" i="13"/>
  <c r="BZ13" i="12"/>
  <c r="BZ18" i="12" s="1"/>
  <c r="BW41" i="7"/>
  <c r="BW38" i="6"/>
  <c r="BY39" i="7"/>
  <c r="BY19" i="7"/>
  <c r="BY39" i="8"/>
  <c r="BY56" i="8"/>
  <c r="BY58" i="8" s="1"/>
  <c r="BY55" i="8"/>
  <c r="BY40" i="8"/>
  <c r="BZ93" i="8"/>
  <c r="CC47" i="2"/>
  <c r="BV39" i="6"/>
  <c r="BV25" i="7"/>
  <c r="BW101" i="8"/>
  <c r="BW43" i="13"/>
  <c r="BZ7" i="12"/>
  <c r="BZ7" i="1"/>
  <c r="BZ7" i="6"/>
  <c r="BZ7" i="10"/>
  <c r="BZ7" i="9"/>
  <c r="BZ7" i="14"/>
  <c r="BZ7" i="8"/>
  <c r="CB7" i="4"/>
  <c r="BZ7" i="5"/>
  <c r="BZ7" i="15"/>
  <c r="BZ7" i="7"/>
  <c r="BZ7" i="13"/>
  <c r="BU70" i="6"/>
  <c r="BU10" i="10"/>
  <c r="BU13" i="10" s="1"/>
  <c r="BU10" i="11" s="1"/>
  <c r="BU13" i="13"/>
  <c r="BU63" i="6"/>
  <c r="BX41" i="8"/>
  <c r="BX99" i="8"/>
  <c r="BX134" i="8" s="1"/>
  <c r="BX136" i="8" s="1"/>
  <c r="BX41" i="13"/>
  <c r="BW59" i="6"/>
  <c r="BW61" i="6" s="1"/>
  <c r="BV14" i="13"/>
  <c r="BV11" i="10"/>
  <c r="BV79" i="6"/>
  <c r="BV26" i="7"/>
  <c r="BY51" i="6"/>
  <c r="BX45" i="9"/>
  <c r="BX16" i="13"/>
  <c r="BX29" i="7"/>
  <c r="CA35" i="9"/>
  <c r="CA12" i="5"/>
  <c r="CA12" i="6" s="1"/>
  <c r="CD29" i="2"/>
  <c r="CC19" i="2"/>
  <c r="CC7" i="2" s="1"/>
  <c r="BT14" i="10"/>
  <c r="BW43" i="8"/>
  <c r="BV44" i="8"/>
  <c r="BV48" i="8" s="1"/>
  <c r="CE5" i="15"/>
  <c r="CE5" i="14"/>
  <c r="CE5" i="13"/>
  <c r="CE5" i="12"/>
  <c r="CE5" i="10"/>
  <c r="CE5" i="9"/>
  <c r="CE5" i="8"/>
  <c r="CE5" i="7"/>
  <c r="CE5" i="6"/>
  <c r="CE5" i="5"/>
  <c r="CD35" i="8"/>
  <c r="CD6" i="14"/>
  <c r="CD6" i="15"/>
  <c r="CD6" i="13"/>
  <c r="CD6" i="12"/>
  <c r="CD6" i="9"/>
  <c r="CD6" i="10"/>
  <c r="CD6" i="8"/>
  <c r="CD6" i="7"/>
  <c r="CD6" i="5"/>
  <c r="CD6" i="6"/>
  <c r="CD61" i="1"/>
  <c r="CD70" i="1" s="1"/>
  <c r="AT30" i="7"/>
  <c r="AT18" i="13"/>
  <c r="AW74" i="6"/>
  <c r="AW87" i="6" s="1"/>
  <c r="AX69" i="6"/>
  <c r="AU80" i="6"/>
  <c r="AU81" i="6" s="1"/>
  <c r="AU29" i="14" s="1"/>
  <c r="CI15" i="5"/>
  <c r="CI17" i="6" s="1"/>
  <c r="CF6" i="4"/>
  <c r="CD6" i="1"/>
  <c r="CG5" i="4"/>
  <c r="CE5" i="1"/>
  <c r="CE18" i="1" s="1"/>
  <c r="CE58" i="1" s="1"/>
  <c r="CG60" i="2"/>
  <c r="CE55" i="1" s="1"/>
  <c r="CG59" i="2"/>
  <c r="CG48" i="2"/>
  <c r="CG54" i="2"/>
  <c r="CE16" i="1" s="1"/>
  <c r="CE56" i="1" s="1"/>
  <c r="CG52" i="2"/>
  <c r="CE14" i="1" s="1"/>
  <c r="CE24" i="1" s="1"/>
  <c r="CE35" i="1" s="1"/>
  <c r="CG39" i="2"/>
  <c r="CG46" i="2"/>
  <c r="CG41" i="2"/>
  <c r="CE37" i="8" s="1"/>
  <c r="CG23" i="2"/>
  <c r="CG30" i="2"/>
  <c r="CE13" i="7" s="1"/>
  <c r="CG25" i="2"/>
  <c r="CH5" i="2"/>
  <c r="CG18" i="2"/>
  <c r="CG6" i="2" s="1"/>
  <c r="CG28" i="2"/>
  <c r="CF24" i="2"/>
  <c r="CD11" i="5" s="1"/>
  <c r="CD11" i="6" s="1"/>
  <c r="CD11" i="7" s="1"/>
  <c r="CF5" i="11" l="1"/>
  <c r="CF5" i="18"/>
  <c r="CF57" i="18" s="1"/>
  <c r="CE6" i="11"/>
  <c r="CE6" i="18"/>
  <c r="CA7" i="18"/>
  <c r="CA7" i="11"/>
  <c r="CE61" i="1"/>
  <c r="CE70" i="1" s="1"/>
  <c r="CA7" i="12"/>
  <c r="CA7" i="7"/>
  <c r="CC7" i="4"/>
  <c r="CA7" i="14"/>
  <c r="CA7" i="13"/>
  <c r="CA7" i="5"/>
  <c r="CA7" i="10"/>
  <c r="CA7" i="9"/>
  <c r="CA7" i="15"/>
  <c r="CA7" i="8"/>
  <c r="CA7" i="6"/>
  <c r="CA7" i="1"/>
  <c r="BY37" i="6"/>
  <c r="BY20" i="7"/>
  <c r="BY21" i="7" s="1"/>
  <c r="CB35" i="9"/>
  <c r="CB12" i="5"/>
  <c r="CB12" i="6" s="1"/>
  <c r="CD19" i="2"/>
  <c r="CD7" i="2" s="1"/>
  <c r="CE29" i="2"/>
  <c r="CA24" i="6"/>
  <c r="CA12" i="7"/>
  <c r="CA44" i="6"/>
  <c r="CA45" i="6"/>
  <c r="CA49" i="6"/>
  <c r="CA48" i="6"/>
  <c r="CA50" i="6"/>
  <c r="CA46" i="6"/>
  <c r="CA47" i="6"/>
  <c r="BW39" i="6"/>
  <c r="BW25" i="7"/>
  <c r="BZ51" i="6"/>
  <c r="BX43" i="13"/>
  <c r="BX101" i="8"/>
  <c r="BY42" i="13"/>
  <c r="BY100" i="8"/>
  <c r="BV10" i="10"/>
  <c r="BV13" i="10" s="1"/>
  <c r="BV10" i="11" s="1"/>
  <c r="BV63" i="6"/>
  <c r="BV70" i="6"/>
  <c r="BV13" i="13"/>
  <c r="CB8" i="4"/>
  <c r="BZ8" i="1"/>
  <c r="BX43" i="8"/>
  <c r="BW44" i="8"/>
  <c r="BW48" i="8" s="1"/>
  <c r="BU14" i="10"/>
  <c r="BX38" i="6"/>
  <c r="BX41" i="7"/>
  <c r="BZ39" i="7"/>
  <c r="BZ19" i="7"/>
  <c r="BW11" i="10"/>
  <c r="BW26" i="7"/>
  <c r="BW14" i="13"/>
  <c r="BW79" i="6"/>
  <c r="BY41" i="13"/>
  <c r="BY99" i="8"/>
  <c r="BY134" i="8" s="1"/>
  <c r="BY136" i="8" s="1"/>
  <c r="BY41" i="8"/>
  <c r="CA39" i="13"/>
  <c r="CA13" i="12"/>
  <c r="CA18" i="12" s="1"/>
  <c r="CA115" i="8"/>
  <c r="CA135" i="8" s="1"/>
  <c r="CA36" i="8"/>
  <c r="CD40" i="2"/>
  <c r="BY16" i="13"/>
  <c r="BY29" i="7"/>
  <c r="BY45" i="9"/>
  <c r="BZ27" i="6"/>
  <c r="BZ28" i="6" s="1"/>
  <c r="BZ30" i="6" s="1"/>
  <c r="BZ34" i="5"/>
  <c r="BZ36" i="5" s="1"/>
  <c r="BZ38" i="5" s="1"/>
  <c r="BZ11" i="11" s="1"/>
  <c r="BX59" i="6"/>
  <c r="BX61" i="6" s="1"/>
  <c r="CA15" i="1"/>
  <c r="CC56" i="2"/>
  <c r="CC57" i="2"/>
  <c r="CC8" i="2" s="1"/>
  <c r="CD53" i="2"/>
  <c r="CA93" i="8"/>
  <c r="CD47" i="2"/>
  <c r="BZ39" i="8"/>
  <c r="BZ55" i="8"/>
  <c r="BZ56" i="8"/>
  <c r="BZ58" i="8" s="1"/>
  <c r="BZ40" i="8"/>
  <c r="BY40" i="7"/>
  <c r="BY54" i="6"/>
  <c r="BY57" i="6"/>
  <c r="BY58" i="6"/>
  <c r="BY56" i="6"/>
  <c r="BY55" i="6"/>
  <c r="CC34" i="2"/>
  <c r="CD32" i="2"/>
  <c r="CA36" i="9"/>
  <c r="CA15" i="7"/>
  <c r="CA14" i="6"/>
  <c r="CE35" i="8"/>
  <c r="CE6" i="14"/>
  <c r="CE6" i="15"/>
  <c r="CE6" i="13"/>
  <c r="CE6" i="12"/>
  <c r="CE6" i="9"/>
  <c r="CE6" i="10"/>
  <c r="CE6" i="8"/>
  <c r="CE6" i="6"/>
  <c r="CE6" i="7"/>
  <c r="CE6" i="5"/>
  <c r="CF5" i="15"/>
  <c r="CF5" i="14"/>
  <c r="CF5" i="13"/>
  <c r="CF5" i="12"/>
  <c r="CF5" i="9"/>
  <c r="CF5" i="10"/>
  <c r="CF5" i="8"/>
  <c r="CF5" i="6"/>
  <c r="CF5" i="5"/>
  <c r="CF5" i="7"/>
  <c r="AU83" i="6"/>
  <c r="AU88" i="6" s="1"/>
  <c r="AU89" i="6" s="1"/>
  <c r="AU13" i="11" s="1"/>
  <c r="AV78" i="6"/>
  <c r="AX71" i="6"/>
  <c r="AX72" i="6" s="1"/>
  <c r="AX18" i="14" s="1"/>
  <c r="CJ15" i="5"/>
  <c r="CJ17" i="6" s="1"/>
  <c r="CG6" i="4"/>
  <c r="CE6" i="1"/>
  <c r="CH5" i="4"/>
  <c r="CF5" i="1"/>
  <c r="CF18" i="1" s="1"/>
  <c r="CF58" i="1" s="1"/>
  <c r="CH60" i="2"/>
  <c r="CF55" i="1" s="1"/>
  <c r="CH59" i="2"/>
  <c r="CH54" i="2"/>
  <c r="CF16" i="1" s="1"/>
  <c r="CF56" i="1" s="1"/>
  <c r="CH52" i="2"/>
  <c r="CF14" i="1" s="1"/>
  <c r="CF24" i="1" s="1"/>
  <c r="CF35" i="1" s="1"/>
  <c r="CH46" i="2"/>
  <c r="CH48" i="2"/>
  <c r="CH39" i="2"/>
  <c r="CH41" i="2"/>
  <c r="CF37" i="8" s="1"/>
  <c r="CH23" i="2"/>
  <c r="CH30" i="2"/>
  <c r="CF13" i="7" s="1"/>
  <c r="CH25" i="2"/>
  <c r="CH28" i="2"/>
  <c r="CH18" i="2"/>
  <c r="CH6" i="2" s="1"/>
  <c r="CI5" i="2"/>
  <c r="CG24" i="2"/>
  <c r="CE11" i="5" s="1"/>
  <c r="CE11" i="6" s="1"/>
  <c r="CE11" i="7" s="1"/>
  <c r="CG5" i="11" l="1"/>
  <c r="CG5" i="18"/>
  <c r="CG57" i="18" s="1"/>
  <c r="CB7" i="11"/>
  <c r="CB7" i="18"/>
  <c r="CF6" i="18"/>
  <c r="CF6" i="11"/>
  <c r="BZ99" i="8"/>
  <c r="BZ134" i="8" s="1"/>
  <c r="BZ136" i="8" s="1"/>
  <c r="BZ41" i="8"/>
  <c r="BZ41" i="13"/>
  <c r="BZ29" i="7"/>
  <c r="BZ16" i="13"/>
  <c r="BZ45" i="9"/>
  <c r="CA51" i="6"/>
  <c r="CB93" i="8"/>
  <c r="CE47" i="2"/>
  <c r="BZ58" i="6"/>
  <c r="BZ56" i="6"/>
  <c r="BZ57" i="6"/>
  <c r="BZ54" i="6"/>
  <c r="BZ55" i="6"/>
  <c r="BZ40" i="7"/>
  <c r="BY43" i="8"/>
  <c r="BX44" i="8"/>
  <c r="BX48" i="8" s="1"/>
  <c r="BV14" i="10"/>
  <c r="BW63" i="6"/>
  <c r="BW10" i="10"/>
  <c r="BW13" i="10" s="1"/>
  <c r="BW10" i="11" s="1"/>
  <c r="BW70" i="6"/>
  <c r="BW13" i="13"/>
  <c r="CA19" i="7"/>
  <c r="CA39" i="7"/>
  <c r="CA27" i="6"/>
  <c r="CA28" i="6" s="1"/>
  <c r="CA30" i="6" s="1"/>
  <c r="CA34" i="5"/>
  <c r="CA36" i="5" s="1"/>
  <c r="CA38" i="5" s="1"/>
  <c r="CA11" i="11" s="1"/>
  <c r="CA55" i="8"/>
  <c r="CA39" i="8"/>
  <c r="CA40" i="8"/>
  <c r="CA56" i="8"/>
  <c r="CA58" i="8" s="1"/>
  <c r="CE40" i="2"/>
  <c r="CB36" i="8"/>
  <c r="CB115" i="8"/>
  <c r="CB135" i="8" s="1"/>
  <c r="CB39" i="13"/>
  <c r="CB13" i="12"/>
  <c r="CB18" i="12" s="1"/>
  <c r="BX79" i="6"/>
  <c r="BX14" i="13"/>
  <c r="BX11" i="10"/>
  <c r="BX26" i="7"/>
  <c r="BY59" i="6"/>
  <c r="BY61" i="6" s="1"/>
  <c r="CB15" i="1"/>
  <c r="CD56" i="2"/>
  <c r="CE53" i="2"/>
  <c r="CD57" i="2"/>
  <c r="CD8" i="2" s="1"/>
  <c r="BY43" i="13"/>
  <c r="BY101" i="8"/>
  <c r="BZ20" i="7"/>
  <c r="BZ21" i="7" s="1"/>
  <c r="BZ37" i="6"/>
  <c r="CC35" i="9"/>
  <c r="CC12" i="5"/>
  <c r="CC12" i="6" s="1"/>
  <c r="CF29" i="2"/>
  <c r="CE19" i="2"/>
  <c r="CE7" i="2" s="1"/>
  <c r="CC8" i="4"/>
  <c r="CA8" i="1"/>
  <c r="BX25" i="7"/>
  <c r="BX39" i="6"/>
  <c r="CD43" i="2"/>
  <c r="CB7" i="14"/>
  <c r="CB7" i="7"/>
  <c r="CB7" i="15"/>
  <c r="CB7" i="5"/>
  <c r="CB7" i="13"/>
  <c r="CB7" i="6"/>
  <c r="CD7" i="4"/>
  <c r="CB7" i="1"/>
  <c r="CB7" i="9"/>
  <c r="CB7" i="8"/>
  <c r="CB7" i="12"/>
  <c r="CB7" i="10"/>
  <c r="BY41" i="7"/>
  <c r="BY38" i="6"/>
  <c r="CD34" i="2"/>
  <c r="CB36" i="9"/>
  <c r="CE32" i="2"/>
  <c r="CB15" i="7"/>
  <c r="CB14" i="6"/>
  <c r="BZ100" i="8"/>
  <c r="BZ42" i="13"/>
  <c r="CB44" i="6"/>
  <c r="CB50" i="6"/>
  <c r="CB49" i="6"/>
  <c r="CB47" i="6"/>
  <c r="CB48" i="6"/>
  <c r="CB45" i="6"/>
  <c r="CB12" i="7"/>
  <c r="CB24" i="6"/>
  <c r="CB46" i="6"/>
  <c r="CG5" i="14"/>
  <c r="CG5" i="13"/>
  <c r="CG5" i="15"/>
  <c r="CG5" i="12"/>
  <c r="CG5" i="9"/>
  <c r="CG5" i="10"/>
  <c r="CG5" i="8"/>
  <c r="CG5" i="6"/>
  <c r="CG5" i="7"/>
  <c r="CG5" i="5"/>
  <c r="CF35" i="8"/>
  <c r="CF6" i="15"/>
  <c r="CF6" i="14"/>
  <c r="CF6" i="13"/>
  <c r="CF6" i="12"/>
  <c r="CF6" i="10"/>
  <c r="CF6" i="9"/>
  <c r="CF6" i="8"/>
  <c r="CF6" i="6"/>
  <c r="CF6" i="7"/>
  <c r="CF6" i="5"/>
  <c r="CF61" i="1"/>
  <c r="CF70" i="1" s="1"/>
  <c r="AU30" i="7"/>
  <c r="AU18" i="13"/>
  <c r="AX74" i="6"/>
  <c r="AX87" i="6" s="1"/>
  <c r="AY69" i="6"/>
  <c r="AV80" i="6"/>
  <c r="AV81" i="6" s="1"/>
  <c r="AV29" i="14" s="1"/>
  <c r="CK15" i="5"/>
  <c r="CK17" i="6" s="1"/>
  <c r="CI5" i="4"/>
  <c r="CG5" i="1"/>
  <c r="CG18" i="1" s="1"/>
  <c r="CG58" i="1" s="1"/>
  <c r="CH6" i="4"/>
  <c r="CF6" i="1"/>
  <c r="CH24" i="2"/>
  <c r="CF11" i="5" s="1"/>
  <c r="CF11" i="6" s="1"/>
  <c r="CF11" i="7" s="1"/>
  <c r="CI60" i="2"/>
  <c r="CG55" i="1" s="1"/>
  <c r="CI54" i="2"/>
  <c r="CG16" i="1" s="1"/>
  <c r="CG56" i="1" s="1"/>
  <c r="CI52" i="2"/>
  <c r="CG14" i="1" s="1"/>
  <c r="CG24" i="1" s="1"/>
  <c r="CG35" i="1" s="1"/>
  <c r="CI59" i="2"/>
  <c r="CI48" i="2"/>
  <c r="CI39" i="2"/>
  <c r="CI41" i="2"/>
  <c r="CG37" i="8" s="1"/>
  <c r="CI46" i="2"/>
  <c r="CI30" i="2"/>
  <c r="CG13" i="7" s="1"/>
  <c r="CI25" i="2"/>
  <c r="CI28" i="2"/>
  <c r="CI23" i="2"/>
  <c r="CI18" i="2"/>
  <c r="CI6" i="2" s="1"/>
  <c r="CJ5" i="2"/>
  <c r="CH5" i="11" l="1"/>
  <c r="CH5" i="18"/>
  <c r="CH57" i="18" s="1"/>
  <c r="CG6" i="11"/>
  <c r="CG6" i="18"/>
  <c r="CC7" i="18"/>
  <c r="CC7" i="11"/>
  <c r="CE43" i="2"/>
  <c r="CC7" i="12"/>
  <c r="CC7" i="7"/>
  <c r="CC7" i="13"/>
  <c r="CE7" i="4"/>
  <c r="CC7" i="1"/>
  <c r="CC7" i="14"/>
  <c r="CC7" i="10"/>
  <c r="CC7" i="8"/>
  <c r="CC7" i="6"/>
  <c r="CC7" i="9"/>
  <c r="CC7" i="15"/>
  <c r="CC7" i="5"/>
  <c r="CD8" i="4"/>
  <c r="CB8" i="1"/>
  <c r="BZ38" i="6"/>
  <c r="BZ41" i="7"/>
  <c r="CE34" i="2"/>
  <c r="CC14" i="6"/>
  <c r="CC15" i="7"/>
  <c r="CF32" i="2"/>
  <c r="CC36" i="9"/>
  <c r="CD12" i="5"/>
  <c r="CD12" i="6" s="1"/>
  <c r="CD35" i="9"/>
  <c r="CG29" i="2"/>
  <c r="CF19" i="2"/>
  <c r="CF7" i="2" s="1"/>
  <c r="CC15" i="1"/>
  <c r="CF53" i="2"/>
  <c r="CE57" i="2"/>
  <c r="CE8" i="2" s="1"/>
  <c r="CE56" i="2"/>
  <c r="CA100" i="8"/>
  <c r="CA42" i="13"/>
  <c r="CC47" i="6"/>
  <c r="CC12" i="7"/>
  <c r="CC44" i="6"/>
  <c r="CC45" i="6"/>
  <c r="CC24" i="6"/>
  <c r="CC48" i="6"/>
  <c r="CC50" i="6"/>
  <c r="CC46" i="6"/>
  <c r="CC49" i="6"/>
  <c r="CA41" i="13"/>
  <c r="CA99" i="8"/>
  <c r="CA134" i="8" s="1"/>
  <c r="CA136" i="8" s="1"/>
  <c r="CA41" i="8"/>
  <c r="BW14" i="10"/>
  <c r="BZ59" i="6"/>
  <c r="BZ61" i="6" s="1"/>
  <c r="CB34" i="5"/>
  <c r="CB36" i="5" s="1"/>
  <c r="CB38" i="5" s="1"/>
  <c r="CB11" i="11" s="1"/>
  <c r="CB27" i="6"/>
  <c r="CB28" i="6" s="1"/>
  <c r="CB30" i="6" s="1"/>
  <c r="CB51" i="6"/>
  <c r="BX70" i="6"/>
  <c r="BX10" i="10"/>
  <c r="BX13" i="10" s="1"/>
  <c r="BX10" i="11" s="1"/>
  <c r="BX63" i="6"/>
  <c r="BX13" i="13"/>
  <c r="BY14" i="13"/>
  <c r="BY79" i="6"/>
  <c r="BY26" i="7"/>
  <c r="BY11" i="10"/>
  <c r="CA45" i="9"/>
  <c r="CA16" i="13"/>
  <c r="CA29" i="7"/>
  <c r="BY25" i="7"/>
  <c r="BY39" i="6"/>
  <c r="CB40" i="8"/>
  <c r="CB56" i="8"/>
  <c r="CB58" i="8" s="1"/>
  <c r="CB39" i="8"/>
  <c r="CB55" i="8"/>
  <c r="CB39" i="7"/>
  <c r="CB19" i="7"/>
  <c r="CC39" i="13"/>
  <c r="CC13" i="12"/>
  <c r="CC18" i="12" s="1"/>
  <c r="CC115" i="8"/>
  <c r="CC135" i="8" s="1"/>
  <c r="CF40" i="2"/>
  <c r="CC36" i="8"/>
  <c r="CA37" i="6"/>
  <c r="CA20" i="7"/>
  <c r="CA21" i="7" s="1"/>
  <c r="CC93" i="8"/>
  <c r="CF47" i="2"/>
  <c r="BZ43" i="13"/>
  <c r="BZ101" i="8"/>
  <c r="CA54" i="6"/>
  <c r="CA57" i="6"/>
  <c r="CA55" i="6"/>
  <c r="CA58" i="6"/>
  <c r="CA40" i="7"/>
  <c r="CA56" i="6"/>
  <c r="BY44" i="8"/>
  <c r="BY48" i="8" s="1"/>
  <c r="BZ43" i="8"/>
  <c r="CH5" i="14"/>
  <c r="CH5" i="15"/>
  <c r="CH5" i="13"/>
  <c r="CH5" i="12"/>
  <c r="CH5" i="9"/>
  <c r="CH5" i="10"/>
  <c r="CH5" i="8"/>
  <c r="CH5" i="7"/>
  <c r="CH5" i="6"/>
  <c r="CH5" i="5"/>
  <c r="CG35" i="8"/>
  <c r="CG6" i="14"/>
  <c r="CG6" i="15"/>
  <c r="CG6" i="13"/>
  <c r="CG6" i="12"/>
  <c r="CG6" i="10"/>
  <c r="CG6" i="9"/>
  <c r="CG6" i="8"/>
  <c r="CG6" i="7"/>
  <c r="CG6" i="5"/>
  <c r="CG6" i="6"/>
  <c r="CG61" i="1"/>
  <c r="CG70" i="1" s="1"/>
  <c r="AV83" i="6"/>
  <c r="AV88" i="6" s="1"/>
  <c r="AV89" i="6" s="1"/>
  <c r="AV13" i="11" s="1"/>
  <c r="AW78" i="6"/>
  <c r="AY71" i="6"/>
  <c r="AY72" i="6" s="1"/>
  <c r="AY18" i="14" s="1"/>
  <c r="CL15" i="5"/>
  <c r="CL17" i="6" s="1"/>
  <c r="CI6" i="4"/>
  <c r="CG6" i="1"/>
  <c r="CJ5" i="4"/>
  <c r="CH5" i="1"/>
  <c r="CH18" i="1" s="1"/>
  <c r="CH58" i="1" s="1"/>
  <c r="CI24" i="2"/>
  <c r="CG11" i="5" s="1"/>
  <c r="CG11" i="6" s="1"/>
  <c r="CG11" i="7" s="1"/>
  <c r="CJ59" i="2"/>
  <c r="CJ54" i="2"/>
  <c r="CH16" i="1" s="1"/>
  <c r="CH56" i="1" s="1"/>
  <c r="CJ60" i="2"/>
  <c r="CH55" i="1" s="1"/>
  <c r="CJ52" i="2"/>
  <c r="CH14" i="1" s="1"/>
  <c r="CH24" i="1" s="1"/>
  <c r="CH35" i="1" s="1"/>
  <c r="CJ46" i="2"/>
  <c r="CJ48" i="2"/>
  <c r="CJ39" i="2"/>
  <c r="CJ41" i="2"/>
  <c r="CH37" i="8" s="1"/>
  <c r="CJ30" i="2"/>
  <c r="CH13" i="7" s="1"/>
  <c r="CJ25" i="2"/>
  <c r="CJ28" i="2"/>
  <c r="CJ18" i="2"/>
  <c r="CJ6" i="2" s="1"/>
  <c r="CJ23" i="2"/>
  <c r="CK5" i="2"/>
  <c r="CH6" i="18" l="1"/>
  <c r="CH6" i="11"/>
  <c r="CD7" i="11"/>
  <c r="CD7" i="18"/>
  <c r="CI5" i="18"/>
  <c r="CI57" i="18" s="1"/>
  <c r="CI5" i="11"/>
  <c r="CA38" i="6"/>
  <c r="CA41" i="7"/>
  <c r="CB29" i="7"/>
  <c r="CB45" i="9"/>
  <c r="CB16" i="13"/>
  <c r="CB20" i="7"/>
  <c r="CB21" i="7" s="1"/>
  <c r="CB37" i="6"/>
  <c r="BZ11" i="10"/>
  <c r="BZ14" i="13"/>
  <c r="BZ79" i="6"/>
  <c r="BZ26" i="7"/>
  <c r="CD48" i="6"/>
  <c r="CD24" i="6"/>
  <c r="CD45" i="6"/>
  <c r="CD47" i="6"/>
  <c r="CD44" i="6"/>
  <c r="CD12" i="7"/>
  <c r="CD46" i="6"/>
  <c r="CD50" i="6"/>
  <c r="CD49" i="6"/>
  <c r="BX14" i="10"/>
  <c r="CC39" i="8"/>
  <c r="CC55" i="8"/>
  <c r="CC56" i="8"/>
  <c r="CC58" i="8" s="1"/>
  <c r="CC40" i="8"/>
  <c r="CB41" i="13"/>
  <c r="CB99" i="8"/>
  <c r="CB134" i="8" s="1"/>
  <c r="CB136" i="8" s="1"/>
  <c r="CB41" i="8"/>
  <c r="CC8" i="1"/>
  <c r="CE8" i="4"/>
  <c r="CD36" i="9"/>
  <c r="CD14" i="6"/>
  <c r="CD15" i="7"/>
  <c r="CF34" i="2"/>
  <c r="CG32" i="2"/>
  <c r="BZ44" i="8"/>
  <c r="BZ48" i="8" s="1"/>
  <c r="CA43" i="8"/>
  <c r="CA59" i="6"/>
  <c r="CA61" i="6" s="1"/>
  <c r="CD36" i="8"/>
  <c r="CD115" i="8"/>
  <c r="CD135" i="8" s="1"/>
  <c r="CG40" i="2"/>
  <c r="CD39" i="13"/>
  <c r="CD13" i="12"/>
  <c r="CD18" i="12" s="1"/>
  <c r="CA101" i="8"/>
  <c r="CA43" i="13"/>
  <c r="CD15" i="1"/>
  <c r="CF57" i="2"/>
  <c r="CF8" i="2" s="1"/>
  <c r="CF56" i="2"/>
  <c r="CG53" i="2"/>
  <c r="CB100" i="8"/>
  <c r="CB42" i="13"/>
  <c r="CC51" i="6"/>
  <c r="BY13" i="13"/>
  <c r="BY70" i="6"/>
  <c r="BY10" i="10"/>
  <c r="BY13" i="10" s="1"/>
  <c r="BY10" i="11" s="1"/>
  <c r="BY63" i="6"/>
  <c r="CF43" i="2"/>
  <c r="CG43" i="2" s="1"/>
  <c r="CC19" i="7"/>
  <c r="CC39" i="7"/>
  <c r="CD7" i="12"/>
  <c r="CD7" i="1"/>
  <c r="CD7" i="9"/>
  <c r="CD7" i="10"/>
  <c r="CD7" i="8"/>
  <c r="CD7" i="15"/>
  <c r="CF7" i="4"/>
  <c r="CD7" i="6"/>
  <c r="CD7" i="13"/>
  <c r="CD7" i="5"/>
  <c r="CD7" i="14"/>
  <c r="CD7" i="7"/>
  <c r="CC27" i="6"/>
  <c r="CC28" i="6" s="1"/>
  <c r="CC30" i="6" s="1"/>
  <c r="CC34" i="5"/>
  <c r="CC36" i="5" s="1"/>
  <c r="CC38" i="5" s="1"/>
  <c r="CC11" i="11" s="1"/>
  <c r="CD93" i="8"/>
  <c r="CG47" i="2"/>
  <c r="CB56" i="6"/>
  <c r="CB57" i="6"/>
  <c r="CB40" i="7"/>
  <c r="CB55" i="6"/>
  <c r="CB58" i="6"/>
  <c r="CB54" i="6"/>
  <c r="CE35" i="9"/>
  <c r="CE12" i="5"/>
  <c r="CE12" i="6" s="1"/>
  <c r="CH29" i="2"/>
  <c r="CG19" i="2"/>
  <c r="CG7" i="2" s="1"/>
  <c r="BZ39" i="6"/>
  <c r="BZ25" i="7"/>
  <c r="CI5" i="15"/>
  <c r="CI5" i="14"/>
  <c r="CI5" i="13"/>
  <c r="CI5" i="12"/>
  <c r="CI5" i="10"/>
  <c r="CI5" i="9"/>
  <c r="CI5" i="8"/>
  <c r="CI5" i="7"/>
  <c r="CI5" i="6"/>
  <c r="CI5" i="5"/>
  <c r="CH6" i="14"/>
  <c r="CH6" i="15"/>
  <c r="CH6" i="13"/>
  <c r="CH6" i="12"/>
  <c r="CH6" i="10"/>
  <c r="CH6" i="9"/>
  <c r="CH6" i="8"/>
  <c r="CH6" i="7"/>
  <c r="CH6" i="6"/>
  <c r="CH6" i="5"/>
  <c r="CH35" i="8"/>
  <c r="CH61" i="1"/>
  <c r="CH70" i="1" s="1"/>
  <c r="AV30" i="7"/>
  <c r="AV18" i="13"/>
  <c r="AY74" i="6"/>
  <c r="AY87" i="6" s="1"/>
  <c r="AZ69" i="6"/>
  <c r="AW80" i="6"/>
  <c r="AW81" i="6" s="1"/>
  <c r="AW29" i="14" s="1"/>
  <c r="CM15" i="5"/>
  <c r="CM17" i="6" s="1"/>
  <c r="CJ6" i="4"/>
  <c r="CH6" i="1"/>
  <c r="CK5" i="4"/>
  <c r="CI5" i="1"/>
  <c r="CI18" i="1" s="1"/>
  <c r="CI58" i="1" s="1"/>
  <c r="CK52" i="2"/>
  <c r="CI14" i="1" s="1"/>
  <c r="CI24" i="1" s="1"/>
  <c r="CI35" i="1" s="1"/>
  <c r="CK54" i="2"/>
  <c r="CI16" i="1" s="1"/>
  <c r="CI56" i="1" s="1"/>
  <c r="CK46" i="2"/>
  <c r="CK59" i="2"/>
  <c r="CK48" i="2"/>
  <c r="CK60" i="2"/>
  <c r="CI55" i="1" s="1"/>
  <c r="CK41" i="2"/>
  <c r="CI37" i="8" s="1"/>
  <c r="CK30" i="2"/>
  <c r="CI13" i="7" s="1"/>
  <c r="CK25" i="2"/>
  <c r="CK28" i="2"/>
  <c r="CK18" i="2"/>
  <c r="CK6" i="2" s="1"/>
  <c r="CK23" i="2"/>
  <c r="CK39" i="2"/>
  <c r="CL5" i="2"/>
  <c r="CJ24" i="2"/>
  <c r="CH11" i="5" s="1"/>
  <c r="CH11" i="6" s="1"/>
  <c r="CH11" i="7" s="1"/>
  <c r="CE7" i="18" l="1"/>
  <c r="CE7" i="11"/>
  <c r="CI6" i="11"/>
  <c r="CI6" i="18"/>
  <c r="CJ5" i="11"/>
  <c r="CJ5" i="18"/>
  <c r="CJ57" i="18" s="1"/>
  <c r="CE49" i="6"/>
  <c r="CE47" i="6"/>
  <c r="CE46" i="6"/>
  <c r="CE12" i="7"/>
  <c r="CE24" i="6"/>
  <c r="CE45" i="6"/>
  <c r="CE48" i="6"/>
  <c r="CE50" i="6"/>
  <c r="CE44" i="6"/>
  <c r="CB101" i="8"/>
  <c r="CB43" i="13"/>
  <c r="CB59" i="6"/>
  <c r="CB61" i="6" s="1"/>
  <c r="CC45" i="9"/>
  <c r="CC16" i="13"/>
  <c r="CC29" i="7"/>
  <c r="CE14" i="6"/>
  <c r="CG34" i="2"/>
  <c r="CE15" i="7"/>
  <c r="CE36" i="9"/>
  <c r="CH32" i="2"/>
  <c r="CC20" i="7"/>
  <c r="CC21" i="7" s="1"/>
  <c r="CC37" i="6"/>
  <c r="CC40" i="7"/>
  <c r="CC54" i="6"/>
  <c r="CC55" i="6"/>
  <c r="CC56" i="6"/>
  <c r="CC58" i="6"/>
  <c r="CC57" i="6"/>
  <c r="CE15" i="1"/>
  <c r="CG56" i="2"/>
  <c r="CG57" i="2"/>
  <c r="CG8" i="2" s="1"/>
  <c r="CH53" i="2"/>
  <c r="CE13" i="12"/>
  <c r="CE18" i="12" s="1"/>
  <c r="CE39" i="13"/>
  <c r="CE115" i="8"/>
  <c r="CE135" i="8" s="1"/>
  <c r="CH40" i="2"/>
  <c r="CE36" i="8"/>
  <c r="CD34" i="5"/>
  <c r="CD36" i="5" s="1"/>
  <c r="CD38" i="5" s="1"/>
  <c r="CD11" i="11" s="1"/>
  <c r="CD27" i="6"/>
  <c r="CD28" i="6" s="1"/>
  <c r="CD30" i="6" s="1"/>
  <c r="CC42" i="13"/>
  <c r="CC100" i="8"/>
  <c r="BZ10" i="10"/>
  <c r="BZ13" i="10" s="1"/>
  <c r="BZ10" i="11" s="1"/>
  <c r="BZ70" i="6"/>
  <c r="BZ63" i="6"/>
  <c r="BZ13" i="13"/>
  <c r="CB38" i="6"/>
  <c r="CB41" i="7"/>
  <c r="BY14" i="10"/>
  <c r="CF8" i="4"/>
  <c r="CD8" i="1"/>
  <c r="CD56" i="8"/>
  <c r="CD58" i="8" s="1"/>
  <c r="CD40" i="8"/>
  <c r="CD55" i="8"/>
  <c r="CD39" i="8"/>
  <c r="CE7" i="15"/>
  <c r="CE7" i="7"/>
  <c r="CE7" i="6"/>
  <c r="CE7" i="1"/>
  <c r="CE7" i="14"/>
  <c r="CE7" i="5"/>
  <c r="CG7" i="4"/>
  <c r="CE7" i="13"/>
  <c r="CE7" i="8"/>
  <c r="CE7" i="10"/>
  <c r="CE7" i="12"/>
  <c r="CE7" i="9"/>
  <c r="CA79" i="6"/>
  <c r="CA11" i="10"/>
  <c r="CA14" i="13"/>
  <c r="CA26" i="7"/>
  <c r="CD19" i="7"/>
  <c r="CD39" i="7"/>
  <c r="CA25" i="7"/>
  <c r="CA39" i="6"/>
  <c r="CE93" i="8"/>
  <c r="CH47" i="2"/>
  <c r="CF35" i="9"/>
  <c r="CF12" i="5"/>
  <c r="CF12" i="6" s="1"/>
  <c r="CI29" i="2"/>
  <c r="CH19" i="2"/>
  <c r="CH7" i="2" s="1"/>
  <c r="CB43" i="8"/>
  <c r="CA44" i="8"/>
  <c r="CA48" i="8" s="1"/>
  <c r="CC99" i="8"/>
  <c r="CC134" i="8" s="1"/>
  <c r="CC136" i="8" s="1"/>
  <c r="CC41" i="13"/>
  <c r="CC41" i="8"/>
  <c r="CD51" i="6"/>
  <c r="CI35" i="8"/>
  <c r="CJ5" i="14"/>
  <c r="CJ5" i="15"/>
  <c r="CJ5" i="13"/>
  <c r="CJ5" i="12"/>
  <c r="CJ5" i="10"/>
  <c r="CJ5" i="9"/>
  <c r="CJ5" i="8"/>
  <c r="CJ5" i="7"/>
  <c r="CJ5" i="6"/>
  <c r="CJ5" i="5"/>
  <c r="CI6" i="15"/>
  <c r="CI6" i="14"/>
  <c r="CI6" i="13"/>
  <c r="CI6" i="12"/>
  <c r="CI6" i="10"/>
  <c r="CI6" i="9"/>
  <c r="CI6" i="8"/>
  <c r="CI6" i="5"/>
  <c r="CI6" i="7"/>
  <c r="CI6" i="6"/>
  <c r="CI61" i="1"/>
  <c r="CI70" i="1" s="1"/>
  <c r="AW83" i="6"/>
  <c r="AW88" i="6" s="1"/>
  <c r="AW89" i="6" s="1"/>
  <c r="AW13" i="11" s="1"/>
  <c r="AX78" i="6"/>
  <c r="AZ71" i="6"/>
  <c r="AZ72" i="6" s="1"/>
  <c r="AZ18" i="14" s="1"/>
  <c r="CN15" i="5"/>
  <c r="CN17" i="6" s="1"/>
  <c r="CL5" i="4"/>
  <c r="CJ5" i="1"/>
  <c r="CJ18" i="1" s="1"/>
  <c r="CJ58" i="1" s="1"/>
  <c r="CK6" i="4"/>
  <c r="CI6" i="1"/>
  <c r="CK24" i="2"/>
  <c r="CI11" i="5" s="1"/>
  <c r="CI11" i="6" s="1"/>
  <c r="CI11" i="7" s="1"/>
  <c r="CL59" i="2"/>
  <c r="CL60" i="2"/>
  <c r="CJ55" i="1" s="1"/>
  <c r="CL52" i="2"/>
  <c r="CJ14" i="1" s="1"/>
  <c r="CJ24" i="1" s="1"/>
  <c r="CJ35" i="1" s="1"/>
  <c r="CL46" i="2"/>
  <c r="CL48" i="2"/>
  <c r="CL41" i="2"/>
  <c r="CJ37" i="8" s="1"/>
  <c r="CL30" i="2"/>
  <c r="CJ13" i="7" s="1"/>
  <c r="CL54" i="2"/>
  <c r="CJ16" i="1" s="1"/>
  <c r="CJ56" i="1" s="1"/>
  <c r="CL39" i="2"/>
  <c r="CL28" i="2"/>
  <c r="CL18" i="2"/>
  <c r="CL6" i="2" s="1"/>
  <c r="CL25" i="2"/>
  <c r="CM5" i="2"/>
  <c r="CL23" i="2"/>
  <c r="CK5" i="11" l="1"/>
  <c r="CK5" i="18"/>
  <c r="CK57" i="18" s="1"/>
  <c r="CJ6" i="11"/>
  <c r="CJ6" i="18"/>
  <c r="CF7" i="11"/>
  <c r="CF7" i="18"/>
  <c r="CB44" i="8"/>
  <c r="CB48" i="8" s="1"/>
  <c r="CC43" i="8"/>
  <c r="CF13" i="12"/>
  <c r="CF18" i="12" s="1"/>
  <c r="CF115" i="8"/>
  <c r="CF135" i="8" s="1"/>
  <c r="CF36" i="8"/>
  <c r="CI40" i="2"/>
  <c r="CF39" i="13"/>
  <c r="CH43" i="2"/>
  <c r="CF7" i="10"/>
  <c r="CF7" i="1"/>
  <c r="CF7" i="8"/>
  <c r="CF7" i="14"/>
  <c r="CF7" i="6"/>
  <c r="CF7" i="13"/>
  <c r="CF7" i="5"/>
  <c r="CF7" i="9"/>
  <c r="CF7" i="7"/>
  <c r="CF7" i="12"/>
  <c r="CH7" i="4"/>
  <c r="CF7" i="15"/>
  <c r="CD20" i="7"/>
  <c r="CD21" i="7" s="1"/>
  <c r="CD37" i="6"/>
  <c r="BZ14" i="10"/>
  <c r="CG35" i="9"/>
  <c r="CG12" i="5"/>
  <c r="CG12" i="6" s="1"/>
  <c r="CI19" i="2"/>
  <c r="CI7" i="2" s="1"/>
  <c r="CJ29" i="2"/>
  <c r="CI32" i="2"/>
  <c r="CH34" i="2"/>
  <c r="CF36" i="9"/>
  <c r="CF15" i="7"/>
  <c r="CF14" i="6"/>
  <c r="CF24" i="6"/>
  <c r="CF44" i="6"/>
  <c r="CF50" i="6"/>
  <c r="CF46" i="6"/>
  <c r="CF12" i="7"/>
  <c r="CF45" i="6"/>
  <c r="CF48" i="6"/>
  <c r="CF49" i="6"/>
  <c r="CF47" i="6"/>
  <c r="CB11" i="10"/>
  <c r="CB14" i="13"/>
  <c r="CB26" i="7"/>
  <c r="CB79" i="6"/>
  <c r="CE19" i="7"/>
  <c r="CE39" i="7"/>
  <c r="CE39" i="8"/>
  <c r="CE40" i="8"/>
  <c r="CE55" i="8"/>
  <c r="CE56" i="8"/>
  <c r="CE58" i="8" s="1"/>
  <c r="CC101" i="8"/>
  <c r="CC43" i="13"/>
  <c r="CD41" i="13"/>
  <c r="CD99" i="8"/>
  <c r="CD134" i="8" s="1"/>
  <c r="CD136" i="8" s="1"/>
  <c r="CD41" i="8"/>
  <c r="CB39" i="6"/>
  <c r="CB25" i="7"/>
  <c r="CF15" i="1"/>
  <c r="CI53" i="2"/>
  <c r="CH57" i="2"/>
  <c r="CH8" i="2" s="1"/>
  <c r="CH56" i="2"/>
  <c r="CA10" i="10"/>
  <c r="CA13" i="10" s="1"/>
  <c r="CA10" i="11" s="1"/>
  <c r="CA70" i="6"/>
  <c r="CA13" i="13"/>
  <c r="CA63" i="6"/>
  <c r="CF93" i="8"/>
  <c r="CI47" i="2"/>
  <c r="CD56" i="6"/>
  <c r="CD40" i="7"/>
  <c r="CD54" i="6"/>
  <c r="CD55" i="6"/>
  <c r="CD58" i="6"/>
  <c r="CD57" i="6"/>
  <c r="CG8" i="4"/>
  <c r="CE8" i="1"/>
  <c r="CC59" i="6"/>
  <c r="CC61" i="6" s="1"/>
  <c r="CE27" i="6"/>
  <c r="CE28" i="6" s="1"/>
  <c r="CE30" i="6" s="1"/>
  <c r="CE34" i="5"/>
  <c r="CE36" i="5" s="1"/>
  <c r="CE38" i="5" s="1"/>
  <c r="CE11" i="11" s="1"/>
  <c r="CD42" i="13"/>
  <c r="CD100" i="8"/>
  <c r="CD45" i="9"/>
  <c r="CD29" i="7"/>
  <c r="CD16" i="13"/>
  <c r="CC38" i="6"/>
  <c r="CC41" i="7"/>
  <c r="CE51" i="6"/>
  <c r="CJ35" i="8"/>
  <c r="CK5" i="14"/>
  <c r="CK5" i="15"/>
  <c r="CK5" i="10"/>
  <c r="CK5" i="12"/>
  <c r="CK5" i="13"/>
  <c r="CK5" i="9"/>
  <c r="CK5" i="8"/>
  <c r="CK5" i="6"/>
  <c r="CK5" i="7"/>
  <c r="CK5" i="5"/>
  <c r="CJ6" i="15"/>
  <c r="CJ6" i="14"/>
  <c r="CJ6" i="13"/>
  <c r="CJ6" i="10"/>
  <c r="CJ6" i="12"/>
  <c r="CJ6" i="9"/>
  <c r="CJ6" i="8"/>
  <c r="CJ6" i="7"/>
  <c r="CJ6" i="6"/>
  <c r="CJ6" i="5"/>
  <c r="CJ61" i="1"/>
  <c r="CJ70" i="1" s="1"/>
  <c r="AW30" i="7"/>
  <c r="AW18" i="13"/>
  <c r="AZ74" i="6"/>
  <c r="AZ87" i="6" s="1"/>
  <c r="BA69" i="6"/>
  <c r="AX80" i="6"/>
  <c r="AX81" i="6" s="1"/>
  <c r="AX29" i="14" s="1"/>
  <c r="CO15" i="5"/>
  <c r="CO17" i="6" s="1"/>
  <c r="CL6" i="4"/>
  <c r="CJ6" i="1"/>
  <c r="CM5" i="4"/>
  <c r="CK5" i="1"/>
  <c r="CK18" i="1" s="1"/>
  <c r="CK58" i="1" s="1"/>
  <c r="CM59" i="2"/>
  <c r="CM54" i="2"/>
  <c r="CK16" i="1" s="1"/>
  <c r="CK56" i="1" s="1"/>
  <c r="CM48" i="2"/>
  <c r="CM60" i="2"/>
  <c r="CK55" i="1" s="1"/>
  <c r="CM41" i="2"/>
  <c r="CK37" i="8" s="1"/>
  <c r="CM30" i="2"/>
  <c r="CK13" i="7" s="1"/>
  <c r="CM46" i="2"/>
  <c r="CM39" i="2"/>
  <c r="CM52" i="2"/>
  <c r="CK14" i="1" s="1"/>
  <c r="CK24" i="1" s="1"/>
  <c r="CK35" i="1" s="1"/>
  <c r="CM23" i="2"/>
  <c r="CM28" i="2"/>
  <c r="CM25" i="2"/>
  <c r="CN5" i="2"/>
  <c r="CM18" i="2"/>
  <c r="CM6" i="2" s="1"/>
  <c r="CL24" i="2"/>
  <c r="CJ11" i="5" s="1"/>
  <c r="CJ11" i="6" s="1"/>
  <c r="CJ11" i="7" s="1"/>
  <c r="CG7" i="11" l="1"/>
  <c r="CG7" i="18"/>
  <c r="CL5" i="18"/>
  <c r="CL57" i="18" s="1"/>
  <c r="CL5" i="11"/>
  <c r="CK6" i="11"/>
  <c r="CK6" i="18"/>
  <c r="CF51" i="6"/>
  <c r="CC11" i="10"/>
  <c r="CC26" i="7"/>
  <c r="CC14" i="13"/>
  <c r="CC79" i="6"/>
  <c r="CF8" i="1"/>
  <c r="CH8" i="4"/>
  <c r="CF39" i="7"/>
  <c r="CF19" i="7"/>
  <c r="CF27" i="6"/>
  <c r="CF28" i="6" s="1"/>
  <c r="CF30" i="6" s="1"/>
  <c r="CF34" i="5"/>
  <c r="CF36" i="5" s="1"/>
  <c r="CF38" i="5" s="1"/>
  <c r="CF11" i="11" s="1"/>
  <c r="CG93" i="8"/>
  <c r="CJ47" i="2"/>
  <c r="CG15" i="1"/>
  <c r="CI57" i="2"/>
  <c r="CI8" i="2" s="1"/>
  <c r="CJ53" i="2"/>
  <c r="CI56" i="2"/>
  <c r="CI34" i="2"/>
  <c r="CJ32" i="2"/>
  <c r="CG15" i="7"/>
  <c r="CG36" i="9"/>
  <c r="CG14" i="6"/>
  <c r="CG39" i="13"/>
  <c r="CG13" i="12"/>
  <c r="CG18" i="12" s="1"/>
  <c r="CG115" i="8"/>
  <c r="CG135" i="8" s="1"/>
  <c r="CG36" i="8"/>
  <c r="CJ40" i="2"/>
  <c r="CH12" i="5"/>
  <c r="CH12" i="6" s="1"/>
  <c r="CH35" i="9"/>
  <c r="CJ19" i="2"/>
  <c r="CJ7" i="2" s="1"/>
  <c r="CK29" i="2"/>
  <c r="CF39" i="8"/>
  <c r="CF55" i="8"/>
  <c r="CF56" i="8"/>
  <c r="CF58" i="8" s="1"/>
  <c r="CF40" i="8"/>
  <c r="CG7" i="15"/>
  <c r="CG7" i="6"/>
  <c r="CG7" i="12"/>
  <c r="CI7" i="4"/>
  <c r="CG7" i="14"/>
  <c r="CG7" i="5"/>
  <c r="CG7" i="9"/>
  <c r="CG7" i="10"/>
  <c r="CG7" i="8"/>
  <c r="CG7" i="13"/>
  <c r="CG7" i="7"/>
  <c r="CG7" i="1"/>
  <c r="CB70" i="6"/>
  <c r="CB13" i="13"/>
  <c r="CB10" i="10"/>
  <c r="CB13" i="10" s="1"/>
  <c r="CB10" i="11" s="1"/>
  <c r="CB63" i="6"/>
  <c r="CE42" i="13"/>
  <c r="CE100" i="8"/>
  <c r="CG46" i="6"/>
  <c r="CG50" i="6"/>
  <c r="CG48" i="6"/>
  <c r="CG47" i="6"/>
  <c r="CG45" i="6"/>
  <c r="CG44" i="6"/>
  <c r="CG12" i="7"/>
  <c r="CG49" i="6"/>
  <c r="CG24" i="6"/>
  <c r="CE99" i="8"/>
  <c r="CE134" i="8" s="1"/>
  <c r="CE136" i="8" s="1"/>
  <c r="CE41" i="8"/>
  <c r="CE41" i="13"/>
  <c r="CD43" i="8"/>
  <c r="CC44" i="8"/>
  <c r="CC48" i="8" s="1"/>
  <c r="CC39" i="6"/>
  <c r="CC25" i="7"/>
  <c r="CD43" i="13"/>
  <c r="CD101" i="8"/>
  <c r="CK61" i="1"/>
  <c r="CK70" i="1" s="1"/>
  <c r="CE45" i="9"/>
  <c r="CE29" i="7"/>
  <c r="CE16" i="13"/>
  <c r="CD59" i="6"/>
  <c r="CD61" i="6" s="1"/>
  <c r="CA14" i="10"/>
  <c r="CE37" i="6"/>
  <c r="CE20" i="7"/>
  <c r="CE21" i="7" s="1"/>
  <c r="CE57" i="6"/>
  <c r="CE55" i="6"/>
  <c r="CE56" i="6"/>
  <c r="CE40" i="7"/>
  <c r="CE54" i="6"/>
  <c r="CE58" i="6"/>
  <c r="CD38" i="6"/>
  <c r="CD41" i="7"/>
  <c r="CI43" i="2"/>
  <c r="CJ43" i="2" s="1"/>
  <c r="CL5" i="15"/>
  <c r="CL5" i="14"/>
  <c r="CL5" i="13"/>
  <c r="CL5" i="12"/>
  <c r="CL5" i="10"/>
  <c r="CL5" i="9"/>
  <c r="CL5" i="8"/>
  <c r="CL5" i="7"/>
  <c r="CL5" i="6"/>
  <c r="CL5" i="5"/>
  <c r="CK35" i="8"/>
  <c r="CK6" i="14"/>
  <c r="CK6" i="13"/>
  <c r="CK6" i="12"/>
  <c r="CK6" i="15"/>
  <c r="CK6" i="9"/>
  <c r="CK6" i="10"/>
  <c r="CK6" i="8"/>
  <c r="CK6" i="6"/>
  <c r="CK6" i="7"/>
  <c r="CK6" i="5"/>
  <c r="AX83" i="6"/>
  <c r="AX88" i="6" s="1"/>
  <c r="AX89" i="6" s="1"/>
  <c r="AX13" i="11" s="1"/>
  <c r="AY78" i="6"/>
  <c r="BA71" i="6"/>
  <c r="BA72" i="6" s="1"/>
  <c r="BA18" i="14" s="1"/>
  <c r="CP15" i="5"/>
  <c r="CP17" i="6" s="1"/>
  <c r="CN5" i="4"/>
  <c r="CL5" i="1"/>
  <c r="CL18" i="1" s="1"/>
  <c r="CL58" i="1" s="1"/>
  <c r="CM6" i="4"/>
  <c r="CK6" i="1"/>
  <c r="CN59" i="2"/>
  <c r="CN54" i="2"/>
  <c r="CL16" i="1" s="1"/>
  <c r="CL56" i="1" s="1"/>
  <c r="CN60" i="2"/>
  <c r="CL55" i="1" s="1"/>
  <c r="CN48" i="2"/>
  <c r="CN52" i="2"/>
  <c r="CL14" i="1" s="1"/>
  <c r="CL24" i="1" s="1"/>
  <c r="CL35" i="1" s="1"/>
  <c r="CN46" i="2"/>
  <c r="CN39" i="2"/>
  <c r="CN23" i="2"/>
  <c r="CN30" i="2"/>
  <c r="CL13" i="7" s="1"/>
  <c r="CN18" i="2"/>
  <c r="CN6" i="2" s="1"/>
  <c r="CN28" i="2"/>
  <c r="CN25" i="2"/>
  <c r="CO5" i="2"/>
  <c r="CN41" i="2"/>
  <c r="CL37" i="8" s="1"/>
  <c r="CM24" i="2"/>
  <c r="CK11" i="5" s="1"/>
  <c r="CK11" i="6" s="1"/>
  <c r="CK11" i="7" s="1"/>
  <c r="CM5" i="11" l="1"/>
  <c r="CM5" i="18"/>
  <c r="CM57" i="18" s="1"/>
  <c r="CL6" i="11"/>
  <c r="CL6" i="18"/>
  <c r="CH7" i="18"/>
  <c r="CH7" i="11"/>
  <c r="CE59" i="6"/>
  <c r="CE61" i="6" s="1"/>
  <c r="CE26" i="7" s="1"/>
  <c r="CE38" i="6"/>
  <c r="CE41" i="7"/>
  <c r="CD14" i="13"/>
  <c r="CD11" i="10"/>
  <c r="CD79" i="6"/>
  <c r="CD26" i="7"/>
  <c r="CI35" i="9"/>
  <c r="CI12" i="5"/>
  <c r="CI12" i="6" s="1"/>
  <c r="CL29" i="2"/>
  <c r="CK19" i="2"/>
  <c r="CK7" i="2" s="1"/>
  <c r="CI8" i="4"/>
  <c r="CG8" i="1"/>
  <c r="CF20" i="7"/>
  <c r="CF21" i="7" s="1"/>
  <c r="CF37" i="6"/>
  <c r="CC70" i="6"/>
  <c r="CC13" i="13"/>
  <c r="CC10" i="10"/>
  <c r="CC13" i="10" s="1"/>
  <c r="CC10" i="11" s="1"/>
  <c r="CC63" i="6"/>
  <c r="CJ7" i="4"/>
  <c r="CH7" i="10"/>
  <c r="CH7" i="1"/>
  <c r="CH7" i="9"/>
  <c r="CH7" i="8"/>
  <c r="CH7" i="14"/>
  <c r="CH7" i="6"/>
  <c r="CH7" i="15"/>
  <c r="CH7" i="7"/>
  <c r="CH7" i="12"/>
  <c r="CH7" i="5"/>
  <c r="CH7" i="13"/>
  <c r="CH15" i="1"/>
  <c r="CJ56" i="2"/>
  <c r="CJ57" i="2"/>
  <c r="CJ8" i="2" s="1"/>
  <c r="CK53" i="2"/>
  <c r="CG39" i="7"/>
  <c r="CG19" i="7"/>
  <c r="CH93" i="8"/>
  <c r="CK47" i="2"/>
  <c r="CF41" i="13"/>
  <c r="CF99" i="8"/>
  <c r="CF134" i="8" s="1"/>
  <c r="CF136" i="8" s="1"/>
  <c r="CF41" i="8"/>
  <c r="CG51" i="6"/>
  <c r="CH46" i="6"/>
  <c r="CH45" i="6"/>
  <c r="CH50" i="6"/>
  <c r="CH49" i="6"/>
  <c r="CH48" i="6"/>
  <c r="CH47" i="6"/>
  <c r="CH12" i="7"/>
  <c r="CH44" i="6"/>
  <c r="CH24" i="6"/>
  <c r="CE43" i="8"/>
  <c r="CD44" i="8"/>
  <c r="CD48" i="8" s="1"/>
  <c r="CB14" i="10"/>
  <c r="CF100" i="8"/>
  <c r="CF42" i="13"/>
  <c r="CH39" i="13"/>
  <c r="CK40" i="2"/>
  <c r="CK43" i="2" s="1"/>
  <c r="CH13" i="12"/>
  <c r="CH18" i="12" s="1"/>
  <c r="CH36" i="8"/>
  <c r="CH115" i="8"/>
  <c r="CH135" i="8" s="1"/>
  <c r="CH36" i="9"/>
  <c r="CH14" i="6"/>
  <c r="CH15" i="7"/>
  <c r="CJ34" i="2"/>
  <c r="CK32" i="2"/>
  <c r="CD39" i="6"/>
  <c r="CD25" i="7"/>
  <c r="CG55" i="8"/>
  <c r="CG40" i="8"/>
  <c r="CG56" i="8"/>
  <c r="CG58" i="8" s="1"/>
  <c r="CG39" i="8"/>
  <c r="CG34" i="5"/>
  <c r="CG36" i="5" s="1"/>
  <c r="CG38" i="5" s="1"/>
  <c r="CG11" i="11" s="1"/>
  <c r="CG27" i="6"/>
  <c r="CG28" i="6" s="1"/>
  <c r="CG30" i="6" s="1"/>
  <c r="CF45" i="9"/>
  <c r="CF29" i="7"/>
  <c r="CF16" i="13"/>
  <c r="CE43" i="13"/>
  <c r="CE101" i="8"/>
  <c r="CF56" i="6"/>
  <c r="CF55" i="6"/>
  <c r="CF57" i="6"/>
  <c r="CF40" i="7"/>
  <c r="CF58" i="6"/>
  <c r="CF54" i="6"/>
  <c r="CL6" i="14"/>
  <c r="CL6" i="13"/>
  <c r="CL6" i="15"/>
  <c r="CL6" i="12"/>
  <c r="CL6" i="9"/>
  <c r="CL6" i="10"/>
  <c r="CL6" i="8"/>
  <c r="CL6" i="7"/>
  <c r="CL6" i="6"/>
  <c r="CL6" i="5"/>
  <c r="CL35" i="8"/>
  <c r="CM5" i="15"/>
  <c r="CM5" i="13"/>
  <c r="CM5" i="14"/>
  <c r="CM5" i="12"/>
  <c r="CM5" i="10"/>
  <c r="CM5" i="9"/>
  <c r="CM5" i="8"/>
  <c r="CM5" i="7"/>
  <c r="CM5" i="5"/>
  <c r="CM5" i="6"/>
  <c r="CL61" i="1"/>
  <c r="CL70" i="1" s="1"/>
  <c r="AX30" i="7"/>
  <c r="AX18" i="13"/>
  <c r="BA74" i="6"/>
  <c r="BA87" i="6" s="1"/>
  <c r="BB69" i="6"/>
  <c r="AY80" i="6"/>
  <c r="AY81" i="6" s="1"/>
  <c r="AY29" i="14" s="1"/>
  <c r="CQ15" i="5"/>
  <c r="CO5" i="4"/>
  <c r="CM5" i="1"/>
  <c r="CM18" i="1" s="1"/>
  <c r="CM58" i="1" s="1"/>
  <c r="CN6" i="4"/>
  <c r="CL6" i="1"/>
  <c r="CN24" i="2"/>
  <c r="CL11" i="5" s="1"/>
  <c r="CL11" i="6" s="1"/>
  <c r="CL11" i="7" s="1"/>
  <c r="CO60" i="2"/>
  <c r="CM55" i="1" s="1"/>
  <c r="CO59" i="2"/>
  <c r="CO48" i="2"/>
  <c r="CO52" i="2"/>
  <c r="CM14" i="1" s="1"/>
  <c r="CM24" i="1" s="1"/>
  <c r="CM35" i="1" s="1"/>
  <c r="CO54" i="2"/>
  <c r="CM16" i="1" s="1"/>
  <c r="CM56" i="1" s="1"/>
  <c r="CO46" i="2"/>
  <c r="CO39" i="2"/>
  <c r="CO41" i="2"/>
  <c r="CM37" i="8" s="1"/>
  <c r="CO23" i="2"/>
  <c r="CO18" i="2"/>
  <c r="CO6" i="2" s="1"/>
  <c r="CO28" i="2"/>
  <c r="CO25" i="2"/>
  <c r="CO30" i="2"/>
  <c r="CM13" i="7" s="1"/>
  <c r="CP5" i="2"/>
  <c r="CN5" i="11" l="1"/>
  <c r="CN5" i="18"/>
  <c r="CN57" i="18" s="1"/>
  <c r="CM6" i="11"/>
  <c r="CM6" i="18"/>
  <c r="CI7" i="18"/>
  <c r="CI7" i="11"/>
  <c r="CE14" i="13"/>
  <c r="CE11" i="10"/>
  <c r="CE79" i="6"/>
  <c r="CG55" i="6"/>
  <c r="CG40" i="7"/>
  <c r="CG57" i="6"/>
  <c r="CG54" i="6"/>
  <c r="CG58" i="6"/>
  <c r="CG56" i="6"/>
  <c r="CF59" i="6"/>
  <c r="CF61" i="6" s="1"/>
  <c r="CG41" i="13"/>
  <c r="CG99" i="8"/>
  <c r="CG134" i="8" s="1"/>
  <c r="CG136" i="8" s="1"/>
  <c r="CG41" i="8"/>
  <c r="CH27" i="6"/>
  <c r="CH28" i="6" s="1"/>
  <c r="CH30" i="6" s="1"/>
  <c r="CH34" i="5"/>
  <c r="CH36" i="5" s="1"/>
  <c r="CH38" i="5" s="1"/>
  <c r="CH11" i="11" s="1"/>
  <c r="CH51" i="6"/>
  <c r="CE44" i="8"/>
  <c r="CE48" i="8" s="1"/>
  <c r="CF43" i="8"/>
  <c r="CI93" i="8"/>
  <c r="CL47" i="2"/>
  <c r="CF41" i="7"/>
  <c r="CF38" i="6"/>
  <c r="CG42" i="13"/>
  <c r="CG100" i="8"/>
  <c r="CG20" i="7"/>
  <c r="CG21" i="7" s="1"/>
  <c r="CG37" i="6"/>
  <c r="CI44" i="6"/>
  <c r="CI49" i="6"/>
  <c r="CI46" i="6"/>
  <c r="CI45" i="6"/>
  <c r="CI12" i="7"/>
  <c r="CI50" i="6"/>
  <c r="CI24" i="6"/>
  <c r="CI48" i="6"/>
  <c r="CI47" i="6"/>
  <c r="CI36" i="9"/>
  <c r="CL32" i="2"/>
  <c r="CI15" i="7"/>
  <c r="CI14" i="6"/>
  <c r="CK34" i="2"/>
  <c r="CH19" i="7"/>
  <c r="CH39" i="7"/>
  <c r="CI15" i="1"/>
  <c r="CL53" i="2"/>
  <c r="CK56" i="2"/>
  <c r="CK57" i="2"/>
  <c r="CK8" i="2" s="1"/>
  <c r="CD63" i="6"/>
  <c r="CD70" i="6"/>
  <c r="CD13" i="13"/>
  <c r="CD10" i="10"/>
  <c r="CD13" i="10" s="1"/>
  <c r="CD10" i="11" s="1"/>
  <c r="CG29" i="7"/>
  <c r="CG16" i="13"/>
  <c r="CG45" i="9"/>
  <c r="CM61" i="1"/>
  <c r="CM70" i="1" s="1"/>
  <c r="CF101" i="8"/>
  <c r="CF43" i="13"/>
  <c r="CJ8" i="4"/>
  <c r="CH8" i="1"/>
  <c r="CI7" i="15"/>
  <c r="CI7" i="6"/>
  <c r="CI7" i="1"/>
  <c r="CI7" i="14"/>
  <c r="CI7" i="5"/>
  <c r="CI7" i="13"/>
  <c r="CI7" i="7"/>
  <c r="CI7" i="12"/>
  <c r="CK7" i="4"/>
  <c r="CI7" i="8"/>
  <c r="CI7" i="10"/>
  <c r="CI7" i="9"/>
  <c r="CE39" i="6"/>
  <c r="CE25" i="7"/>
  <c r="CI39" i="13"/>
  <c r="CI13" i="12"/>
  <c r="CI18" i="12" s="1"/>
  <c r="CI115" i="8"/>
  <c r="CI135" i="8" s="1"/>
  <c r="CI36" i="8"/>
  <c r="CL40" i="2"/>
  <c r="CH56" i="8"/>
  <c r="CH58" i="8" s="1"/>
  <c r="CH55" i="8"/>
  <c r="CH40" i="8"/>
  <c r="CH39" i="8"/>
  <c r="CC14" i="10"/>
  <c r="CJ35" i="9"/>
  <c r="CJ12" i="5"/>
  <c r="CJ12" i="6" s="1"/>
  <c r="CM29" i="2"/>
  <c r="CL19" i="2"/>
  <c r="CL7" i="2" s="1"/>
  <c r="CM6" i="14"/>
  <c r="CM6" i="15"/>
  <c r="CM6" i="13"/>
  <c r="CM6" i="12"/>
  <c r="CM6" i="10"/>
  <c r="CM6" i="9"/>
  <c r="CM6" i="8"/>
  <c r="CM6" i="6"/>
  <c r="CM6" i="7"/>
  <c r="CM6" i="5"/>
  <c r="CM35" i="8"/>
  <c r="CN5" i="13"/>
  <c r="CN5" i="14"/>
  <c r="CN5" i="15"/>
  <c r="CN5" i="12"/>
  <c r="CN5" i="9"/>
  <c r="CN5" i="10"/>
  <c r="CN5" i="8"/>
  <c r="CN5" i="6"/>
  <c r="CN5" i="7"/>
  <c r="CN5" i="5"/>
  <c r="CQ17" i="6"/>
  <c r="AZ78" i="6"/>
  <c r="AY83" i="6"/>
  <c r="AY88" i="6" s="1"/>
  <c r="AY89" i="6" s="1"/>
  <c r="AY13" i="11" s="1"/>
  <c r="BB71" i="6"/>
  <c r="BB72" i="6" s="1"/>
  <c r="BB18" i="14" s="1"/>
  <c r="CP5" i="4"/>
  <c r="CN5" i="1"/>
  <c r="CN18" i="1" s="1"/>
  <c r="CN58" i="1" s="1"/>
  <c r="CO6" i="4"/>
  <c r="CM6" i="1"/>
  <c r="CO24" i="2"/>
  <c r="CM11" i="5" s="1"/>
  <c r="CM11" i="6" s="1"/>
  <c r="CM11" i="7" s="1"/>
  <c r="CP60" i="2"/>
  <c r="CN55" i="1" s="1"/>
  <c r="CP59" i="2"/>
  <c r="CP54" i="2"/>
  <c r="CN16" i="1" s="1"/>
  <c r="CN56" i="1" s="1"/>
  <c r="CP52" i="2"/>
  <c r="CN14" i="1" s="1"/>
  <c r="CN24" i="1" s="1"/>
  <c r="CN35" i="1" s="1"/>
  <c r="CP46" i="2"/>
  <c r="CP48" i="2"/>
  <c r="CP39" i="2"/>
  <c r="CP41" i="2"/>
  <c r="CN37" i="8" s="1"/>
  <c r="CP23" i="2"/>
  <c r="CP25" i="2"/>
  <c r="CP28" i="2"/>
  <c r="CP30" i="2"/>
  <c r="CN13" i="7" s="1"/>
  <c r="CP18" i="2"/>
  <c r="CP6" i="2" s="1"/>
  <c r="CQ5" i="2"/>
  <c r="CO5" i="11" l="1"/>
  <c r="CO5" i="18"/>
  <c r="CO57" i="18" s="1"/>
  <c r="CN6" i="18"/>
  <c r="CN6" i="11"/>
  <c r="CJ7" i="11"/>
  <c r="CJ7" i="18"/>
  <c r="CG59" i="6"/>
  <c r="CG61" i="6" s="1"/>
  <c r="CK35" i="9"/>
  <c r="CK12" i="5"/>
  <c r="CK12" i="6" s="1"/>
  <c r="CM19" i="2"/>
  <c r="CM7" i="2" s="1"/>
  <c r="CN29" i="2"/>
  <c r="CG43" i="8"/>
  <c r="CF44" i="8"/>
  <c r="CF48" i="8" s="1"/>
  <c r="CF14" i="13"/>
  <c r="CF79" i="6"/>
  <c r="CF26" i="7"/>
  <c r="CF11" i="10"/>
  <c r="CJ46" i="6"/>
  <c r="CJ47" i="6"/>
  <c r="CJ44" i="6"/>
  <c r="CJ49" i="6"/>
  <c r="CJ48" i="6"/>
  <c r="CJ24" i="6"/>
  <c r="CJ50" i="6"/>
  <c r="CJ12" i="7"/>
  <c r="CJ45" i="6"/>
  <c r="CM40" i="2"/>
  <c r="CJ39" i="13"/>
  <c r="CJ13" i="12"/>
  <c r="CJ18" i="12" s="1"/>
  <c r="CJ115" i="8"/>
  <c r="CJ135" i="8" s="1"/>
  <c r="CJ36" i="8"/>
  <c r="CI27" i="6"/>
  <c r="CI28" i="6" s="1"/>
  <c r="CI30" i="6" s="1"/>
  <c r="CI34" i="5"/>
  <c r="CI36" i="5" s="1"/>
  <c r="CI38" i="5" s="1"/>
  <c r="CI11" i="11" s="1"/>
  <c r="CI39" i="8"/>
  <c r="CI56" i="8"/>
  <c r="CI58" i="8" s="1"/>
  <c r="CI55" i="8"/>
  <c r="CI40" i="8"/>
  <c r="CK8" i="4"/>
  <c r="CI8" i="1"/>
  <c r="CI39" i="7"/>
  <c r="CI19" i="7"/>
  <c r="CH45" i="9"/>
  <c r="CH29" i="7"/>
  <c r="CH16" i="13"/>
  <c r="CJ15" i="1"/>
  <c r="CL57" i="2"/>
  <c r="CL8" i="2" s="1"/>
  <c r="CM53" i="2"/>
  <c r="CL56" i="2"/>
  <c r="CJ14" i="6"/>
  <c r="CJ15" i="7"/>
  <c r="CM32" i="2"/>
  <c r="CL34" i="2"/>
  <c r="CJ36" i="9"/>
  <c r="CH40" i="7"/>
  <c r="CH56" i="6"/>
  <c r="CH54" i="6"/>
  <c r="CH57" i="6"/>
  <c r="CH55" i="6"/>
  <c r="CH58" i="6"/>
  <c r="CH41" i="8"/>
  <c r="CH41" i="13"/>
  <c r="CH99" i="8"/>
  <c r="CH134" i="8" s="1"/>
  <c r="CH136" i="8" s="1"/>
  <c r="CF39" i="6"/>
  <c r="CF25" i="7"/>
  <c r="CG101" i="8"/>
  <c r="CG43" i="13"/>
  <c r="CG41" i="7"/>
  <c r="CG38" i="6"/>
  <c r="CH42" i="13"/>
  <c r="CH100" i="8"/>
  <c r="CD14" i="10"/>
  <c r="CI51" i="6"/>
  <c r="CJ93" i="8"/>
  <c r="CM47" i="2"/>
  <c r="CJ7" i="12"/>
  <c r="CJ7" i="1"/>
  <c r="CJ7" i="6"/>
  <c r="CJ7" i="5"/>
  <c r="CJ7" i="10"/>
  <c r="CJ7" i="8"/>
  <c r="CJ7" i="13"/>
  <c r="CL7" i="4"/>
  <c r="CJ7" i="9"/>
  <c r="CJ7" i="15"/>
  <c r="CJ7" i="14"/>
  <c r="CJ7" i="7"/>
  <c r="CE10" i="10"/>
  <c r="CE13" i="10" s="1"/>
  <c r="CE10" i="11" s="1"/>
  <c r="CE70" i="6"/>
  <c r="CE13" i="13"/>
  <c r="CE63" i="6"/>
  <c r="CH37" i="6"/>
  <c r="CH20" i="7"/>
  <c r="CH21" i="7" s="1"/>
  <c r="CL43" i="2"/>
  <c r="CN35" i="8"/>
  <c r="CN6" i="15"/>
  <c r="CN6" i="12"/>
  <c r="CN6" i="13"/>
  <c r="CN6" i="10"/>
  <c r="CN6" i="9"/>
  <c r="CN6" i="8"/>
  <c r="CN6" i="14"/>
  <c r="CN6" i="6"/>
  <c r="CN6" i="5"/>
  <c r="CN6" i="7"/>
  <c r="CO5" i="14"/>
  <c r="CO5" i="13"/>
  <c r="CO5" i="15"/>
  <c r="CO5" i="12"/>
  <c r="CO5" i="10"/>
  <c r="CO5" i="9"/>
  <c r="CO5" i="8"/>
  <c r="CO5" i="6"/>
  <c r="CO5" i="7"/>
  <c r="CO5" i="5"/>
  <c r="CN61" i="1"/>
  <c r="CN70" i="1" s="1"/>
  <c r="AY30" i="7"/>
  <c r="AY18" i="13"/>
  <c r="BB74" i="6"/>
  <c r="BB87" i="6" s="1"/>
  <c r="BC69" i="6"/>
  <c r="AZ80" i="6"/>
  <c r="AZ81" i="6" s="1"/>
  <c r="AZ29" i="14" s="1"/>
  <c r="CQ5" i="4"/>
  <c r="CO5" i="1"/>
  <c r="CO18" i="1" s="1"/>
  <c r="CO58" i="1" s="1"/>
  <c r="CP6" i="4"/>
  <c r="CN6" i="1"/>
  <c r="CP24" i="2"/>
  <c r="CN11" i="5" s="1"/>
  <c r="CN11" i="6" s="1"/>
  <c r="CN11" i="7" s="1"/>
  <c r="CQ60" i="2"/>
  <c r="CO55" i="1" s="1"/>
  <c r="CQ59" i="2"/>
  <c r="CQ52" i="2"/>
  <c r="CO14" i="1" s="1"/>
  <c r="CO24" i="1" s="1"/>
  <c r="CO35" i="1" s="1"/>
  <c r="CQ54" i="2"/>
  <c r="CO16" i="1" s="1"/>
  <c r="CO56" i="1" s="1"/>
  <c r="CQ48" i="2"/>
  <c r="CQ39" i="2"/>
  <c r="CQ46" i="2"/>
  <c r="CQ41" i="2"/>
  <c r="CO37" i="8" s="1"/>
  <c r="CQ25" i="2"/>
  <c r="CQ28" i="2"/>
  <c r="CQ23" i="2"/>
  <c r="CQ18" i="2"/>
  <c r="CQ6" i="2" s="1"/>
  <c r="CR5" i="2"/>
  <c r="CQ30" i="2"/>
  <c r="CO13" i="7" s="1"/>
  <c r="CK7" i="18" l="1"/>
  <c r="CK7" i="11"/>
  <c r="CP5" i="11"/>
  <c r="CP5" i="18"/>
  <c r="CP57" i="18" s="1"/>
  <c r="CO6" i="11"/>
  <c r="CO6" i="18"/>
  <c r="CH59" i="6"/>
  <c r="CH61" i="6" s="1"/>
  <c r="CH79" i="6" s="1"/>
  <c r="CG26" i="7"/>
  <c r="CG14" i="13"/>
  <c r="CG79" i="6"/>
  <c r="CG11" i="10"/>
  <c r="CJ27" i="6"/>
  <c r="CJ28" i="6" s="1"/>
  <c r="CJ30" i="6" s="1"/>
  <c r="CJ34" i="5"/>
  <c r="CJ36" i="5" s="1"/>
  <c r="CJ38" i="5" s="1"/>
  <c r="CJ11" i="11" s="1"/>
  <c r="CK93" i="8"/>
  <c r="CN47" i="2"/>
  <c r="CG39" i="6"/>
  <c r="CG25" i="7"/>
  <c r="CN32" i="2"/>
  <c r="CK15" i="7"/>
  <c r="CK36" i="9"/>
  <c r="CK14" i="6"/>
  <c r="CM34" i="2"/>
  <c r="CJ51" i="6"/>
  <c r="CI42" i="13"/>
  <c r="CI100" i="8"/>
  <c r="CE14" i="10"/>
  <c r="CM43" i="2"/>
  <c r="CK115" i="8"/>
  <c r="CK135" i="8" s="1"/>
  <c r="CN40" i="2"/>
  <c r="CK36" i="8"/>
  <c r="CK13" i="12"/>
  <c r="CK18" i="12" s="1"/>
  <c r="CK39" i="13"/>
  <c r="CH43" i="8"/>
  <c r="CG44" i="8"/>
  <c r="CG48" i="8" s="1"/>
  <c r="CH101" i="8"/>
  <c r="CH43" i="13"/>
  <c r="CI41" i="13"/>
  <c r="CI99" i="8"/>
  <c r="CI134" i="8" s="1"/>
  <c r="CI136" i="8" s="1"/>
  <c r="CI41" i="8"/>
  <c r="CL35" i="9"/>
  <c r="CL12" i="5"/>
  <c r="CL12" i="6" s="1"/>
  <c r="CO29" i="2"/>
  <c r="CN19" i="2"/>
  <c r="CN7" i="2" s="1"/>
  <c r="CI29" i="7"/>
  <c r="CI45" i="9"/>
  <c r="CI16" i="13"/>
  <c r="CJ39" i="7"/>
  <c r="CJ19" i="7"/>
  <c r="CK7" i="10"/>
  <c r="CK7" i="9"/>
  <c r="CK7" i="8"/>
  <c r="CK7" i="1"/>
  <c r="CK7" i="14"/>
  <c r="CK7" i="6"/>
  <c r="CK7" i="15"/>
  <c r="CK7" i="5"/>
  <c r="CK7" i="12"/>
  <c r="CK7" i="7"/>
  <c r="CM7" i="4"/>
  <c r="CK7" i="13"/>
  <c r="CF10" i="10"/>
  <c r="CF13" i="10" s="1"/>
  <c r="CF10" i="11" s="1"/>
  <c r="CF70" i="6"/>
  <c r="CF13" i="13"/>
  <c r="CF63" i="6"/>
  <c r="CK15" i="1"/>
  <c r="CM57" i="2"/>
  <c r="CM8" i="2" s="1"/>
  <c r="CN53" i="2"/>
  <c r="CM56" i="2"/>
  <c r="CI37" i="6"/>
  <c r="CI20" i="7"/>
  <c r="CI21" i="7" s="1"/>
  <c r="CI40" i="7"/>
  <c r="CI58" i="6"/>
  <c r="CI55" i="6"/>
  <c r="CI57" i="6"/>
  <c r="CI54" i="6"/>
  <c r="CI56" i="6"/>
  <c r="CK44" i="6"/>
  <c r="CK48" i="6"/>
  <c r="CK45" i="6"/>
  <c r="CK12" i="7"/>
  <c r="CK24" i="6"/>
  <c r="CK47" i="6"/>
  <c r="CK49" i="6"/>
  <c r="CK46" i="6"/>
  <c r="CK50" i="6"/>
  <c r="CH38" i="6"/>
  <c r="CH41" i="7"/>
  <c r="CJ8" i="1"/>
  <c r="CL8" i="4"/>
  <c r="CJ39" i="8"/>
  <c r="CJ55" i="8"/>
  <c r="CJ56" i="8"/>
  <c r="CJ58" i="8" s="1"/>
  <c r="CJ40" i="8"/>
  <c r="CO35" i="8"/>
  <c r="CP5" i="14"/>
  <c r="CP5" i="15"/>
  <c r="CP5" i="13"/>
  <c r="CP5" i="12"/>
  <c r="CP5" i="9"/>
  <c r="CP5" i="10"/>
  <c r="CP5" i="8"/>
  <c r="CP5" i="7"/>
  <c r="CP5" i="5"/>
  <c r="CP5" i="6"/>
  <c r="CO6" i="14"/>
  <c r="CO6" i="15"/>
  <c r="CO6" i="13"/>
  <c r="CO6" i="12"/>
  <c r="CO6" i="10"/>
  <c r="CO6" i="9"/>
  <c r="CO6" i="8"/>
  <c r="CO6" i="7"/>
  <c r="CO6" i="6"/>
  <c r="CO6" i="5"/>
  <c r="CO61" i="1"/>
  <c r="CO70" i="1" s="1"/>
  <c r="AZ83" i="6"/>
  <c r="AZ88" i="6" s="1"/>
  <c r="AZ89" i="6" s="1"/>
  <c r="AZ13" i="11" s="1"/>
  <c r="BA78" i="6"/>
  <c r="BC71" i="6"/>
  <c r="BC72" i="6" s="1"/>
  <c r="BC18" i="14" s="1"/>
  <c r="CQ6" i="4"/>
  <c r="CO6" i="1"/>
  <c r="CR5" i="4"/>
  <c r="CP5" i="1"/>
  <c r="CP18" i="1" s="1"/>
  <c r="CP58" i="1" s="1"/>
  <c r="CQ24" i="2"/>
  <c r="CO11" i="5" s="1"/>
  <c r="CO11" i="6" s="1"/>
  <c r="CO11" i="7" s="1"/>
  <c r="CR48" i="2"/>
  <c r="CR59" i="2"/>
  <c r="CR54" i="2"/>
  <c r="CP16" i="1" s="1"/>
  <c r="CP56" i="1" s="1"/>
  <c r="CR60" i="2"/>
  <c r="CP55" i="1" s="1"/>
  <c r="CR52" i="2"/>
  <c r="CP14" i="1" s="1"/>
  <c r="CP24" i="1" s="1"/>
  <c r="CP35" i="1" s="1"/>
  <c r="CR46" i="2"/>
  <c r="CR39" i="2"/>
  <c r="CR41" i="2"/>
  <c r="CP37" i="8" s="1"/>
  <c r="CR25" i="2"/>
  <c r="CR28" i="2"/>
  <c r="CR18" i="2"/>
  <c r="CR6" i="2" s="1"/>
  <c r="CR30" i="2"/>
  <c r="CP13" i="7" s="1"/>
  <c r="CR23" i="2"/>
  <c r="CS5" i="2"/>
  <c r="CH14" i="13" l="1"/>
  <c r="CP6" i="18"/>
  <c r="CP6" i="11"/>
  <c r="CL7" i="11"/>
  <c r="CL7" i="18"/>
  <c r="CQ5" i="18"/>
  <c r="CQ57" i="18" s="1"/>
  <c r="CQ5" i="11"/>
  <c r="CH26" i="7"/>
  <c r="CH11" i="10"/>
  <c r="CI59" i="6"/>
  <c r="CI61" i="6" s="1"/>
  <c r="CI11" i="10" s="1"/>
  <c r="CJ41" i="8"/>
  <c r="CJ41" i="13"/>
  <c r="CJ99" i="8"/>
  <c r="CJ134" i="8" s="1"/>
  <c r="CJ136" i="8" s="1"/>
  <c r="CI43" i="8"/>
  <c r="CH44" i="8"/>
  <c r="CH48" i="8" s="1"/>
  <c r="CI43" i="13"/>
  <c r="CI101" i="8"/>
  <c r="CI79" i="6"/>
  <c r="CH25" i="7"/>
  <c r="CH39" i="6"/>
  <c r="CK19" i="7"/>
  <c r="CK39" i="7"/>
  <c r="CG10" i="10"/>
  <c r="CG13" i="10" s="1"/>
  <c r="CG10" i="11" s="1"/>
  <c r="CG63" i="6"/>
  <c r="CG70" i="6"/>
  <c r="CG13" i="13"/>
  <c r="CL45" i="6"/>
  <c r="CL48" i="6"/>
  <c r="CL49" i="6"/>
  <c r="CL44" i="6"/>
  <c r="CL50" i="6"/>
  <c r="CL24" i="6"/>
  <c r="CL46" i="6"/>
  <c r="CL12" i="7"/>
  <c r="CL47" i="6"/>
  <c r="CM8" i="4"/>
  <c r="CK8" i="1"/>
  <c r="CO32" i="2"/>
  <c r="CN34" i="2"/>
  <c r="CL36" i="9"/>
  <c r="CL14" i="6"/>
  <c r="CL15" i="7"/>
  <c r="CI38" i="6"/>
  <c r="CI41" i="7"/>
  <c r="CK40" i="8"/>
  <c r="CK55" i="8"/>
  <c r="CK39" i="8"/>
  <c r="CK56" i="8"/>
  <c r="CK58" i="8" s="1"/>
  <c r="CL93" i="8"/>
  <c r="CO47" i="2"/>
  <c r="CJ42" i="13"/>
  <c r="CJ100" i="8"/>
  <c r="CJ37" i="6"/>
  <c r="CJ20" i="7"/>
  <c r="CJ21" i="7" s="1"/>
  <c r="CK27" i="6"/>
  <c r="CK28" i="6" s="1"/>
  <c r="CK30" i="6" s="1"/>
  <c r="CK34" i="5"/>
  <c r="CK36" i="5" s="1"/>
  <c r="CK38" i="5" s="1"/>
  <c r="CK11" i="11" s="1"/>
  <c r="CK51" i="6"/>
  <c r="CF14" i="10"/>
  <c r="CL7" i="13"/>
  <c r="CL7" i="5"/>
  <c r="CL7" i="12"/>
  <c r="CL7" i="7"/>
  <c r="CN7" i="4"/>
  <c r="CL7" i="14"/>
  <c r="CL7" i="8"/>
  <c r="CL7" i="1"/>
  <c r="CL7" i="15"/>
  <c r="CL7" i="10"/>
  <c r="CL7" i="6"/>
  <c r="CL7" i="9"/>
  <c r="CJ45" i="9"/>
  <c r="CJ16" i="13"/>
  <c r="CJ29" i="7"/>
  <c r="CL15" i="1"/>
  <c r="CN56" i="2"/>
  <c r="CN57" i="2"/>
  <c r="CN8" i="2" s="1"/>
  <c r="CO53" i="2"/>
  <c r="CL13" i="12"/>
  <c r="CL18" i="12" s="1"/>
  <c r="CL39" i="13"/>
  <c r="CL115" i="8"/>
  <c r="CL135" i="8" s="1"/>
  <c r="CL36" i="8"/>
  <c r="CO40" i="2"/>
  <c r="CM35" i="9"/>
  <c r="CM12" i="5"/>
  <c r="CM12" i="6" s="1"/>
  <c r="CP29" i="2"/>
  <c r="CO19" i="2"/>
  <c r="CO7" i="2" s="1"/>
  <c r="CN43" i="2"/>
  <c r="CJ56" i="6"/>
  <c r="CJ40" i="7"/>
  <c r="CJ54" i="6"/>
  <c r="CJ55" i="6"/>
  <c r="CJ58" i="6"/>
  <c r="CJ57" i="6"/>
  <c r="CP35" i="8"/>
  <c r="CQ5" i="15"/>
  <c r="CQ5" i="14"/>
  <c r="CQ5" i="13"/>
  <c r="CQ5" i="12"/>
  <c r="CQ5" i="10"/>
  <c r="CQ5" i="9"/>
  <c r="CQ5" i="8"/>
  <c r="CQ5" i="7"/>
  <c r="CQ5" i="6"/>
  <c r="CQ5" i="5"/>
  <c r="CP6" i="14"/>
  <c r="CP6" i="15"/>
  <c r="CP6" i="13"/>
  <c r="CP6" i="12"/>
  <c r="CP6" i="10"/>
  <c r="CP6" i="9"/>
  <c r="CP6" i="8"/>
  <c r="CP6" i="7"/>
  <c r="CP6" i="6"/>
  <c r="CP6" i="5"/>
  <c r="CP61" i="1"/>
  <c r="CP70" i="1" s="1"/>
  <c r="AZ30" i="7"/>
  <c r="AZ18" i="13"/>
  <c r="BD69" i="6"/>
  <c r="BC74" i="6"/>
  <c r="BC87" i="6" s="1"/>
  <c r="BA80" i="6"/>
  <c r="BA81" i="6" s="1"/>
  <c r="BA29" i="14" s="1"/>
  <c r="CS5" i="4"/>
  <c r="CQ5" i="1"/>
  <c r="CQ18" i="1" s="1"/>
  <c r="CQ58" i="1" s="1"/>
  <c r="CR6" i="4"/>
  <c r="CP6" i="1"/>
  <c r="CS52" i="2"/>
  <c r="CQ14" i="1" s="1"/>
  <c r="CQ24" i="1" s="1"/>
  <c r="CQ35" i="1" s="1"/>
  <c r="CS46" i="2"/>
  <c r="CS59" i="2"/>
  <c r="CS60" i="2"/>
  <c r="CQ55" i="1" s="1"/>
  <c r="CS54" i="2"/>
  <c r="CQ16" i="1" s="1"/>
  <c r="CQ56" i="1" s="1"/>
  <c r="CS48" i="2"/>
  <c r="CS41" i="2"/>
  <c r="CQ37" i="8" s="1"/>
  <c r="CS30" i="2"/>
  <c r="CQ13" i="7" s="1"/>
  <c r="CS25" i="2"/>
  <c r="CS28" i="2"/>
  <c r="CS18" i="2"/>
  <c r="CS6" i="2" s="1"/>
  <c r="CS39" i="2"/>
  <c r="CT5" i="2"/>
  <c r="CS23" i="2"/>
  <c r="CR24" i="2"/>
  <c r="CP11" i="5" s="1"/>
  <c r="CP11" i="6" s="1"/>
  <c r="CP11" i="7" s="1"/>
  <c r="CR5" i="11" l="1"/>
  <c r="CR5" i="18"/>
  <c r="CR57" i="18" s="1"/>
  <c r="CM7" i="18"/>
  <c r="CM7" i="11"/>
  <c r="CQ6" i="11"/>
  <c r="CQ6" i="18"/>
  <c r="CI14" i="13"/>
  <c r="CJ59" i="6"/>
  <c r="CJ61" i="6" s="1"/>
  <c r="CJ11" i="10" s="1"/>
  <c r="CI26" i="7"/>
  <c r="CQ61" i="1"/>
  <c r="CQ70" i="1" s="1"/>
  <c r="CL51" i="6"/>
  <c r="CM13" i="12"/>
  <c r="CM18" i="12" s="1"/>
  <c r="CM115" i="8"/>
  <c r="CM135" i="8" s="1"/>
  <c r="CM36" i="8"/>
  <c r="CM39" i="13"/>
  <c r="CP40" i="2"/>
  <c r="CJ41" i="7"/>
  <c r="CJ38" i="6"/>
  <c r="CL39" i="8"/>
  <c r="CL56" i="8"/>
  <c r="CL58" i="8" s="1"/>
  <c r="CL55" i="8"/>
  <c r="CL40" i="8"/>
  <c r="CI39" i="6"/>
  <c r="CI25" i="7"/>
  <c r="CK42" i="13"/>
  <c r="CK100" i="8"/>
  <c r="CH13" i="13"/>
  <c r="CH70" i="6"/>
  <c r="CH10" i="10"/>
  <c r="CH13" i="10" s="1"/>
  <c r="CH10" i="11" s="1"/>
  <c r="CH63" i="6"/>
  <c r="CO43" i="2"/>
  <c r="CM93" i="8"/>
  <c r="CP47" i="2"/>
  <c r="CI44" i="8"/>
  <c r="CI48" i="8" s="1"/>
  <c r="CJ43" i="8"/>
  <c r="CM7" i="9"/>
  <c r="CM7" i="15"/>
  <c r="CM7" i="7"/>
  <c r="CM7" i="1"/>
  <c r="CM7" i="8"/>
  <c r="CM7" i="14"/>
  <c r="CM7" i="6"/>
  <c r="CO7" i="4"/>
  <c r="CM7" i="13"/>
  <c r="CM7" i="5"/>
  <c r="CM7" i="12"/>
  <c r="CM7" i="10"/>
  <c r="CL39" i="7"/>
  <c r="CL19" i="7"/>
  <c r="CM36" i="9"/>
  <c r="CP32" i="2"/>
  <c r="CO34" i="2"/>
  <c r="CM15" i="7"/>
  <c r="CM14" i="6"/>
  <c r="CN12" i="5"/>
  <c r="CN12" i="6" s="1"/>
  <c r="CN35" i="9"/>
  <c r="CQ29" i="2"/>
  <c r="CP19" i="2"/>
  <c r="CP7" i="2" s="1"/>
  <c r="CM15" i="1"/>
  <c r="CO56" i="2"/>
  <c r="CP53" i="2"/>
  <c r="CO57" i="2"/>
  <c r="CO8" i="2" s="1"/>
  <c r="CK29" i="7"/>
  <c r="CK16" i="13"/>
  <c r="CK45" i="9"/>
  <c r="CM12" i="7"/>
  <c r="CM46" i="6"/>
  <c r="CM24" i="6"/>
  <c r="CM49" i="6"/>
  <c r="CM48" i="6"/>
  <c r="CM44" i="6"/>
  <c r="CM45" i="6"/>
  <c r="CM47" i="6"/>
  <c r="CM50" i="6"/>
  <c r="CN8" i="4"/>
  <c r="CL8" i="1"/>
  <c r="CK40" i="7"/>
  <c r="CK55" i="6"/>
  <c r="CK58" i="6"/>
  <c r="CK56" i="6"/>
  <c r="CK57" i="6"/>
  <c r="CK54" i="6"/>
  <c r="CK41" i="13"/>
  <c r="CK99" i="8"/>
  <c r="CK134" i="8" s="1"/>
  <c r="CK136" i="8" s="1"/>
  <c r="CK41" i="8"/>
  <c r="CJ101" i="8"/>
  <c r="CJ43" i="13"/>
  <c r="CK20" i="7"/>
  <c r="CK21" i="7" s="1"/>
  <c r="CK37" i="6"/>
  <c r="CL34" i="5"/>
  <c r="CL36" i="5" s="1"/>
  <c r="CL38" i="5" s="1"/>
  <c r="CL11" i="11" s="1"/>
  <c r="CL27" i="6"/>
  <c r="CL28" i="6" s="1"/>
  <c r="CL30" i="6" s="1"/>
  <c r="CG14" i="10"/>
  <c r="CR5" i="8"/>
  <c r="CR5" i="14"/>
  <c r="CR5" i="15"/>
  <c r="CR5" i="13"/>
  <c r="CR5" i="12"/>
  <c r="CR5" i="10"/>
  <c r="CR5" i="9"/>
  <c r="CR5" i="6"/>
  <c r="CR5" i="7"/>
  <c r="CR5" i="5"/>
  <c r="CQ35" i="8"/>
  <c r="CQ6" i="15"/>
  <c r="CQ6" i="14"/>
  <c r="CQ6" i="13"/>
  <c r="CQ6" i="12"/>
  <c r="CQ6" i="10"/>
  <c r="CQ6" i="9"/>
  <c r="CQ6" i="8"/>
  <c r="CQ6" i="5"/>
  <c r="CQ6" i="7"/>
  <c r="CQ6" i="6"/>
  <c r="BA83" i="6"/>
  <c r="BA88" i="6" s="1"/>
  <c r="BA89" i="6" s="1"/>
  <c r="BA13" i="11" s="1"/>
  <c r="BB78" i="6"/>
  <c r="BD71" i="6"/>
  <c r="BD72" i="6" s="1"/>
  <c r="BD18" i="14" s="1"/>
  <c r="CT5" i="4"/>
  <c r="CR5" i="1"/>
  <c r="CR18" i="1" s="1"/>
  <c r="CR58" i="1" s="1"/>
  <c r="CS6" i="4"/>
  <c r="CQ6" i="1"/>
  <c r="CS24" i="2"/>
  <c r="CQ11" i="5" s="1"/>
  <c r="CQ11" i="6" s="1"/>
  <c r="CQ11" i="7" s="1"/>
  <c r="CT59" i="2"/>
  <c r="CT60" i="2"/>
  <c r="CR55" i="1" s="1"/>
  <c r="CT46" i="2"/>
  <c r="CT52" i="2"/>
  <c r="CR14" i="1" s="1"/>
  <c r="CR24" i="1" s="1"/>
  <c r="CR35" i="1" s="1"/>
  <c r="CT54" i="2"/>
  <c r="CR16" i="1" s="1"/>
  <c r="CR56" i="1" s="1"/>
  <c r="CT48" i="2"/>
  <c r="CT41" i="2"/>
  <c r="CR37" i="8" s="1"/>
  <c r="CT30" i="2"/>
  <c r="CT39" i="2"/>
  <c r="CT28" i="2"/>
  <c r="CT18" i="2"/>
  <c r="CT6" i="2" s="1"/>
  <c r="CT25" i="2"/>
  <c r="CU5" i="2"/>
  <c r="CT23" i="2"/>
  <c r="CS5" i="11" l="1"/>
  <c r="CS5" i="18"/>
  <c r="CS57" i="18" s="1"/>
  <c r="CR6" i="11"/>
  <c r="CR6" i="18"/>
  <c r="CN7" i="11"/>
  <c r="CN7" i="18"/>
  <c r="CJ14" i="13"/>
  <c r="CJ79" i="6"/>
  <c r="CJ26" i="7"/>
  <c r="CK59" i="6"/>
  <c r="CK61" i="6" s="1"/>
  <c r="CK79" i="6" s="1"/>
  <c r="CP43" i="2"/>
  <c r="CN7" i="15"/>
  <c r="CN7" i="5"/>
  <c r="CN7" i="13"/>
  <c r="CN7" i="7"/>
  <c r="CN7" i="14"/>
  <c r="CN7" i="1"/>
  <c r="CN7" i="12"/>
  <c r="CP7" i="4"/>
  <c r="CN7" i="6"/>
  <c r="CN7" i="9"/>
  <c r="CN7" i="10"/>
  <c r="CN7" i="8"/>
  <c r="CM27" i="6"/>
  <c r="CM28" i="6" s="1"/>
  <c r="CM30" i="6" s="1"/>
  <c r="CM34" i="5"/>
  <c r="CM36" i="5" s="1"/>
  <c r="CM38" i="5" s="1"/>
  <c r="CM11" i="11" s="1"/>
  <c r="CH14" i="10"/>
  <c r="CL16" i="13"/>
  <c r="CL29" i="7"/>
  <c r="CL45" i="9"/>
  <c r="CO35" i="9"/>
  <c r="CO12" i="5"/>
  <c r="CO12" i="6" s="1"/>
  <c r="CR29" i="2"/>
  <c r="CQ19" i="2"/>
  <c r="CQ7" i="2" s="1"/>
  <c r="CQ32" i="2"/>
  <c r="CN14" i="6"/>
  <c r="CN36" i="9"/>
  <c r="CN15" i="7"/>
  <c r="CP34" i="2"/>
  <c r="CL40" i="7"/>
  <c r="CL54" i="6"/>
  <c r="CL58" i="6"/>
  <c r="CL56" i="6"/>
  <c r="CL57" i="6"/>
  <c r="CL55" i="6"/>
  <c r="CI70" i="6"/>
  <c r="CI63" i="6"/>
  <c r="CI10" i="10"/>
  <c r="CI13" i="10" s="1"/>
  <c r="CI10" i="11" s="1"/>
  <c r="CI13" i="13"/>
  <c r="CM19" i="7"/>
  <c r="CM39" i="7"/>
  <c r="CK43" i="8"/>
  <c r="CJ44" i="8"/>
  <c r="CJ48" i="8" s="1"/>
  <c r="CN46" i="6"/>
  <c r="CN49" i="6"/>
  <c r="CN44" i="6"/>
  <c r="CN45" i="6"/>
  <c r="CN47" i="6"/>
  <c r="CN50" i="6"/>
  <c r="CN12" i="7"/>
  <c r="CN48" i="6"/>
  <c r="CN24" i="6"/>
  <c r="CM40" i="8"/>
  <c r="CM55" i="8"/>
  <c r="CM56" i="8"/>
  <c r="CM58" i="8" s="1"/>
  <c r="CM39" i="8"/>
  <c r="CK43" i="13"/>
  <c r="CK101" i="8"/>
  <c r="CK38" i="6"/>
  <c r="CK41" i="7"/>
  <c r="CO8" i="4"/>
  <c r="CM8" i="1"/>
  <c r="CL37" i="6"/>
  <c r="CL20" i="7"/>
  <c r="CL21" i="7" s="1"/>
  <c r="CN93" i="8"/>
  <c r="CQ47" i="2"/>
  <c r="CJ39" i="6"/>
  <c r="CJ25" i="7"/>
  <c r="CL100" i="8"/>
  <c r="CL42" i="13"/>
  <c r="CM51" i="6"/>
  <c r="CL41" i="13"/>
  <c r="CL99" i="8"/>
  <c r="CL134" i="8" s="1"/>
  <c r="CL136" i="8" s="1"/>
  <c r="CL41" i="8"/>
  <c r="CN15" i="1"/>
  <c r="CP56" i="2"/>
  <c r="CP57" i="2"/>
  <c r="CP8" i="2" s="1"/>
  <c r="CQ53" i="2"/>
  <c r="CN39" i="13"/>
  <c r="CN13" i="12"/>
  <c r="CN18" i="12" s="1"/>
  <c r="CN115" i="8"/>
  <c r="CN135" i="8" s="1"/>
  <c r="CN36" i="8"/>
  <c r="CQ40" i="2"/>
  <c r="CR35" i="8"/>
  <c r="CR61" i="1"/>
  <c r="CR70" i="1" s="1"/>
  <c r="CS5" i="14"/>
  <c r="CS5" i="12"/>
  <c r="CS5" i="8"/>
  <c r="CS5" i="15"/>
  <c r="CS5" i="13"/>
  <c r="CS5" i="10"/>
  <c r="CS5" i="9"/>
  <c r="CS5" i="6"/>
  <c r="CS5" i="5"/>
  <c r="CS5" i="7"/>
  <c r="CR6" i="15"/>
  <c r="CR6" i="8"/>
  <c r="CR6" i="12"/>
  <c r="CR6" i="13"/>
  <c r="CR6" i="14"/>
  <c r="CR6" i="10"/>
  <c r="CR6" i="9"/>
  <c r="CR6" i="6"/>
  <c r="CR6" i="7"/>
  <c r="CR6" i="5"/>
  <c r="BA30" i="7"/>
  <c r="BA18" i="13"/>
  <c r="BE69" i="6"/>
  <c r="BD74" i="6"/>
  <c r="BD87" i="6" s="1"/>
  <c r="BB80" i="6"/>
  <c r="BB81" i="6" s="1"/>
  <c r="BB29" i="14" s="1"/>
  <c r="CU5" i="4"/>
  <c r="CS5" i="1"/>
  <c r="CS18" i="1" s="1"/>
  <c r="CS58" i="1" s="1"/>
  <c r="CT6" i="4"/>
  <c r="CR6" i="1"/>
  <c r="CU59" i="2"/>
  <c r="CU54" i="2"/>
  <c r="CS16" i="1" s="1"/>
  <c r="CS56" i="1" s="1"/>
  <c r="CU52" i="2"/>
  <c r="CS14" i="1" s="1"/>
  <c r="CS24" i="1" s="1"/>
  <c r="CS35" i="1" s="1"/>
  <c r="CU60" i="2"/>
  <c r="CS55" i="1" s="1"/>
  <c r="CU48" i="2"/>
  <c r="CU41" i="2"/>
  <c r="CS37" i="8" s="1"/>
  <c r="CU30" i="2"/>
  <c r="CU46" i="2"/>
  <c r="CU39" i="2"/>
  <c r="CU23" i="2"/>
  <c r="CU28" i="2"/>
  <c r="CV5" i="2"/>
  <c r="CU18" i="2"/>
  <c r="CU6" i="2" s="1"/>
  <c r="CU25" i="2"/>
  <c r="CT24" i="2"/>
  <c r="CS6" i="11" l="1"/>
  <c r="CS6" i="18"/>
  <c r="CT5" i="18"/>
  <c r="CT5" i="11"/>
  <c r="CO7" i="11"/>
  <c r="CO7" i="18"/>
  <c r="CK14" i="13"/>
  <c r="CK26" i="7"/>
  <c r="CK11" i="10"/>
  <c r="CL101" i="8"/>
  <c r="CL43" i="13"/>
  <c r="CO93" i="8"/>
  <c r="CR47" i="2"/>
  <c r="CN27" i="6"/>
  <c r="CN28" i="6" s="1"/>
  <c r="CN30" i="6" s="1"/>
  <c r="CN34" i="5"/>
  <c r="CN36" i="5" s="1"/>
  <c r="CN38" i="5" s="1"/>
  <c r="CN11" i="11" s="1"/>
  <c r="CM45" i="9"/>
  <c r="CM29" i="7"/>
  <c r="CM16" i="13"/>
  <c r="CM40" i="7"/>
  <c r="CM56" i="6"/>
  <c r="CM55" i="6"/>
  <c r="CM58" i="6"/>
  <c r="CM57" i="6"/>
  <c r="CM54" i="6"/>
  <c r="CO15" i="1"/>
  <c r="CQ57" i="2"/>
  <c r="CQ8" i="2" s="1"/>
  <c r="CR53" i="2"/>
  <c r="CQ56" i="2"/>
  <c r="CK44" i="8"/>
  <c r="CK48" i="8" s="1"/>
  <c r="CL43" i="8"/>
  <c r="CP8" i="4"/>
  <c r="CN8" i="1"/>
  <c r="CM41" i="13"/>
  <c r="CM99" i="8"/>
  <c r="CM134" i="8" s="1"/>
  <c r="CM136" i="8" s="1"/>
  <c r="CM41" i="8"/>
  <c r="CM37" i="6"/>
  <c r="CM20" i="7"/>
  <c r="CM21" i="7" s="1"/>
  <c r="CR32" i="2"/>
  <c r="CQ34" i="2"/>
  <c r="CO36" i="9"/>
  <c r="CO15" i="7"/>
  <c r="CO14" i="6"/>
  <c r="CO7" i="10"/>
  <c r="CO7" i="6"/>
  <c r="CO7" i="9"/>
  <c r="CO7" i="8"/>
  <c r="CQ7" i="4"/>
  <c r="CO7" i="12"/>
  <c r="CO7" i="13"/>
  <c r="CO7" i="7"/>
  <c r="CO7" i="1"/>
  <c r="CO7" i="14"/>
  <c r="CO7" i="15"/>
  <c r="CO7" i="5"/>
  <c r="CN19" i="7"/>
  <c r="CN39" i="7"/>
  <c r="CO36" i="8"/>
  <c r="CO13" i="12"/>
  <c r="CO18" i="12" s="1"/>
  <c r="CO39" i="13"/>
  <c r="CO115" i="8"/>
  <c r="CO135" i="8" s="1"/>
  <c r="CR40" i="2"/>
  <c r="CK39" i="6"/>
  <c r="CK25" i="7"/>
  <c r="CN51" i="6"/>
  <c r="CL59" i="6"/>
  <c r="CL61" i="6" s="1"/>
  <c r="CL26" i="7" s="1"/>
  <c r="CP35" i="9"/>
  <c r="CP12" i="5"/>
  <c r="CP12" i="6" s="1"/>
  <c r="CS29" i="2"/>
  <c r="CR19" i="2"/>
  <c r="CR7" i="2" s="1"/>
  <c r="CN39" i="8"/>
  <c r="CN56" i="8"/>
  <c r="CN58" i="8" s="1"/>
  <c r="CN55" i="8"/>
  <c r="CN40" i="8"/>
  <c r="CJ63" i="6"/>
  <c r="CJ13" i="13"/>
  <c r="CJ10" i="10"/>
  <c r="CJ13" i="10" s="1"/>
  <c r="CJ10" i="11" s="1"/>
  <c r="CJ70" i="6"/>
  <c r="CM42" i="13"/>
  <c r="CM100" i="8"/>
  <c r="CI14" i="10"/>
  <c r="CL41" i="7"/>
  <c r="CL38" i="6"/>
  <c r="CO46" i="6"/>
  <c r="CO47" i="6"/>
  <c r="CO49" i="6"/>
  <c r="CO44" i="6"/>
  <c r="CO12" i="7"/>
  <c r="CO50" i="6"/>
  <c r="CO48" i="6"/>
  <c r="CO24" i="6"/>
  <c r="CO45" i="6"/>
  <c r="CQ43" i="2"/>
  <c r="CS6" i="8"/>
  <c r="CS6" i="14"/>
  <c r="CS6" i="13"/>
  <c r="CS6" i="12"/>
  <c r="CS6" i="15"/>
  <c r="CS6" i="9"/>
  <c r="CS6" i="10"/>
  <c r="CS6" i="6"/>
  <c r="CS6" i="7"/>
  <c r="CS6" i="5"/>
  <c r="CT5" i="15"/>
  <c r="CU5" i="15" s="1"/>
  <c r="CV5" i="15" s="1"/>
  <c r="CW5" i="15" s="1"/>
  <c r="CX5" i="15" s="1"/>
  <c r="CY5" i="15" s="1"/>
  <c r="CZ5" i="15" s="1"/>
  <c r="DA5" i="15" s="1"/>
  <c r="DB5" i="15" s="1"/>
  <c r="DC5" i="15" s="1"/>
  <c r="DD5" i="15" s="1"/>
  <c r="CT5" i="8"/>
  <c r="CT5" i="12"/>
  <c r="CU5" i="12" s="1"/>
  <c r="CV5" i="12" s="1"/>
  <c r="CW5" i="12" s="1"/>
  <c r="CX5" i="12" s="1"/>
  <c r="CY5" i="12" s="1"/>
  <c r="CZ5" i="12" s="1"/>
  <c r="DA5" i="12" s="1"/>
  <c r="DB5" i="12" s="1"/>
  <c r="DC5" i="12" s="1"/>
  <c r="DD5" i="12" s="1"/>
  <c r="CT5" i="14"/>
  <c r="CU5" i="14" s="1"/>
  <c r="CV5" i="14" s="1"/>
  <c r="CW5" i="14" s="1"/>
  <c r="CX5" i="14" s="1"/>
  <c r="CY5" i="14" s="1"/>
  <c r="CZ5" i="14" s="1"/>
  <c r="DA5" i="14" s="1"/>
  <c r="DB5" i="14" s="1"/>
  <c r="DC5" i="14" s="1"/>
  <c r="DD5" i="14" s="1"/>
  <c r="CT5" i="13"/>
  <c r="CU5" i="13" s="1"/>
  <c r="CV5" i="13" s="1"/>
  <c r="CW5" i="13" s="1"/>
  <c r="CX5" i="13" s="1"/>
  <c r="CY5" i="13" s="1"/>
  <c r="CZ5" i="13" s="1"/>
  <c r="DA5" i="13" s="1"/>
  <c r="DB5" i="13" s="1"/>
  <c r="DC5" i="13" s="1"/>
  <c r="DD5" i="13" s="1"/>
  <c r="CU5" i="11"/>
  <c r="CV5" i="11" s="1"/>
  <c r="CW5" i="11" s="1"/>
  <c r="CX5" i="11" s="1"/>
  <c r="CY5" i="11" s="1"/>
  <c r="CZ5" i="11" s="1"/>
  <c r="DA5" i="11" s="1"/>
  <c r="DB5" i="11" s="1"/>
  <c r="DC5" i="11" s="1"/>
  <c r="DD5" i="11" s="1"/>
  <c r="CT5" i="10"/>
  <c r="CU5" i="10" s="1"/>
  <c r="CV5" i="10" s="1"/>
  <c r="CW5" i="10" s="1"/>
  <c r="CX5" i="10" s="1"/>
  <c r="CY5" i="10" s="1"/>
  <c r="CZ5" i="10" s="1"/>
  <c r="DA5" i="10" s="1"/>
  <c r="DB5" i="10" s="1"/>
  <c r="DC5" i="10" s="1"/>
  <c r="DD5" i="10" s="1"/>
  <c r="CT5" i="9"/>
  <c r="CU5" i="9" s="1"/>
  <c r="CV5" i="9" s="1"/>
  <c r="CW5" i="9" s="1"/>
  <c r="CX5" i="9" s="1"/>
  <c r="CY5" i="9" s="1"/>
  <c r="CZ5" i="9" s="1"/>
  <c r="DA5" i="9" s="1"/>
  <c r="DB5" i="9" s="1"/>
  <c r="DC5" i="9" s="1"/>
  <c r="DD5" i="9" s="1"/>
  <c r="CT5" i="6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CT5" i="7"/>
  <c r="CU5" i="7" s="1"/>
  <c r="CV5" i="7" s="1"/>
  <c r="CW5" i="7" s="1"/>
  <c r="CX5" i="7" s="1"/>
  <c r="CY5" i="7" s="1"/>
  <c r="CZ5" i="7" s="1"/>
  <c r="DA5" i="7" s="1"/>
  <c r="DB5" i="7" s="1"/>
  <c r="DC5" i="7" s="1"/>
  <c r="DD5" i="7" s="1"/>
  <c r="CT5" i="5"/>
  <c r="CU5" i="5" s="1"/>
  <c r="CV5" i="5" s="1"/>
  <c r="CW5" i="5" s="1"/>
  <c r="CX5" i="5" s="1"/>
  <c r="CY5" i="5" s="1"/>
  <c r="CZ5" i="5" s="1"/>
  <c r="DA5" i="5" s="1"/>
  <c r="DB5" i="5" s="1"/>
  <c r="DC5" i="5" s="1"/>
  <c r="DD5" i="5" s="1"/>
  <c r="CS61" i="1"/>
  <c r="CS70" i="1" s="1"/>
  <c r="CS35" i="8"/>
  <c r="BB83" i="6"/>
  <c r="BB88" i="6" s="1"/>
  <c r="BB89" i="6" s="1"/>
  <c r="BB13" i="11" s="1"/>
  <c r="BC78" i="6"/>
  <c r="BE71" i="6"/>
  <c r="BE72" i="6" s="1"/>
  <c r="BE18" i="14" s="1"/>
  <c r="CV5" i="4"/>
  <c r="CW5" i="4" s="1"/>
  <c r="CX5" i="4" s="1"/>
  <c r="CT5" i="1"/>
  <c r="CT18" i="1" s="1"/>
  <c r="CT58" i="1" s="1"/>
  <c r="CU6" i="4"/>
  <c r="CS6" i="1"/>
  <c r="CW6" i="4"/>
  <c r="CV59" i="2"/>
  <c r="CV54" i="2"/>
  <c r="CT16" i="1" s="1"/>
  <c r="CV60" i="2"/>
  <c r="CT55" i="1" s="1"/>
  <c r="N55" i="1" s="1"/>
  <c r="CV48" i="2"/>
  <c r="CV46" i="2"/>
  <c r="CV39" i="2"/>
  <c r="CV52" i="2"/>
  <c r="CT14" i="1" s="1"/>
  <c r="CV30" i="2"/>
  <c r="CV23" i="2"/>
  <c r="CV41" i="2"/>
  <c r="CT37" i="8" s="1"/>
  <c r="N37" i="8" s="1"/>
  <c r="CV28" i="2"/>
  <c r="CV18" i="2"/>
  <c r="CV6" i="2" s="1"/>
  <c r="CV25" i="2"/>
  <c r="CW5" i="2"/>
  <c r="CU24" i="2"/>
  <c r="CR43" i="2" l="1"/>
  <c r="CT6" i="11"/>
  <c r="CT6" i="18"/>
  <c r="CP7" i="18"/>
  <c r="CP7" i="11"/>
  <c r="CT57" i="18"/>
  <c r="CU5" i="18"/>
  <c r="CV5" i="18" s="1"/>
  <c r="CW5" i="18" s="1"/>
  <c r="CX5" i="18" s="1"/>
  <c r="CY5" i="18" s="1"/>
  <c r="CZ5" i="18" s="1"/>
  <c r="DA5" i="18" s="1"/>
  <c r="DB5" i="18" s="1"/>
  <c r="DC5" i="18" s="1"/>
  <c r="DD5" i="18" s="1"/>
  <c r="CL79" i="6"/>
  <c r="CL11" i="10"/>
  <c r="CL14" i="13"/>
  <c r="CJ14" i="10"/>
  <c r="CQ35" i="9"/>
  <c r="CQ12" i="5"/>
  <c r="CQ12" i="6" s="1"/>
  <c r="CT29" i="2"/>
  <c r="CS19" i="2"/>
  <c r="CS7" i="2" s="1"/>
  <c r="CN16" i="13"/>
  <c r="CN29" i="7"/>
  <c r="CN45" i="9"/>
  <c r="CP7" i="10"/>
  <c r="CP7" i="1"/>
  <c r="CP7" i="9"/>
  <c r="CP7" i="8"/>
  <c r="CP7" i="14"/>
  <c r="CP7" i="6"/>
  <c r="CP7" i="15"/>
  <c r="CP7" i="7"/>
  <c r="CP7" i="13"/>
  <c r="CP7" i="12"/>
  <c r="CR7" i="4"/>
  <c r="CP7" i="5"/>
  <c r="CP44" i="6"/>
  <c r="CP12" i="7"/>
  <c r="CP50" i="6"/>
  <c r="CP47" i="6"/>
  <c r="CP46" i="6"/>
  <c r="CP24" i="6"/>
  <c r="CP45" i="6"/>
  <c r="CP49" i="6"/>
  <c r="CP48" i="6"/>
  <c r="CN56" i="6"/>
  <c r="CN57" i="6"/>
  <c r="CN54" i="6"/>
  <c r="CN40" i="7"/>
  <c r="CN58" i="6"/>
  <c r="CN55" i="6"/>
  <c r="CP36" i="8"/>
  <c r="CP115" i="8"/>
  <c r="CP135" i="8" s="1"/>
  <c r="CP39" i="13"/>
  <c r="CS40" i="2"/>
  <c r="CS43" i="2" s="1"/>
  <c r="CP13" i="12"/>
  <c r="CP18" i="12" s="1"/>
  <c r="CL25" i="7"/>
  <c r="CL39" i="6"/>
  <c r="CM101" i="8"/>
  <c r="CM43" i="13"/>
  <c r="CP15" i="1"/>
  <c r="CR56" i="2"/>
  <c r="CR57" i="2"/>
  <c r="CR8" i="2" s="1"/>
  <c r="CS53" i="2"/>
  <c r="CP93" i="8"/>
  <c r="CS47" i="2"/>
  <c r="CP36" i="9"/>
  <c r="CP14" i="6"/>
  <c r="CS32" i="2"/>
  <c r="CR34" i="2"/>
  <c r="CP15" i="7"/>
  <c r="CN42" i="13"/>
  <c r="CN100" i="8"/>
  <c r="CO56" i="8"/>
  <c r="CO58" i="8" s="1"/>
  <c r="CO39" i="8"/>
  <c r="CO40" i="8"/>
  <c r="CO55" i="8"/>
  <c r="CO8" i="1"/>
  <c r="CQ8" i="4"/>
  <c r="CM38" i="6"/>
  <c r="CM41" i="7"/>
  <c r="CO51" i="6"/>
  <c r="CL44" i="8"/>
  <c r="CL48" i="8" s="1"/>
  <c r="CM43" i="8"/>
  <c r="CO19" i="7"/>
  <c r="CO39" i="7"/>
  <c r="CN20" i="7"/>
  <c r="CN21" i="7" s="1"/>
  <c r="CN37" i="6"/>
  <c r="CN41" i="13"/>
  <c r="CN99" i="8"/>
  <c r="CN134" i="8" s="1"/>
  <c r="CN136" i="8" s="1"/>
  <c r="CN41" i="8"/>
  <c r="CK10" i="10"/>
  <c r="CK13" i="10" s="1"/>
  <c r="CK10" i="11" s="1"/>
  <c r="CK70" i="6"/>
  <c r="CK13" i="13"/>
  <c r="CK63" i="6"/>
  <c r="CO27" i="6"/>
  <c r="CO28" i="6" s="1"/>
  <c r="CO30" i="6" s="1"/>
  <c r="CO34" i="5"/>
  <c r="CO36" i="5" s="1"/>
  <c r="CO38" i="5" s="1"/>
  <c r="CO11" i="11" s="1"/>
  <c r="CM59" i="6"/>
  <c r="CM61" i="6" s="1"/>
  <c r="CT6" i="14"/>
  <c r="CT6" i="13"/>
  <c r="CT6" i="8"/>
  <c r="CT6" i="15"/>
  <c r="CT6" i="12"/>
  <c r="CT6" i="9"/>
  <c r="CT6" i="10"/>
  <c r="CT6" i="6"/>
  <c r="CT6" i="7"/>
  <c r="CT6" i="5"/>
  <c r="CU5" i="8"/>
  <c r="CV5" i="8" s="1"/>
  <c r="CW5" i="8" s="1"/>
  <c r="CX5" i="8" s="1"/>
  <c r="CY5" i="8" s="1"/>
  <c r="CZ5" i="8" s="1"/>
  <c r="DA5" i="8" s="1"/>
  <c r="DB5" i="8" s="1"/>
  <c r="DC5" i="8" s="1"/>
  <c r="DD5" i="8" s="1"/>
  <c r="CT35" i="8"/>
  <c r="N35" i="8" s="1"/>
  <c r="CT24" i="1"/>
  <c r="N14" i="1"/>
  <c r="CT56" i="1"/>
  <c r="N16" i="1"/>
  <c r="BB30" i="7"/>
  <c r="BB18" i="13"/>
  <c r="BE74" i="6"/>
  <c r="BE87" i="6" s="1"/>
  <c r="BF69" i="6"/>
  <c r="BC80" i="6"/>
  <c r="BC81" i="6" s="1"/>
  <c r="BC29" i="14" s="1"/>
  <c r="CV6" i="4"/>
  <c r="CT6" i="1"/>
  <c r="CY5" i="4"/>
  <c r="CX6" i="4"/>
  <c r="CV24" i="2"/>
  <c r="CW60" i="2"/>
  <c r="CW59" i="2"/>
  <c r="CW48" i="2"/>
  <c r="CW54" i="2"/>
  <c r="CW52" i="2"/>
  <c r="CW46" i="2"/>
  <c r="CW39" i="2"/>
  <c r="CW41" i="2"/>
  <c r="CW30" i="2"/>
  <c r="CW23" i="2"/>
  <c r="CW25" i="2"/>
  <c r="CW18" i="2"/>
  <c r="CW6" i="2" s="1"/>
  <c r="CW28" i="2"/>
  <c r="CX5" i="2"/>
  <c r="CQ7" i="18" l="1"/>
  <c r="CQ7" i="11"/>
  <c r="CO41" i="13"/>
  <c r="CO99" i="8"/>
  <c r="CO134" i="8" s="1"/>
  <c r="CO136" i="8" s="1"/>
  <c r="CO41" i="8"/>
  <c r="CP39" i="8"/>
  <c r="CP55" i="8"/>
  <c r="CP56" i="8"/>
  <c r="CP58" i="8" s="1"/>
  <c r="CP40" i="8"/>
  <c r="CO29" i="7"/>
  <c r="CO45" i="9"/>
  <c r="CO16" i="13"/>
  <c r="CQ93" i="8"/>
  <c r="CT47" i="2"/>
  <c r="CL70" i="6"/>
  <c r="CL13" i="13"/>
  <c r="CL10" i="10"/>
  <c r="CL13" i="10" s="1"/>
  <c r="CL10" i="11" s="1"/>
  <c r="CL63" i="6"/>
  <c r="CP51" i="6"/>
  <c r="CO58" i="6"/>
  <c r="CO54" i="6"/>
  <c r="CO55" i="6"/>
  <c r="CO57" i="6"/>
  <c r="CO56" i="6"/>
  <c r="CO40" i="7"/>
  <c r="CM25" i="7"/>
  <c r="CM39" i="6"/>
  <c r="CQ7" i="10"/>
  <c r="CQ7" i="6"/>
  <c r="CQ7" i="8"/>
  <c r="CQ7" i="15"/>
  <c r="CQ7" i="13"/>
  <c r="CQ7" i="5"/>
  <c r="CQ7" i="14"/>
  <c r="CQ7" i="7"/>
  <c r="CS7" i="4"/>
  <c r="CQ7" i="1"/>
  <c r="CQ7" i="12"/>
  <c r="CQ7" i="9"/>
  <c r="CQ15" i="1"/>
  <c r="CS56" i="2"/>
  <c r="CS57" i="2"/>
  <c r="CS8" i="2" s="1"/>
  <c r="CT53" i="2"/>
  <c r="CU29" i="2"/>
  <c r="CT19" i="2"/>
  <c r="CT7" i="2" s="1"/>
  <c r="CM14" i="13"/>
  <c r="CM11" i="10"/>
  <c r="CM79" i="6"/>
  <c r="CM26" i="7"/>
  <c r="CP8" i="1"/>
  <c r="CR8" i="4"/>
  <c r="CN38" i="6"/>
  <c r="CN41" i="7"/>
  <c r="CQ45" i="6"/>
  <c r="N45" i="6" s="1"/>
  <c r="CQ46" i="6"/>
  <c r="N46" i="6" s="1"/>
  <c r="CQ44" i="6"/>
  <c r="N44" i="6" s="1"/>
  <c r="CQ47" i="6"/>
  <c r="N47" i="6" s="1"/>
  <c r="CQ50" i="6"/>
  <c r="N50" i="6" s="1"/>
  <c r="CQ12" i="7"/>
  <c r="CQ49" i="6"/>
  <c r="N49" i="6" s="1"/>
  <c r="CQ48" i="6"/>
  <c r="N48" i="6" s="1"/>
  <c r="CQ24" i="6"/>
  <c r="CO20" i="7"/>
  <c r="CO21" i="7" s="1"/>
  <c r="CO37" i="6"/>
  <c r="CP27" i="6"/>
  <c r="CP28" i="6" s="1"/>
  <c r="CP30" i="6" s="1"/>
  <c r="CP34" i="5"/>
  <c r="CP36" i="5" s="1"/>
  <c r="CP38" i="5" s="1"/>
  <c r="CP11" i="11" s="1"/>
  <c r="CQ36" i="8"/>
  <c r="CQ115" i="8"/>
  <c r="CQ135" i="8" s="1"/>
  <c r="CT40" i="2"/>
  <c r="CQ39" i="13"/>
  <c r="CQ13" i="12"/>
  <c r="CQ18" i="12" s="1"/>
  <c r="CN59" i="6"/>
  <c r="CN61" i="6" s="1"/>
  <c r="CN11" i="10" s="1"/>
  <c r="CK14" i="10"/>
  <c r="CQ14" i="6"/>
  <c r="CS34" i="2"/>
  <c r="CT32" i="2"/>
  <c r="CQ36" i="9"/>
  <c r="CF37" i="9" s="1"/>
  <c r="CF39" i="9" s="1"/>
  <c r="CQ15" i="7"/>
  <c r="CN101" i="8"/>
  <c r="CN43" i="13"/>
  <c r="CN43" i="8"/>
  <c r="CM44" i="8"/>
  <c r="CM48" i="8" s="1"/>
  <c r="CO42" i="13"/>
  <c r="CO100" i="8"/>
  <c r="CP19" i="7"/>
  <c r="CP39" i="7"/>
  <c r="CT61" i="1"/>
  <c r="N56" i="1"/>
  <c r="CT35" i="1"/>
  <c r="N35" i="1" s="1"/>
  <c r="N24" i="1"/>
  <c r="BD78" i="6"/>
  <c r="BC83" i="6"/>
  <c r="BC88" i="6" s="1"/>
  <c r="BC89" i="6" s="1"/>
  <c r="BC13" i="11" s="1"/>
  <c r="BF71" i="6"/>
  <c r="BF72" i="6" s="1"/>
  <c r="BF18" i="14" s="1"/>
  <c r="CY6" i="4"/>
  <c r="CZ5" i="4"/>
  <c r="CX60" i="2"/>
  <c r="CX59" i="2"/>
  <c r="CX54" i="2"/>
  <c r="CX48" i="2"/>
  <c r="CX46" i="2"/>
  <c r="CX52" i="2"/>
  <c r="CX39" i="2"/>
  <c r="CX41" i="2"/>
  <c r="CX30" i="2"/>
  <c r="CX23" i="2"/>
  <c r="CX25" i="2"/>
  <c r="CX18" i="2"/>
  <c r="CX6" i="2" s="1"/>
  <c r="CX28" i="2"/>
  <c r="CY5" i="2"/>
  <c r="CW24" i="2"/>
  <c r="CR7" i="11" l="1"/>
  <c r="CR7" i="18"/>
  <c r="CN79" i="6"/>
  <c r="CL14" i="10"/>
  <c r="CN26" i="7"/>
  <c r="AE37" i="9"/>
  <c r="AE39" i="9" s="1"/>
  <c r="CJ37" i="9"/>
  <c r="CJ39" i="9" s="1"/>
  <c r="CN14" i="13"/>
  <c r="BY37" i="9"/>
  <c r="BY39" i="9" s="1"/>
  <c r="BQ37" i="9"/>
  <c r="BQ39" i="9" s="1"/>
  <c r="CU19" i="2"/>
  <c r="CU7" i="2" s="1"/>
  <c r="CV29" i="2"/>
  <c r="Y37" i="9"/>
  <c r="Y39" i="9" s="1"/>
  <c r="CP37" i="9"/>
  <c r="CP39" i="9" s="1"/>
  <c r="AY37" i="9"/>
  <c r="AY39" i="9" s="1"/>
  <c r="CR14" i="6"/>
  <c r="CT34" i="2"/>
  <c r="CR27" i="6" s="1"/>
  <c r="CR28" i="6" s="1"/>
  <c r="CR30" i="6" s="1"/>
  <c r="CU32" i="2"/>
  <c r="BP37" i="9"/>
  <c r="BP39" i="9" s="1"/>
  <c r="T37" i="9"/>
  <c r="T39" i="9" s="1"/>
  <c r="CP56" i="6"/>
  <c r="CP54" i="6"/>
  <c r="CP57" i="6"/>
  <c r="CP55" i="6"/>
  <c r="CP58" i="6"/>
  <c r="CP40" i="7"/>
  <c r="BN37" i="9"/>
  <c r="BN39" i="9" s="1"/>
  <c r="BM37" i="9"/>
  <c r="BM39" i="9" s="1"/>
  <c r="AJ37" i="9"/>
  <c r="AJ39" i="9" s="1"/>
  <c r="CR15" i="1"/>
  <c r="CU53" i="2"/>
  <c r="CT57" i="2"/>
  <c r="CT8" i="2" s="1"/>
  <c r="CT56" i="2"/>
  <c r="AS37" i="9"/>
  <c r="AS39" i="9" s="1"/>
  <c r="CA37" i="9"/>
  <c r="CA39" i="9" s="1"/>
  <c r="X37" i="9"/>
  <c r="X39" i="9" s="1"/>
  <c r="CO37" i="9"/>
  <c r="CO39" i="9" s="1"/>
  <c r="AH37" i="9"/>
  <c r="AH39" i="9" s="1"/>
  <c r="CQ27" i="6"/>
  <c r="CQ28" i="6" s="1"/>
  <c r="CQ30" i="6" s="1"/>
  <c r="CQ34" i="5"/>
  <c r="CQ36" i="5" s="1"/>
  <c r="CQ38" i="5" s="1"/>
  <c r="BT37" i="9"/>
  <c r="BT39" i="9" s="1"/>
  <c r="BH37" i="9"/>
  <c r="BH39" i="9" s="1"/>
  <c r="CQ51" i="6"/>
  <c r="N51" i="6" s="1"/>
  <c r="BK37" i="9"/>
  <c r="BK39" i="9" s="1"/>
  <c r="BO37" i="9"/>
  <c r="BO39" i="9" s="1"/>
  <c r="CS8" i="4"/>
  <c r="CQ8" i="1"/>
  <c r="CQ37" i="9"/>
  <c r="CQ39" i="9" s="1"/>
  <c r="AT37" i="9"/>
  <c r="AT39" i="9" s="1"/>
  <c r="R37" i="9"/>
  <c r="R39" i="9" s="1"/>
  <c r="CP41" i="13"/>
  <c r="CP99" i="8"/>
  <c r="CP134" i="8" s="1"/>
  <c r="CP136" i="8" s="1"/>
  <c r="CP41" i="8"/>
  <c r="AC37" i="9"/>
  <c r="AC39" i="9" s="1"/>
  <c r="CO43" i="8"/>
  <c r="CN44" i="8"/>
  <c r="CN48" i="8" s="1"/>
  <c r="BU37" i="9"/>
  <c r="BU39" i="9" s="1"/>
  <c r="AL37" i="9"/>
  <c r="AL39" i="9" s="1"/>
  <c r="P37" i="9"/>
  <c r="P39" i="9" s="1"/>
  <c r="P46" i="9" s="1"/>
  <c r="AF37" i="9"/>
  <c r="AF39" i="9" s="1"/>
  <c r="CB37" i="9"/>
  <c r="CB39" i="9" s="1"/>
  <c r="CO59" i="6"/>
  <c r="CO61" i="6" s="1"/>
  <c r="AW37" i="9"/>
  <c r="AW39" i="9" s="1"/>
  <c r="CO101" i="8"/>
  <c r="CO43" i="13"/>
  <c r="BX37" i="9"/>
  <c r="BX39" i="9" s="1"/>
  <c r="BA37" i="9"/>
  <c r="BA39" i="9" s="1"/>
  <c r="BF37" i="9"/>
  <c r="BF39" i="9" s="1"/>
  <c r="BG37" i="9"/>
  <c r="BG39" i="9" s="1"/>
  <c r="CC37" i="9"/>
  <c r="CC39" i="9" s="1"/>
  <c r="BD37" i="9"/>
  <c r="BD39" i="9" s="1"/>
  <c r="BZ37" i="9"/>
  <c r="BZ39" i="9" s="1"/>
  <c r="AD37" i="9"/>
  <c r="AD39" i="9" s="1"/>
  <c r="AQ37" i="9"/>
  <c r="AQ39" i="9" s="1"/>
  <c r="BE37" i="9"/>
  <c r="BE39" i="9" s="1"/>
  <c r="AO37" i="9"/>
  <c r="AO39" i="9" s="1"/>
  <c r="CD37" i="9"/>
  <c r="CD39" i="9" s="1"/>
  <c r="AA37" i="9"/>
  <c r="AA39" i="9" s="1"/>
  <c r="CH37" i="9"/>
  <c r="CH39" i="9" s="1"/>
  <c r="AI37" i="9"/>
  <c r="AI39" i="9" s="1"/>
  <c r="AK37" i="9"/>
  <c r="AK39" i="9" s="1"/>
  <c r="AZ37" i="9"/>
  <c r="AZ39" i="9" s="1"/>
  <c r="BS37" i="9"/>
  <c r="BS39" i="9" s="1"/>
  <c r="BV37" i="9"/>
  <c r="BV39" i="9" s="1"/>
  <c r="AX37" i="9"/>
  <c r="AX39" i="9" s="1"/>
  <c r="CR36" i="8"/>
  <c r="CU40" i="2"/>
  <c r="CR13" i="12"/>
  <c r="CR18" i="12" s="1"/>
  <c r="CR39" i="13"/>
  <c r="CR115" i="8"/>
  <c r="CR135" i="8" s="1"/>
  <c r="BW37" i="9"/>
  <c r="BW39" i="9" s="1"/>
  <c r="CN25" i="7"/>
  <c r="CN39" i="6"/>
  <c r="Q37" i="9"/>
  <c r="Q39" i="9" s="1"/>
  <c r="BL37" i="9"/>
  <c r="BL39" i="9" s="1"/>
  <c r="BI37" i="9"/>
  <c r="BI39" i="9" s="1"/>
  <c r="CM63" i="6"/>
  <c r="CM70" i="6"/>
  <c r="CM13" i="13"/>
  <c r="CM10" i="10"/>
  <c r="CM13" i="10" s="1"/>
  <c r="CM10" i="11" s="1"/>
  <c r="W37" i="9"/>
  <c r="W39" i="9" s="1"/>
  <c r="S37" i="9"/>
  <c r="S39" i="9" s="1"/>
  <c r="AN37" i="9"/>
  <c r="AN39" i="9" s="1"/>
  <c r="AB37" i="9"/>
  <c r="AB39" i="9" s="1"/>
  <c r="CP37" i="6"/>
  <c r="CP20" i="7"/>
  <c r="CP21" i="7" s="1"/>
  <c r="U37" i="9"/>
  <c r="U39" i="9" s="1"/>
  <c r="AG37" i="9"/>
  <c r="AG39" i="9" s="1"/>
  <c r="AR37" i="9"/>
  <c r="AR39" i="9" s="1"/>
  <c r="CK37" i="9"/>
  <c r="CK39" i="9" s="1"/>
  <c r="CG37" i="9"/>
  <c r="CG39" i="9" s="1"/>
  <c r="BC37" i="9"/>
  <c r="BC39" i="9" s="1"/>
  <c r="CE37" i="9"/>
  <c r="CE39" i="9" s="1"/>
  <c r="CM37" i="9"/>
  <c r="CM39" i="9" s="1"/>
  <c r="BR37" i="9"/>
  <c r="BR39" i="9" s="1"/>
  <c r="CI37" i="9"/>
  <c r="CI39" i="9" s="1"/>
  <c r="CR93" i="8"/>
  <c r="CU47" i="2"/>
  <c r="Z37" i="9"/>
  <c r="Z39" i="9" s="1"/>
  <c r="CT43" i="2"/>
  <c r="CP29" i="7"/>
  <c r="CP16" i="13"/>
  <c r="CP45" i="9"/>
  <c r="AV37" i="9"/>
  <c r="AV39" i="9" s="1"/>
  <c r="BB37" i="9"/>
  <c r="BB39" i="9" s="1"/>
  <c r="V37" i="9"/>
  <c r="V39" i="9" s="1"/>
  <c r="CQ39" i="8"/>
  <c r="CQ55" i="8"/>
  <c r="CQ56" i="8"/>
  <c r="CQ58" i="8" s="1"/>
  <c r="CQ40" i="8"/>
  <c r="AP37" i="9"/>
  <c r="AP39" i="9" s="1"/>
  <c r="CQ19" i="7"/>
  <c r="CQ39" i="7"/>
  <c r="AU37" i="9"/>
  <c r="AU39" i="9" s="1"/>
  <c r="CR7" i="14"/>
  <c r="CR7" i="6"/>
  <c r="CR7" i="9"/>
  <c r="CR7" i="15"/>
  <c r="CR7" i="7"/>
  <c r="CR7" i="13"/>
  <c r="CR7" i="5"/>
  <c r="CR7" i="8"/>
  <c r="CR7" i="12"/>
  <c r="CT7" i="4"/>
  <c r="CR7" i="1"/>
  <c r="CR7" i="10"/>
  <c r="CL37" i="9"/>
  <c r="CL39" i="9" s="1"/>
  <c r="CO38" i="6"/>
  <c r="CO41" i="7"/>
  <c r="BJ37" i="9"/>
  <c r="BJ39" i="9" s="1"/>
  <c r="CN37" i="9"/>
  <c r="CN39" i="9" s="1"/>
  <c r="CP42" i="13"/>
  <c r="CP100" i="8"/>
  <c r="AM37" i="9"/>
  <c r="AM39" i="9" s="1"/>
  <c r="CT70" i="1"/>
  <c r="N70" i="1" s="1"/>
  <c r="N61" i="1"/>
  <c r="CP63" i="1"/>
  <c r="CP65" i="1" s="1"/>
  <c r="W63" i="1"/>
  <c r="W65" i="1" s="1"/>
  <c r="AC63" i="1"/>
  <c r="AC65" i="1" s="1"/>
  <c r="AL63" i="1"/>
  <c r="AL65" i="1" s="1"/>
  <c r="AU63" i="1"/>
  <c r="AU65" i="1" s="1"/>
  <c r="AZ63" i="1"/>
  <c r="AZ65" i="1" s="1"/>
  <c r="CT63" i="1"/>
  <c r="CT65" i="1" s="1"/>
  <c r="V63" i="1"/>
  <c r="V65" i="1" s="1"/>
  <c r="AF63" i="1"/>
  <c r="AF65" i="1" s="1"/>
  <c r="AN63" i="1"/>
  <c r="AN65" i="1" s="1"/>
  <c r="AT63" i="1"/>
  <c r="AT65" i="1" s="1"/>
  <c r="BB63" i="1"/>
  <c r="BB65" i="1" s="1"/>
  <c r="BJ63" i="1"/>
  <c r="BJ65" i="1" s="1"/>
  <c r="BT63" i="1"/>
  <c r="BT65" i="1" s="1"/>
  <c r="CB63" i="1"/>
  <c r="CB65" i="1" s="1"/>
  <c r="CI63" i="1"/>
  <c r="CI65" i="1" s="1"/>
  <c r="BL63" i="1"/>
  <c r="BL65" i="1" s="1"/>
  <c r="CA63" i="1"/>
  <c r="CA65" i="1" s="1"/>
  <c r="CQ63" i="1"/>
  <c r="CQ65" i="1" s="1"/>
  <c r="BW63" i="1"/>
  <c r="BW65" i="1" s="1"/>
  <c r="CG63" i="1"/>
  <c r="CG65" i="1" s="1"/>
  <c r="BZ63" i="1"/>
  <c r="BZ65" i="1" s="1"/>
  <c r="CN63" i="1"/>
  <c r="CN65" i="1" s="1"/>
  <c r="T63" i="1"/>
  <c r="T65" i="1" s="1"/>
  <c r="X63" i="1"/>
  <c r="X65" i="1" s="1"/>
  <c r="AD63" i="1"/>
  <c r="AD65" i="1" s="1"/>
  <c r="AP63" i="1"/>
  <c r="AP65" i="1" s="1"/>
  <c r="AV63" i="1"/>
  <c r="AV65" i="1" s="1"/>
  <c r="BD63" i="1"/>
  <c r="BD65" i="1" s="1"/>
  <c r="BS63" i="1"/>
  <c r="BS65" i="1" s="1"/>
  <c r="CL63" i="1"/>
  <c r="CL65" i="1" s="1"/>
  <c r="CD63" i="1"/>
  <c r="CD65" i="1" s="1"/>
  <c r="BX63" i="1"/>
  <c r="BX65" i="1" s="1"/>
  <c r="R63" i="1"/>
  <c r="R65" i="1" s="1"/>
  <c r="Z63" i="1"/>
  <c r="Z65" i="1" s="1"/>
  <c r="AG63" i="1"/>
  <c r="AG65" i="1" s="1"/>
  <c r="AM63" i="1"/>
  <c r="AM65" i="1" s="1"/>
  <c r="AW63" i="1"/>
  <c r="AW65" i="1" s="1"/>
  <c r="BE63" i="1"/>
  <c r="BE65" i="1" s="1"/>
  <c r="BP63" i="1"/>
  <c r="BP65" i="1" s="1"/>
  <c r="BV63" i="1"/>
  <c r="BV65" i="1" s="1"/>
  <c r="CC63" i="1"/>
  <c r="CC65" i="1" s="1"/>
  <c r="CM63" i="1"/>
  <c r="CM65" i="1" s="1"/>
  <c r="CS63" i="1"/>
  <c r="CS65" i="1" s="1"/>
  <c r="BG63" i="1"/>
  <c r="BG65" i="1" s="1"/>
  <c r="BU63" i="1"/>
  <c r="BU65" i="1" s="1"/>
  <c r="CE63" i="1"/>
  <c r="CE65" i="1" s="1"/>
  <c r="CJ63" i="1"/>
  <c r="CJ65" i="1" s="1"/>
  <c r="BC63" i="1"/>
  <c r="BC65" i="1" s="1"/>
  <c r="BN63" i="1"/>
  <c r="BN65" i="1" s="1"/>
  <c r="CR63" i="1"/>
  <c r="CR65" i="1" s="1"/>
  <c r="BI63" i="1"/>
  <c r="BI65" i="1" s="1"/>
  <c r="CH63" i="1"/>
  <c r="CH65" i="1" s="1"/>
  <c r="Q63" i="1"/>
  <c r="Q65" i="1" s="1"/>
  <c r="AA63" i="1"/>
  <c r="AA65" i="1" s="1"/>
  <c r="AH63" i="1"/>
  <c r="AH65" i="1" s="1"/>
  <c r="AO63" i="1"/>
  <c r="AO65" i="1" s="1"/>
  <c r="AX63" i="1"/>
  <c r="AX65" i="1" s="1"/>
  <c r="BM63" i="1"/>
  <c r="BM65" i="1" s="1"/>
  <c r="BH63" i="1"/>
  <c r="BH65" i="1" s="1"/>
  <c r="BQ63" i="1"/>
  <c r="BQ65" i="1" s="1"/>
  <c r="P63" i="1"/>
  <c r="P65" i="1" s="1"/>
  <c r="Y63" i="1"/>
  <c r="Y65" i="1" s="1"/>
  <c r="AK63" i="1"/>
  <c r="AK65" i="1" s="1"/>
  <c r="AR63" i="1"/>
  <c r="AR65" i="1" s="1"/>
  <c r="BO63" i="1"/>
  <c r="BO65" i="1" s="1"/>
  <c r="S63" i="1"/>
  <c r="S65" i="1" s="1"/>
  <c r="AB63" i="1"/>
  <c r="AB65" i="1" s="1"/>
  <c r="AI63" i="1"/>
  <c r="AI65" i="1" s="1"/>
  <c r="AQ63" i="1"/>
  <c r="AQ65" i="1" s="1"/>
  <c r="AY63" i="1"/>
  <c r="AY65" i="1" s="1"/>
  <c r="BF63" i="1"/>
  <c r="BF65" i="1" s="1"/>
  <c r="BR63" i="1"/>
  <c r="BR65" i="1" s="1"/>
  <c r="BY63" i="1"/>
  <c r="BY65" i="1" s="1"/>
  <c r="CF63" i="1"/>
  <c r="CF65" i="1" s="1"/>
  <c r="CK63" i="1"/>
  <c r="CK65" i="1" s="1"/>
  <c r="U63" i="1"/>
  <c r="U65" i="1" s="1"/>
  <c r="AE63" i="1"/>
  <c r="AE65" i="1" s="1"/>
  <c r="AJ63" i="1"/>
  <c r="AJ65" i="1" s="1"/>
  <c r="AS63" i="1"/>
  <c r="AS65" i="1" s="1"/>
  <c r="BA63" i="1"/>
  <c r="BA65" i="1" s="1"/>
  <c r="CO63" i="1"/>
  <c r="CO65" i="1" s="1"/>
  <c r="BK63" i="1"/>
  <c r="BK65" i="1" s="1"/>
  <c r="BC30" i="7"/>
  <c r="BC18" i="13"/>
  <c r="BF74" i="6"/>
  <c r="BF87" i="6" s="1"/>
  <c r="BG69" i="6"/>
  <c r="BD80" i="6"/>
  <c r="BD81" i="6" s="1"/>
  <c r="BD29" i="14" s="1"/>
  <c r="CW8" i="4"/>
  <c r="DA5" i="4"/>
  <c r="CZ6" i="4"/>
  <c r="CW7" i="4"/>
  <c r="CX24" i="2"/>
  <c r="CY60" i="2"/>
  <c r="CY59" i="2"/>
  <c r="CY54" i="2"/>
  <c r="CY52" i="2"/>
  <c r="CY48" i="2"/>
  <c r="CY39" i="2"/>
  <c r="CY41" i="2"/>
  <c r="CY25" i="2"/>
  <c r="CY46" i="2"/>
  <c r="CY28" i="2"/>
  <c r="CY30" i="2"/>
  <c r="CY23" i="2"/>
  <c r="CY18" i="2"/>
  <c r="CY6" i="2" s="1"/>
  <c r="CZ5" i="2"/>
  <c r="CQ29" i="7" l="1"/>
  <c r="CQ11" i="11"/>
  <c r="CS7" i="18"/>
  <c r="CS7" i="11"/>
  <c r="N38" i="5"/>
  <c r="N29" i="7"/>
  <c r="CV40" i="2"/>
  <c r="CS115" i="8"/>
  <c r="CS135" i="8" s="1"/>
  <c r="CS39" i="13"/>
  <c r="CS36" i="8"/>
  <c r="CS13" i="12"/>
  <c r="CS18" i="12" s="1"/>
  <c r="CO44" i="8"/>
  <c r="CO48" i="8" s="1"/>
  <c r="CP43" i="8"/>
  <c r="CR58" i="6"/>
  <c r="CR57" i="6"/>
  <c r="CR55" i="6"/>
  <c r="CR56" i="6"/>
  <c r="CR54" i="6"/>
  <c r="CQ45" i="9"/>
  <c r="N45" i="9" s="1"/>
  <c r="CR56" i="8"/>
  <c r="CR58" i="8" s="1"/>
  <c r="CR39" i="8"/>
  <c r="CR55" i="8"/>
  <c r="CR40" i="8"/>
  <c r="CR100" i="8" s="1"/>
  <c r="CO26" i="7"/>
  <c r="CO11" i="10"/>
  <c r="CO79" i="6"/>
  <c r="CO14" i="13"/>
  <c r="CQ54" i="6"/>
  <c r="CQ58" i="6"/>
  <c r="CQ55" i="6"/>
  <c r="CQ56" i="6"/>
  <c r="CQ57" i="6"/>
  <c r="CQ40" i="7"/>
  <c r="CT8" i="4"/>
  <c r="CR8" i="1"/>
  <c r="CQ16" i="13"/>
  <c r="N16" i="13" s="1"/>
  <c r="CQ42" i="13"/>
  <c r="CQ100" i="8"/>
  <c r="CN70" i="6"/>
  <c r="CN10" i="10"/>
  <c r="CN13" i="10" s="1"/>
  <c r="CN13" i="13"/>
  <c r="CN63" i="6"/>
  <c r="CS15" i="1"/>
  <c r="CS36" i="1" s="1"/>
  <c r="CS45" i="1" s="1"/>
  <c r="CV53" i="2"/>
  <c r="CU56" i="2"/>
  <c r="CU57" i="2"/>
  <c r="CU8" i="2" s="1"/>
  <c r="N11" i="11"/>
  <c r="CM14" i="10"/>
  <c r="CP101" i="8"/>
  <c r="CP43" i="13"/>
  <c r="CR36" i="1"/>
  <c r="CR45" i="1" s="1"/>
  <c r="CP59" i="6"/>
  <c r="CP61" i="6" s="1"/>
  <c r="CP14" i="13" s="1"/>
  <c r="P16" i="10"/>
  <c r="P18" i="10" s="1"/>
  <c r="P23" i="10" s="1"/>
  <c r="P11" i="9" s="1"/>
  <c r="P21" i="9" s="1"/>
  <c r="P47" i="9"/>
  <c r="CQ41" i="13"/>
  <c r="CQ99" i="8"/>
  <c r="CQ134" i="8" s="1"/>
  <c r="CQ136" i="8" s="1"/>
  <c r="CQ41" i="8"/>
  <c r="CU43" i="2"/>
  <c r="N36" i="5"/>
  <c r="CW29" i="2"/>
  <c r="CV19" i="2"/>
  <c r="CV7" i="2" s="1"/>
  <c r="CO39" i="6"/>
  <c r="CO25" i="7"/>
  <c r="CS7" i="10"/>
  <c r="CS7" i="9"/>
  <c r="CU7" i="4"/>
  <c r="CS7" i="8"/>
  <c r="CS7" i="6"/>
  <c r="CS7" i="14"/>
  <c r="CS7" i="5"/>
  <c r="CS7" i="13"/>
  <c r="CS7" i="7"/>
  <c r="CS7" i="1"/>
  <c r="CS7" i="15"/>
  <c r="CS7" i="12"/>
  <c r="CQ37" i="6"/>
  <c r="CQ20" i="7"/>
  <c r="CQ21" i="7" s="1"/>
  <c r="CS93" i="8"/>
  <c r="CV47" i="2"/>
  <c r="CP38" i="6"/>
  <c r="CP41" i="7"/>
  <c r="CS14" i="6"/>
  <c r="CV32" i="2"/>
  <c r="CU34" i="2"/>
  <c r="CS27" i="6" s="1"/>
  <c r="CS28" i="6" s="1"/>
  <c r="CS30" i="6" s="1"/>
  <c r="CK37" i="1"/>
  <c r="CK69" i="1"/>
  <c r="CK71" i="1" s="1"/>
  <c r="BI69" i="1"/>
  <c r="BI71" i="1" s="1"/>
  <c r="BI37" i="1"/>
  <c r="AE69" i="1"/>
  <c r="AE71" i="1" s="1"/>
  <c r="AE37" i="1"/>
  <c r="BH69" i="1"/>
  <c r="BH71" i="1" s="1"/>
  <c r="BH37" i="1"/>
  <c r="CS69" i="1"/>
  <c r="CS71" i="1" s="1"/>
  <c r="CS37" i="1"/>
  <c r="AV37" i="1"/>
  <c r="AV69" i="1"/>
  <c r="AV71" i="1" s="1"/>
  <c r="AG69" i="1"/>
  <c r="AG71" i="1" s="1"/>
  <c r="AG37" i="1"/>
  <c r="AB69" i="1"/>
  <c r="AB71" i="1" s="1"/>
  <c r="AB37" i="1"/>
  <c r="BW69" i="1"/>
  <c r="BW71" i="1" s="1"/>
  <c r="BW37" i="1"/>
  <c r="BA69" i="1"/>
  <c r="BA71" i="1" s="1"/>
  <c r="BA37" i="1"/>
  <c r="BB69" i="1"/>
  <c r="BB71" i="1" s="1"/>
  <c r="BB37" i="1"/>
  <c r="AL69" i="1"/>
  <c r="AL71" i="1" s="1"/>
  <c r="AL37" i="1"/>
  <c r="P69" i="1"/>
  <c r="N65" i="1"/>
  <c r="J65" i="1" s="1"/>
  <c r="I20" i="17" s="1"/>
  <c r="P37" i="1"/>
  <c r="Q37" i="1"/>
  <c r="Q69" i="1"/>
  <c r="Q71" i="1" s="1"/>
  <c r="BU37" i="1"/>
  <c r="BU69" i="1"/>
  <c r="BU71" i="1" s="1"/>
  <c r="AW69" i="1"/>
  <c r="AW71" i="1" s="1"/>
  <c r="AW37" i="1"/>
  <c r="BS37" i="1"/>
  <c r="BS69" i="1"/>
  <c r="BS71" i="1" s="1"/>
  <c r="BZ69" i="1"/>
  <c r="BZ71" i="1" s="1"/>
  <c r="BZ37" i="1"/>
  <c r="BT37" i="1"/>
  <c r="BT69" i="1"/>
  <c r="BT71" i="1" s="1"/>
  <c r="AZ69" i="1"/>
  <c r="AZ71" i="1" s="1"/>
  <c r="AZ37" i="1"/>
  <c r="AQ37" i="1"/>
  <c r="AQ69" i="1"/>
  <c r="AQ71" i="1" s="1"/>
  <c r="U37" i="1"/>
  <c r="U69" i="1"/>
  <c r="U71" i="1" s="1"/>
  <c r="AI69" i="1"/>
  <c r="AI71" i="1" s="1"/>
  <c r="AI37" i="1"/>
  <c r="BQ37" i="1"/>
  <c r="BQ69" i="1"/>
  <c r="BQ71" i="1" s="1"/>
  <c r="CH37" i="1"/>
  <c r="CH69" i="1"/>
  <c r="CH71" i="1" s="1"/>
  <c r="BG37" i="1"/>
  <c r="BG69" i="1"/>
  <c r="BG71" i="1" s="1"/>
  <c r="AM37" i="1"/>
  <c r="AM69" i="1"/>
  <c r="AM71" i="1" s="1"/>
  <c r="BD69" i="1"/>
  <c r="BD71" i="1" s="1"/>
  <c r="BD37" i="1"/>
  <c r="CG37" i="1"/>
  <c r="CG69" i="1"/>
  <c r="CG71" i="1" s="1"/>
  <c r="BJ69" i="1"/>
  <c r="BJ71" i="1" s="1"/>
  <c r="BJ37" i="1"/>
  <c r="AU37" i="1"/>
  <c r="AU69" i="1"/>
  <c r="AU71" i="1" s="1"/>
  <c r="CF69" i="1"/>
  <c r="CF71" i="1" s="1"/>
  <c r="CF37" i="1"/>
  <c r="BM69" i="1"/>
  <c r="BM71" i="1" s="1"/>
  <c r="BM37" i="1"/>
  <c r="CR37" i="1"/>
  <c r="CR69" i="1"/>
  <c r="CR71" i="1" s="1"/>
  <c r="Z69" i="1"/>
  <c r="Z71" i="1" s="1"/>
  <c r="Z37" i="1"/>
  <c r="AP37" i="1"/>
  <c r="AP69" i="1"/>
  <c r="AP71" i="1" s="1"/>
  <c r="CQ37" i="1"/>
  <c r="CQ69" i="1"/>
  <c r="CQ71" i="1" s="1"/>
  <c r="AT37" i="1"/>
  <c r="AT69" i="1"/>
  <c r="AT71" i="1" s="1"/>
  <c r="AC37" i="1"/>
  <c r="AC69" i="1"/>
  <c r="AC71" i="1" s="1"/>
  <c r="BK69" i="1"/>
  <c r="BK71" i="1" s="1"/>
  <c r="BK37" i="1"/>
  <c r="S69" i="1"/>
  <c r="S71" i="1" s="1"/>
  <c r="S37" i="1"/>
  <c r="CM69" i="1"/>
  <c r="CM71" i="1" s="1"/>
  <c r="CM37" i="1"/>
  <c r="CO69" i="1"/>
  <c r="CO71" i="1" s="1"/>
  <c r="CO37" i="1"/>
  <c r="BY69" i="1"/>
  <c r="BY71" i="1" s="1"/>
  <c r="BY37" i="1"/>
  <c r="BO69" i="1"/>
  <c r="BO71" i="1" s="1"/>
  <c r="BO37" i="1"/>
  <c r="AX37" i="1"/>
  <c r="AX69" i="1"/>
  <c r="AX71" i="1" s="1"/>
  <c r="BN69" i="1"/>
  <c r="BN71" i="1" s="1"/>
  <c r="BN37" i="1"/>
  <c r="CC69" i="1"/>
  <c r="CC71" i="1" s="1"/>
  <c r="CC37" i="1"/>
  <c r="R37" i="1"/>
  <c r="R69" i="1"/>
  <c r="R71" i="1" s="1"/>
  <c r="AD37" i="1"/>
  <c r="AD69" i="1"/>
  <c r="AD71" i="1" s="1"/>
  <c r="CA37" i="1"/>
  <c r="CA69" i="1"/>
  <c r="CA71" i="1" s="1"/>
  <c r="AN69" i="1"/>
  <c r="AN71" i="1" s="1"/>
  <c r="AN37" i="1"/>
  <c r="W69" i="1"/>
  <c r="W71" i="1" s="1"/>
  <c r="W37" i="1"/>
  <c r="AR69" i="1"/>
  <c r="AR71" i="1" s="1"/>
  <c r="AR37" i="1"/>
  <c r="AO69" i="1"/>
  <c r="AO71" i="1" s="1"/>
  <c r="AO37" i="1"/>
  <c r="BC37" i="1"/>
  <c r="BC69" i="1"/>
  <c r="BC71" i="1" s="1"/>
  <c r="BV37" i="1"/>
  <c r="BV69" i="1"/>
  <c r="BV71" i="1" s="1"/>
  <c r="BX69" i="1"/>
  <c r="BX71" i="1" s="1"/>
  <c r="BX37" i="1"/>
  <c r="X69" i="1"/>
  <c r="X71" i="1" s="1"/>
  <c r="X37" i="1"/>
  <c r="BL37" i="1"/>
  <c r="BL69" i="1"/>
  <c r="BL71" i="1" s="1"/>
  <c r="AF69" i="1"/>
  <c r="AF71" i="1" s="1"/>
  <c r="AF37" i="1"/>
  <c r="CP37" i="1"/>
  <c r="CP69" i="1"/>
  <c r="CP71" i="1" s="1"/>
  <c r="BR37" i="1"/>
  <c r="BR69" i="1"/>
  <c r="BR71" i="1" s="1"/>
  <c r="AS69" i="1"/>
  <c r="AS71" i="1" s="1"/>
  <c r="AS37" i="1"/>
  <c r="BF69" i="1"/>
  <c r="BF71" i="1" s="1"/>
  <c r="BF37" i="1"/>
  <c r="AK37" i="1"/>
  <c r="AK69" i="1"/>
  <c r="AK71" i="1" s="1"/>
  <c r="AH37" i="1"/>
  <c r="AH69" i="1"/>
  <c r="AH71" i="1" s="1"/>
  <c r="CJ37" i="1"/>
  <c r="CJ69" i="1"/>
  <c r="CJ71" i="1" s="1"/>
  <c r="BP69" i="1"/>
  <c r="BP71" i="1" s="1"/>
  <c r="BP37" i="1"/>
  <c r="CD37" i="1"/>
  <c r="CD69" i="1"/>
  <c r="CD71" i="1" s="1"/>
  <c r="T37" i="1"/>
  <c r="T69" i="1"/>
  <c r="T71" i="1" s="1"/>
  <c r="CI37" i="1"/>
  <c r="CI69" i="1"/>
  <c r="CI71" i="1" s="1"/>
  <c r="V37" i="1"/>
  <c r="V69" i="1"/>
  <c r="V71" i="1" s="1"/>
  <c r="AJ69" i="1"/>
  <c r="AJ71" i="1" s="1"/>
  <c r="AJ37" i="1"/>
  <c r="AY69" i="1"/>
  <c r="AY71" i="1" s="1"/>
  <c r="AY37" i="1"/>
  <c r="Y69" i="1"/>
  <c r="Y71" i="1" s="1"/>
  <c r="Y37" i="1"/>
  <c r="AA37" i="1"/>
  <c r="AA69" i="1"/>
  <c r="AA71" i="1" s="1"/>
  <c r="CE69" i="1"/>
  <c r="CE71" i="1" s="1"/>
  <c r="CE37" i="1"/>
  <c r="BE69" i="1"/>
  <c r="BE71" i="1" s="1"/>
  <c r="BE37" i="1"/>
  <c r="CL37" i="1"/>
  <c r="CL69" i="1"/>
  <c r="CL71" i="1" s="1"/>
  <c r="CN37" i="1"/>
  <c r="CN69" i="1"/>
  <c r="CN71" i="1" s="1"/>
  <c r="CB37" i="1"/>
  <c r="CB69" i="1"/>
  <c r="CB71" i="1" s="1"/>
  <c r="CT37" i="1"/>
  <c r="CT69" i="1"/>
  <c r="CT71" i="1" s="1"/>
  <c r="CT73" i="1" s="1"/>
  <c r="BE78" i="6"/>
  <c r="BD83" i="6"/>
  <c r="BD88" i="6" s="1"/>
  <c r="BD89" i="6" s="1"/>
  <c r="BD13" i="11" s="1"/>
  <c r="BG71" i="6"/>
  <c r="BG72" i="6" s="1"/>
  <c r="BG18" i="14" s="1"/>
  <c r="CX8" i="4"/>
  <c r="CX7" i="4"/>
  <c r="DB5" i="4"/>
  <c r="DA6" i="4"/>
  <c r="CY24" i="2"/>
  <c r="CZ48" i="2"/>
  <c r="CZ59" i="2"/>
  <c r="CZ54" i="2"/>
  <c r="CZ60" i="2"/>
  <c r="CZ46" i="2"/>
  <c r="CZ52" i="2"/>
  <c r="CZ39" i="2"/>
  <c r="CZ41" i="2"/>
  <c r="CZ25" i="2"/>
  <c r="CZ28" i="2"/>
  <c r="CZ18" i="2"/>
  <c r="CZ6" i="2" s="1"/>
  <c r="CZ23" i="2"/>
  <c r="DA5" i="2"/>
  <c r="CZ30" i="2"/>
  <c r="CT7" i="11" l="1"/>
  <c r="CT7" i="18"/>
  <c r="CN14" i="10"/>
  <c r="CN10" i="11"/>
  <c r="CV43" i="2"/>
  <c r="P16" i="9"/>
  <c r="CP26" i="7"/>
  <c r="CR59" i="6"/>
  <c r="CR61" i="6" s="1"/>
  <c r="CP11" i="10"/>
  <c r="CP79" i="6"/>
  <c r="CR99" i="8"/>
  <c r="CR134" i="8" s="1"/>
  <c r="CR136" i="8" s="1"/>
  <c r="CR41" i="8"/>
  <c r="CR101" i="8" s="1"/>
  <c r="CP44" i="8"/>
  <c r="CP48" i="8" s="1"/>
  <c r="CQ43" i="8"/>
  <c r="CT93" i="8"/>
  <c r="CW47" i="2"/>
  <c r="CX47" i="2" s="1"/>
  <c r="CY47" i="2" s="1"/>
  <c r="CZ47" i="2" s="1"/>
  <c r="CQ101" i="8"/>
  <c r="CQ43" i="13"/>
  <c r="CT15" i="1"/>
  <c r="CT36" i="1" s="1"/>
  <c r="CT45" i="1" s="1"/>
  <c r="CV56" i="2"/>
  <c r="CV57" i="2"/>
  <c r="CV8" i="2" s="1"/>
  <c r="CW53" i="2"/>
  <c r="CQ59" i="6"/>
  <c r="CQ61" i="6" s="1"/>
  <c r="P17" i="9"/>
  <c r="P22" i="9" s="1"/>
  <c r="P23" i="9" s="1"/>
  <c r="P27" i="9" s="1"/>
  <c r="P25" i="10" s="1"/>
  <c r="CS40" i="8"/>
  <c r="CS100" i="8" s="1"/>
  <c r="CS55" i="8"/>
  <c r="CS56" i="8"/>
  <c r="CS58" i="8" s="1"/>
  <c r="CS39" i="8"/>
  <c r="CS57" i="6"/>
  <c r="CS58" i="6"/>
  <c r="CS56" i="6"/>
  <c r="CS54" i="6"/>
  <c r="CS55" i="6"/>
  <c r="CO63" i="6"/>
  <c r="CO70" i="6"/>
  <c r="CO10" i="10"/>
  <c r="CO13" i="10" s="1"/>
  <c r="CO10" i="11" s="1"/>
  <c r="CO13" i="13"/>
  <c r="Q41" i="9"/>
  <c r="P14" i="14"/>
  <c r="CQ38" i="6"/>
  <c r="CQ41" i="7"/>
  <c r="CT14" i="6"/>
  <c r="CW32" i="2"/>
  <c r="CV34" i="2"/>
  <c r="CT27" i="6" s="1"/>
  <c r="CT28" i="6" s="1"/>
  <c r="CT30" i="6" s="1"/>
  <c r="CT7" i="10"/>
  <c r="CT7" i="1"/>
  <c r="CT7" i="9"/>
  <c r="CT7" i="8"/>
  <c r="CT7" i="6"/>
  <c r="CT7" i="15"/>
  <c r="CT7" i="5"/>
  <c r="CT7" i="13"/>
  <c r="CT7" i="7"/>
  <c r="CT7" i="12"/>
  <c r="CT7" i="14"/>
  <c r="CV7" i="4"/>
  <c r="CX29" i="2"/>
  <c r="CW19" i="2"/>
  <c r="CW7" i="2" s="1"/>
  <c r="CT13" i="12"/>
  <c r="CT18" i="12" s="1"/>
  <c r="CW40" i="2"/>
  <c r="CX40" i="2" s="1"/>
  <c r="CY40" i="2" s="1"/>
  <c r="CZ40" i="2" s="1"/>
  <c r="CT115" i="8"/>
  <c r="CT135" i="8" s="1"/>
  <c r="CT39" i="13"/>
  <c r="CT36" i="8"/>
  <c r="N36" i="8" s="1"/>
  <c r="CP25" i="7"/>
  <c r="CP39" i="6"/>
  <c r="N15" i="1"/>
  <c r="CU8" i="4"/>
  <c r="CS8" i="1"/>
  <c r="Y73" i="1"/>
  <c r="AS73" i="1"/>
  <c r="AN73" i="1"/>
  <c r="CC73" i="1"/>
  <c r="CF73" i="1"/>
  <c r="AZ73" i="1"/>
  <c r="BK73" i="1"/>
  <c r="BE46" i="1"/>
  <c r="AY46" i="1"/>
  <c r="T73" i="1"/>
  <c r="AH73" i="1"/>
  <c r="BR73" i="1"/>
  <c r="X46" i="1"/>
  <c r="AO46" i="1"/>
  <c r="CA73" i="1"/>
  <c r="BN46" i="1"/>
  <c r="CO46" i="1"/>
  <c r="AC73" i="1"/>
  <c r="Z46" i="1"/>
  <c r="AU73" i="1"/>
  <c r="AM73" i="1"/>
  <c r="AI46" i="1"/>
  <c r="BT73" i="1"/>
  <c r="BU73" i="1"/>
  <c r="AL73" i="1"/>
  <c r="AB73" i="1"/>
  <c r="BH73" i="1"/>
  <c r="CI46" i="1"/>
  <c r="CJ46" i="1"/>
  <c r="CT46" i="1"/>
  <c r="BE73" i="1"/>
  <c r="AY73" i="1"/>
  <c r="T46" i="1"/>
  <c r="AH46" i="1"/>
  <c r="BR46" i="1"/>
  <c r="X73" i="1"/>
  <c r="AO73" i="1"/>
  <c r="CA46" i="1"/>
  <c r="BN73" i="1"/>
  <c r="CO73" i="1"/>
  <c r="AC46" i="1"/>
  <c r="Z73" i="1"/>
  <c r="AU46" i="1"/>
  <c r="AM46" i="1"/>
  <c r="AI73" i="1"/>
  <c r="BT46" i="1"/>
  <c r="BU46" i="1"/>
  <c r="BB46" i="1"/>
  <c r="AG46" i="1"/>
  <c r="AE46" i="1"/>
  <c r="AW73" i="1"/>
  <c r="CB73" i="1"/>
  <c r="CE46" i="1"/>
  <c r="AJ46" i="1"/>
  <c r="CD73" i="1"/>
  <c r="AK73" i="1"/>
  <c r="CP73" i="1"/>
  <c r="BX46" i="1"/>
  <c r="AR46" i="1"/>
  <c r="AD73" i="1"/>
  <c r="AX73" i="1"/>
  <c r="CM46" i="1"/>
  <c r="AT73" i="1"/>
  <c r="CR73" i="1"/>
  <c r="BJ46" i="1"/>
  <c r="BG73" i="1"/>
  <c r="U73" i="1"/>
  <c r="BZ46" i="1"/>
  <c r="Q73" i="1"/>
  <c r="BB73" i="1"/>
  <c r="AG73" i="1"/>
  <c r="AE73" i="1"/>
  <c r="BH46" i="1"/>
  <c r="CB46" i="1"/>
  <c r="CE73" i="1"/>
  <c r="AJ73" i="1"/>
  <c r="CD46" i="1"/>
  <c r="AK46" i="1"/>
  <c r="CP46" i="1"/>
  <c r="BX73" i="1"/>
  <c r="AR73" i="1"/>
  <c r="AD46" i="1"/>
  <c r="AX46" i="1"/>
  <c r="CM73" i="1"/>
  <c r="AT46" i="1"/>
  <c r="CR46" i="1"/>
  <c r="CR38" i="1"/>
  <c r="BJ73" i="1"/>
  <c r="BG46" i="1"/>
  <c r="U46" i="1"/>
  <c r="BZ73" i="1"/>
  <c r="Q46" i="1"/>
  <c r="BA46" i="1"/>
  <c r="AV73" i="1"/>
  <c r="BI46" i="1"/>
  <c r="BL46" i="1"/>
  <c r="BC46" i="1"/>
  <c r="BY73" i="1"/>
  <c r="AP46" i="1"/>
  <c r="BQ46" i="1"/>
  <c r="CN73" i="1"/>
  <c r="AA73" i="1"/>
  <c r="V73" i="1"/>
  <c r="BP46" i="1"/>
  <c r="BF46" i="1"/>
  <c r="AF46" i="1"/>
  <c r="BV73" i="1"/>
  <c r="W46" i="1"/>
  <c r="R73" i="1"/>
  <c r="BO46" i="1"/>
  <c r="S46" i="1"/>
  <c r="CQ73" i="1"/>
  <c r="BM46" i="1"/>
  <c r="CG73" i="1"/>
  <c r="CH73" i="1"/>
  <c r="AQ73" i="1"/>
  <c r="BS73" i="1"/>
  <c r="N37" i="1"/>
  <c r="P46" i="1"/>
  <c r="BA73" i="1"/>
  <c r="AV46" i="1"/>
  <c r="BI73" i="1"/>
  <c r="BD73" i="1"/>
  <c r="AB46" i="1"/>
  <c r="CN46" i="1"/>
  <c r="AA46" i="1"/>
  <c r="V46" i="1"/>
  <c r="BP73" i="1"/>
  <c r="BF73" i="1"/>
  <c r="AF73" i="1"/>
  <c r="BV46" i="1"/>
  <c r="W73" i="1"/>
  <c r="R46" i="1"/>
  <c r="BO73" i="1"/>
  <c r="S73" i="1"/>
  <c r="CQ46" i="1"/>
  <c r="BM73" i="1"/>
  <c r="CG46" i="1"/>
  <c r="CH46" i="1"/>
  <c r="AQ46" i="1"/>
  <c r="BS46" i="1"/>
  <c r="BW46" i="1"/>
  <c r="CS38" i="1"/>
  <c r="CS46" i="1"/>
  <c r="CK73" i="1"/>
  <c r="CL46" i="1"/>
  <c r="AL46" i="1"/>
  <c r="CL73" i="1"/>
  <c r="Y46" i="1"/>
  <c r="CI73" i="1"/>
  <c r="CJ73" i="1"/>
  <c r="AS46" i="1"/>
  <c r="BL73" i="1"/>
  <c r="BC73" i="1"/>
  <c r="AN46" i="1"/>
  <c r="CC46" i="1"/>
  <c r="BY46" i="1"/>
  <c r="BK46" i="1"/>
  <c r="AP73" i="1"/>
  <c r="CF46" i="1"/>
  <c r="BD46" i="1"/>
  <c r="BQ73" i="1"/>
  <c r="AZ46" i="1"/>
  <c r="AW46" i="1"/>
  <c r="P71" i="1"/>
  <c r="N69" i="1"/>
  <c r="BW73" i="1"/>
  <c r="CS73" i="1"/>
  <c r="CK46" i="1"/>
  <c r="BD30" i="7"/>
  <c r="BD18" i="13"/>
  <c r="BG74" i="6"/>
  <c r="BG87" i="6" s="1"/>
  <c r="BH69" i="6"/>
  <c r="BE80" i="6"/>
  <c r="BE81" i="6" s="1"/>
  <c r="BE29" i="14" s="1"/>
  <c r="DB6" i="4"/>
  <c r="DC5" i="4"/>
  <c r="CY8" i="4"/>
  <c r="CY7" i="4"/>
  <c r="DA52" i="2"/>
  <c r="DA59" i="2"/>
  <c r="DA54" i="2"/>
  <c r="DA60" i="2"/>
  <c r="DA46" i="2"/>
  <c r="DA48" i="2"/>
  <c r="DA41" i="2"/>
  <c r="DA30" i="2"/>
  <c r="DA25" i="2"/>
  <c r="DA28" i="2"/>
  <c r="DA18" i="2"/>
  <c r="DA6" i="2" s="1"/>
  <c r="DA39" i="2"/>
  <c r="DA23" i="2"/>
  <c r="DB5" i="2"/>
  <c r="CZ24" i="2"/>
  <c r="CT38" i="1" l="1"/>
  <c r="CT40" i="1" s="1"/>
  <c r="CR79" i="6"/>
  <c r="CR63" i="6"/>
  <c r="P18" i="9"/>
  <c r="Q15" i="9" s="1"/>
  <c r="CT56" i="6"/>
  <c r="N56" i="6" s="1"/>
  <c r="N30" i="6"/>
  <c r="CT55" i="6"/>
  <c r="N55" i="6" s="1"/>
  <c r="CT57" i="6"/>
  <c r="N57" i="6" s="1"/>
  <c r="CT54" i="6"/>
  <c r="CT58" i="6"/>
  <c r="N58" i="6" s="1"/>
  <c r="CO14" i="10"/>
  <c r="CQ26" i="7"/>
  <c r="N26" i="7" s="1"/>
  <c r="CQ11" i="10"/>
  <c r="N11" i="10" s="1"/>
  <c r="CQ14" i="13"/>
  <c r="N14" i="13" s="1"/>
  <c r="CQ79" i="6"/>
  <c r="N79" i="6" s="1"/>
  <c r="CX32" i="2"/>
  <c r="CW34" i="2"/>
  <c r="CW56" i="2"/>
  <c r="CW57" i="2"/>
  <c r="CW8" i="2" s="1"/>
  <c r="CX53" i="2"/>
  <c r="CS99" i="8"/>
  <c r="CS134" i="8" s="1"/>
  <c r="CS136" i="8" s="1"/>
  <c r="CS41" i="8"/>
  <c r="CS101" i="8" s="1"/>
  <c r="CV8" i="4"/>
  <c r="CT8" i="1"/>
  <c r="CR43" i="8"/>
  <c r="CQ44" i="8"/>
  <c r="CQ48" i="8" s="1"/>
  <c r="CP70" i="6"/>
  <c r="CP13" i="13"/>
  <c r="CP10" i="10"/>
  <c r="CP13" i="10" s="1"/>
  <c r="CP63" i="6"/>
  <c r="CX19" i="2"/>
  <c r="CX7" i="2" s="1"/>
  <c r="CY29" i="2"/>
  <c r="DA47" i="2"/>
  <c r="DA40" i="2"/>
  <c r="CT40" i="8"/>
  <c r="CT100" i="8" s="1"/>
  <c r="CT55" i="8"/>
  <c r="CT56" i="8"/>
  <c r="CT58" i="8" s="1"/>
  <c r="N58" i="8" s="1"/>
  <c r="CT39" i="8"/>
  <c r="N41" i="7"/>
  <c r="CQ25" i="7"/>
  <c r="N25" i="7" s="1"/>
  <c r="CQ39" i="6"/>
  <c r="N39" i="6" s="1"/>
  <c r="CS59" i="6"/>
  <c r="CS61" i="6" s="1"/>
  <c r="Q46" i="9"/>
  <c r="Q16" i="10" s="1"/>
  <c r="Q18" i="10" s="1"/>
  <c r="CW43" i="2"/>
  <c r="CX43" i="2" s="1"/>
  <c r="CY43" i="2" s="1"/>
  <c r="CZ43" i="2" s="1"/>
  <c r="P27" i="7"/>
  <c r="P31" i="7" s="1"/>
  <c r="P17" i="13"/>
  <c r="P19" i="13" s="1"/>
  <c r="P64" i="13" s="1"/>
  <c r="P12" i="11"/>
  <c r="P15" i="11" s="1"/>
  <c r="P21" i="11" s="1"/>
  <c r="P27" i="10"/>
  <c r="CS40" i="1"/>
  <c r="CS79" i="1" s="1"/>
  <c r="CS81" i="1" s="1"/>
  <c r="CS83" i="1" s="1"/>
  <c r="CR40" i="1"/>
  <c r="CR79" i="1" s="1"/>
  <c r="CR81" i="1" s="1"/>
  <c r="CR83" i="1" s="1"/>
  <c r="N46" i="1"/>
  <c r="N71" i="1"/>
  <c r="P73" i="1"/>
  <c r="J73" i="1" s="1"/>
  <c r="BE83" i="6"/>
  <c r="BE88" i="6" s="1"/>
  <c r="BE89" i="6" s="1"/>
  <c r="BE13" i="11" s="1"/>
  <c r="BF78" i="6"/>
  <c r="BH71" i="6"/>
  <c r="BH72" i="6" s="1"/>
  <c r="BH18" i="14" s="1"/>
  <c r="CZ7" i="4"/>
  <c r="CZ8" i="4"/>
  <c r="DC6" i="4"/>
  <c r="DD5" i="4"/>
  <c r="DA24" i="2"/>
  <c r="DB59" i="2"/>
  <c r="DB60" i="2"/>
  <c r="DB46" i="2"/>
  <c r="DB47" i="2" s="1"/>
  <c r="DB52" i="2"/>
  <c r="DB48" i="2"/>
  <c r="DB41" i="2"/>
  <c r="DB30" i="2"/>
  <c r="DB54" i="2"/>
  <c r="DB39" i="2"/>
  <c r="DB28" i="2"/>
  <c r="DB18" i="2"/>
  <c r="DB6" i="2" s="1"/>
  <c r="DB25" i="2"/>
  <c r="DB23" i="2"/>
  <c r="DC5" i="2"/>
  <c r="CP14" i="10" l="1"/>
  <c r="CP10" i="11"/>
  <c r="CT23" i="1"/>
  <c r="CT25" i="1" s="1"/>
  <c r="CT31" i="1" s="1"/>
  <c r="CT79" i="1"/>
  <c r="CT81" i="1" s="1"/>
  <c r="CT83" i="1" s="1"/>
  <c r="DA43" i="2"/>
  <c r="DB40" i="2"/>
  <c r="CQ13" i="13"/>
  <c r="N13" i="13" s="1"/>
  <c r="CQ70" i="6"/>
  <c r="N70" i="6" s="1"/>
  <c r="CQ10" i="10"/>
  <c r="CQ63" i="6"/>
  <c r="CR44" i="8"/>
  <c r="CR48" i="8" s="1"/>
  <c r="CS43" i="8"/>
  <c r="CY19" i="2"/>
  <c r="CY7" i="2" s="1"/>
  <c r="CZ29" i="2"/>
  <c r="CY32" i="2"/>
  <c r="CX34" i="2"/>
  <c r="N54" i="6"/>
  <c r="CT59" i="6"/>
  <c r="Q47" i="9"/>
  <c r="CT99" i="8"/>
  <c r="CT134" i="8" s="1"/>
  <c r="CT136" i="8" s="1"/>
  <c r="CT41" i="8"/>
  <c r="CT101" i="8" s="1"/>
  <c r="CS63" i="6"/>
  <c r="CS79" i="6"/>
  <c r="CX56" i="2"/>
  <c r="CX57" i="2"/>
  <c r="CX8" i="2" s="1"/>
  <c r="CY53" i="2"/>
  <c r="P26" i="12"/>
  <c r="P27" i="12" s="1"/>
  <c r="P28" i="10"/>
  <c r="P34" i="7"/>
  <c r="CS23" i="1"/>
  <c r="CS25" i="1" s="1"/>
  <c r="CS31" i="1" s="1"/>
  <c r="CR23" i="1"/>
  <c r="CR25" i="1" s="1"/>
  <c r="BE30" i="7"/>
  <c r="BE18" i="13"/>
  <c r="BH74" i="6"/>
  <c r="BH87" i="6" s="1"/>
  <c r="BI69" i="6"/>
  <c r="BF80" i="6"/>
  <c r="BF81" i="6" s="1"/>
  <c r="BF29" i="14" s="1"/>
  <c r="DE5" i="4"/>
  <c r="DD6" i="4"/>
  <c r="DA7" i="4"/>
  <c r="DA8" i="4"/>
  <c r="DB24" i="2"/>
  <c r="DC59" i="2"/>
  <c r="DC54" i="2"/>
  <c r="DC60" i="2"/>
  <c r="DC52" i="2"/>
  <c r="DC48" i="2"/>
  <c r="DC41" i="2"/>
  <c r="DC30" i="2"/>
  <c r="DC39" i="2"/>
  <c r="DC46" i="2"/>
  <c r="DC47" i="2" s="1"/>
  <c r="DC23" i="2"/>
  <c r="DC28" i="2"/>
  <c r="DC18" i="2"/>
  <c r="DC6" i="2" s="1"/>
  <c r="DD5" i="2"/>
  <c r="DC25" i="2"/>
  <c r="DC40" i="2" l="1"/>
  <c r="CT28" i="1"/>
  <c r="DB43" i="2"/>
  <c r="DA29" i="2"/>
  <c r="CZ19" i="2"/>
  <c r="CZ7" i="2" s="1"/>
  <c r="CZ53" i="2"/>
  <c r="CY57" i="2"/>
  <c r="CY8" i="2" s="1"/>
  <c r="CY56" i="2"/>
  <c r="Q14" i="14"/>
  <c r="R41" i="9"/>
  <c r="CS44" i="8"/>
  <c r="CT43" i="8"/>
  <c r="CT44" i="8" s="1"/>
  <c r="CT48" i="8" s="1"/>
  <c r="N59" i="6"/>
  <c r="CT61" i="6"/>
  <c r="N10" i="10"/>
  <c r="CQ13" i="10"/>
  <c r="CQ10" i="11" s="1"/>
  <c r="CZ32" i="2"/>
  <c r="CY34" i="2"/>
  <c r="P45" i="12"/>
  <c r="CS28" i="1"/>
  <c r="CS29" i="1" s="1"/>
  <c r="CR28" i="1"/>
  <c r="CR31" i="1"/>
  <c r="CT29" i="1"/>
  <c r="CT44" i="1"/>
  <c r="CT47" i="1" s="1"/>
  <c r="BF83" i="6"/>
  <c r="BF88" i="6" s="1"/>
  <c r="BF89" i="6" s="1"/>
  <c r="BF13" i="11" s="1"/>
  <c r="BG78" i="6"/>
  <c r="BI71" i="6"/>
  <c r="BI72" i="6" s="1"/>
  <c r="BI18" i="14" s="1"/>
  <c r="DB8" i="4"/>
  <c r="DB7" i="4"/>
  <c r="DE6" i="4"/>
  <c r="DF5" i="4"/>
  <c r="DD59" i="2"/>
  <c r="DD54" i="2"/>
  <c r="DD60" i="2"/>
  <c r="DD52" i="2"/>
  <c r="DD48" i="2"/>
  <c r="DD46" i="2"/>
  <c r="DD47" i="2" s="1"/>
  <c r="DD39" i="2"/>
  <c r="DD40" i="2" s="1"/>
  <c r="DD41" i="2"/>
  <c r="DD23" i="2"/>
  <c r="DD25" i="2"/>
  <c r="DD30" i="2"/>
  <c r="DD18" i="2"/>
  <c r="DD6" i="2" s="1"/>
  <c r="DD28" i="2"/>
  <c r="DE5" i="2"/>
  <c r="DC24" i="2"/>
  <c r="DC43" i="2"/>
  <c r="CS44" i="1" l="1"/>
  <c r="CS47" i="1" s="1"/>
  <c r="CS49" i="1" s="1"/>
  <c r="CS48" i="8"/>
  <c r="N48" i="8" s="1"/>
  <c r="J60" i="8"/>
  <c r="J63" i="8" s="1"/>
  <c r="J64" i="8" s="1"/>
  <c r="DA32" i="2"/>
  <c r="CZ34" i="2"/>
  <c r="R46" i="9"/>
  <c r="R16" i="10" s="1"/>
  <c r="R18" i="10" s="1"/>
  <c r="N13" i="10"/>
  <c r="N10" i="11"/>
  <c r="CQ14" i="10"/>
  <c r="CT63" i="6"/>
  <c r="N63" i="6" s="1"/>
  <c r="CT79" i="6"/>
  <c r="N61" i="6"/>
  <c r="CZ57" i="2"/>
  <c r="CZ8" i="2" s="1"/>
  <c r="CZ56" i="2"/>
  <c r="DA53" i="2"/>
  <c r="DA19" i="2"/>
  <c r="DA7" i="2" s="1"/>
  <c r="DB29" i="2"/>
  <c r="CR44" i="1"/>
  <c r="CR47" i="1" s="1"/>
  <c r="CR29" i="1"/>
  <c r="CT49" i="1"/>
  <c r="BF30" i="7"/>
  <c r="BF18" i="13"/>
  <c r="BI74" i="6"/>
  <c r="BI87" i="6" s="1"/>
  <c r="BJ69" i="6"/>
  <c r="BG80" i="6"/>
  <c r="BG81" i="6" s="1"/>
  <c r="BG29" i="14" s="1"/>
  <c r="DC7" i="4"/>
  <c r="DC8" i="4"/>
  <c r="DF6" i="4"/>
  <c r="DD24" i="2"/>
  <c r="DE60" i="2"/>
  <c r="DE59" i="2"/>
  <c r="DE48" i="2"/>
  <c r="DE54" i="2"/>
  <c r="DE39" i="2"/>
  <c r="DE40" i="2" s="1"/>
  <c r="DE52" i="2"/>
  <c r="DE46" i="2"/>
  <c r="DE47" i="2" s="1"/>
  <c r="DE41" i="2"/>
  <c r="DE23" i="2"/>
  <c r="DE25" i="2"/>
  <c r="DE30" i="2"/>
  <c r="DE18" i="2"/>
  <c r="DE6" i="2" s="1"/>
  <c r="DE28" i="2"/>
  <c r="DF5" i="2"/>
  <c r="DD43" i="2"/>
  <c r="CR49" i="1" l="1"/>
  <c r="DB53" i="2"/>
  <c r="DA56" i="2"/>
  <c r="DA57" i="2"/>
  <c r="DA8" i="2" s="1"/>
  <c r="R47" i="9"/>
  <c r="DA34" i="2"/>
  <c r="DB32" i="2"/>
  <c r="DC29" i="2"/>
  <c r="DB19" i="2"/>
  <c r="DB7" i="2" s="1"/>
  <c r="AM66" i="8"/>
  <c r="CN66" i="8"/>
  <c r="BO66" i="8"/>
  <c r="Y66" i="8"/>
  <c r="Q66" i="8"/>
  <c r="CO66" i="8"/>
  <c r="AJ66" i="8"/>
  <c r="AT66" i="8"/>
  <c r="P66" i="8"/>
  <c r="CP66" i="8"/>
  <c r="CA66" i="8"/>
  <c r="AL66" i="8"/>
  <c r="BF66" i="8"/>
  <c r="CL66" i="8"/>
  <c r="CC66" i="8"/>
  <c r="AD66" i="8"/>
  <c r="AA66" i="8"/>
  <c r="BL66" i="8"/>
  <c r="AQ66" i="8"/>
  <c r="CT66" i="8"/>
  <c r="CM66" i="8"/>
  <c r="AK66" i="8"/>
  <c r="AE66" i="8"/>
  <c r="BU66" i="8"/>
  <c r="AI66" i="8"/>
  <c r="AV66" i="8"/>
  <c r="Z66" i="8"/>
  <c r="X66" i="8"/>
  <c r="AN66" i="8"/>
  <c r="CI66" i="8"/>
  <c r="AO66" i="8"/>
  <c r="CQ66" i="8"/>
  <c r="BG66" i="8"/>
  <c r="S66" i="8"/>
  <c r="V66" i="8"/>
  <c r="BA66" i="8"/>
  <c r="AF66" i="8"/>
  <c r="CR66" i="8"/>
  <c r="CG66" i="8"/>
  <c r="AH66" i="8"/>
  <c r="AP66" i="8"/>
  <c r="AW66" i="8"/>
  <c r="BI66" i="8"/>
  <c r="BH66" i="8"/>
  <c r="BX66" i="8"/>
  <c r="AS66" i="8"/>
  <c r="BM66" i="8"/>
  <c r="U66" i="8"/>
  <c r="BC66" i="8"/>
  <c r="AC66" i="8"/>
  <c r="AY66" i="8"/>
  <c r="BK66" i="8"/>
  <c r="BP66" i="8"/>
  <c r="BT66" i="8"/>
  <c r="AZ66" i="8"/>
  <c r="BD66" i="8"/>
  <c r="BN66" i="8"/>
  <c r="BZ66" i="8"/>
  <c r="CF66" i="8"/>
  <c r="CK66" i="8"/>
  <c r="BW66" i="8"/>
  <c r="W66" i="8"/>
  <c r="CJ66" i="8"/>
  <c r="BS66" i="8"/>
  <c r="CH66" i="8"/>
  <c r="CD66" i="8"/>
  <c r="BR66" i="8"/>
  <c r="R66" i="8"/>
  <c r="AB66" i="8"/>
  <c r="BB66" i="8"/>
  <c r="BY66" i="8"/>
  <c r="AX66" i="8"/>
  <c r="CB66" i="8"/>
  <c r="AR66" i="8"/>
  <c r="BV66" i="8"/>
  <c r="CS66" i="8"/>
  <c r="CE66" i="8"/>
  <c r="AG66" i="8"/>
  <c r="AU66" i="8"/>
  <c r="BQ66" i="8"/>
  <c r="BJ66" i="8"/>
  <c r="BE66" i="8"/>
  <c r="T66" i="8"/>
  <c r="BH78" i="6"/>
  <c r="BG83" i="6"/>
  <c r="BG88" i="6" s="1"/>
  <c r="BG89" i="6" s="1"/>
  <c r="BG13" i="11" s="1"/>
  <c r="BJ71" i="6"/>
  <c r="BJ72" i="6" s="1"/>
  <c r="BJ18" i="14" s="1"/>
  <c r="DD7" i="4"/>
  <c r="DD8" i="4"/>
  <c r="DF60" i="2"/>
  <c r="P60" i="2" s="1"/>
  <c r="DF59" i="2"/>
  <c r="P59" i="2" s="1"/>
  <c r="DF54" i="2"/>
  <c r="P54" i="2" s="1"/>
  <c r="DF48" i="2"/>
  <c r="P48" i="2" s="1"/>
  <c r="DF46" i="2"/>
  <c r="P46" i="2" s="1"/>
  <c r="DF52" i="2"/>
  <c r="P52" i="2" s="1"/>
  <c r="DF39" i="2"/>
  <c r="P39" i="2" s="1"/>
  <c r="DF41" i="2"/>
  <c r="P41" i="2" s="1"/>
  <c r="DF23" i="2"/>
  <c r="P23" i="2" s="1"/>
  <c r="DF30" i="2"/>
  <c r="P30" i="2" s="1"/>
  <c r="DF25" i="2"/>
  <c r="P25" i="2" s="1"/>
  <c r="DF28" i="2"/>
  <c r="P28" i="2" s="1"/>
  <c r="DF18" i="2"/>
  <c r="DF6" i="2" s="1"/>
  <c r="DE24" i="2"/>
  <c r="DE43" i="2"/>
  <c r="AU73" i="8" l="1"/>
  <c r="AU68" i="8"/>
  <c r="BY68" i="8"/>
  <c r="BY73" i="8"/>
  <c r="CJ68" i="8"/>
  <c r="CJ73" i="8"/>
  <c r="AZ68" i="8"/>
  <c r="AZ73" i="8"/>
  <c r="BM73" i="8"/>
  <c r="BM68" i="8"/>
  <c r="CG73" i="8"/>
  <c r="CG68" i="8"/>
  <c r="AO68" i="8"/>
  <c r="AO73" i="8"/>
  <c r="AE73" i="8"/>
  <c r="AE68" i="8"/>
  <c r="CC68" i="8"/>
  <c r="CC73" i="8"/>
  <c r="AJ73" i="8"/>
  <c r="AJ68" i="8"/>
  <c r="DD29" i="2"/>
  <c r="DC19" i="2"/>
  <c r="DC7" i="2" s="1"/>
  <c r="AG73" i="8"/>
  <c r="AG68" i="8"/>
  <c r="BB73" i="8"/>
  <c r="BB68" i="8"/>
  <c r="W68" i="8"/>
  <c r="W73" i="8"/>
  <c r="BT68" i="8"/>
  <c r="BT73" i="8"/>
  <c r="AS68" i="8"/>
  <c r="AS73" i="8"/>
  <c r="CR73" i="8"/>
  <c r="CR68" i="8"/>
  <c r="CI73" i="8"/>
  <c r="CI68" i="8"/>
  <c r="AK68" i="8"/>
  <c r="AK73" i="8"/>
  <c r="CL73" i="8"/>
  <c r="CL68" i="8"/>
  <c r="CO68" i="8"/>
  <c r="CO73" i="8"/>
  <c r="DB34" i="2"/>
  <c r="DC32" i="2"/>
  <c r="AH73" i="8"/>
  <c r="AH68" i="8"/>
  <c r="CE73" i="8"/>
  <c r="CE68" i="8"/>
  <c r="AB73" i="8"/>
  <c r="AB68" i="8"/>
  <c r="BW73" i="8"/>
  <c r="BW68" i="8"/>
  <c r="BP73" i="8"/>
  <c r="BP68" i="8"/>
  <c r="BX68" i="8"/>
  <c r="BX73" i="8"/>
  <c r="AF68" i="8"/>
  <c r="AF73" i="8"/>
  <c r="AN68" i="8"/>
  <c r="AN73" i="8"/>
  <c r="CM68" i="8"/>
  <c r="CM73" i="8"/>
  <c r="BF73" i="8"/>
  <c r="BF68" i="8"/>
  <c r="Q68" i="8"/>
  <c r="Q73" i="8"/>
  <c r="CQ68" i="8"/>
  <c r="CQ73" i="8"/>
  <c r="CS73" i="8"/>
  <c r="CS68" i="8"/>
  <c r="R68" i="8"/>
  <c r="R73" i="8"/>
  <c r="CK73" i="8"/>
  <c r="CK68" i="8"/>
  <c r="BK68" i="8"/>
  <c r="BK73" i="8"/>
  <c r="BH73" i="8"/>
  <c r="BH68" i="8"/>
  <c r="BA73" i="8"/>
  <c r="BA68" i="8"/>
  <c r="X73" i="8"/>
  <c r="X68" i="8"/>
  <c r="CT73" i="8"/>
  <c r="CT68" i="8"/>
  <c r="AL68" i="8"/>
  <c r="AL73" i="8"/>
  <c r="Y73" i="8"/>
  <c r="Y68" i="8"/>
  <c r="R14" i="14"/>
  <c r="S41" i="9"/>
  <c r="AX73" i="8"/>
  <c r="AX68" i="8"/>
  <c r="BS73" i="8"/>
  <c r="BS68" i="8"/>
  <c r="AD73" i="8"/>
  <c r="AD68" i="8"/>
  <c r="T73" i="8"/>
  <c r="T68" i="8"/>
  <c r="BV73" i="8"/>
  <c r="BV68" i="8"/>
  <c r="BR68" i="8"/>
  <c r="BR73" i="8"/>
  <c r="CF73" i="8"/>
  <c r="CF68" i="8"/>
  <c r="AY68" i="8"/>
  <c r="AY73" i="8"/>
  <c r="BI73" i="8"/>
  <c r="BI68" i="8"/>
  <c r="V73" i="8"/>
  <c r="V68" i="8"/>
  <c r="Z73" i="8"/>
  <c r="Z68" i="8"/>
  <c r="AQ73" i="8"/>
  <c r="AQ68" i="8"/>
  <c r="CA73" i="8"/>
  <c r="CA68" i="8"/>
  <c r="BO68" i="8"/>
  <c r="BO73" i="8"/>
  <c r="BD68" i="8"/>
  <c r="BD73" i="8"/>
  <c r="BE68" i="8"/>
  <c r="BE73" i="8"/>
  <c r="AR68" i="8"/>
  <c r="AR73" i="8"/>
  <c r="CD68" i="8"/>
  <c r="CD73" i="8"/>
  <c r="BZ73" i="8"/>
  <c r="BZ68" i="8"/>
  <c r="AC73" i="8"/>
  <c r="AC68" i="8"/>
  <c r="AW68" i="8"/>
  <c r="AW73" i="8"/>
  <c r="S73" i="8"/>
  <c r="S68" i="8"/>
  <c r="AV68" i="8"/>
  <c r="AV73" i="8"/>
  <c r="BL73" i="8"/>
  <c r="BL68" i="8"/>
  <c r="CP73" i="8"/>
  <c r="CP68" i="8"/>
  <c r="CN73" i="8"/>
  <c r="CN68" i="8"/>
  <c r="BU68" i="8"/>
  <c r="BU73" i="8"/>
  <c r="BJ68" i="8"/>
  <c r="BJ73" i="8"/>
  <c r="CB73" i="8"/>
  <c r="CB68" i="8"/>
  <c r="CH73" i="8"/>
  <c r="CH68" i="8"/>
  <c r="BN68" i="8"/>
  <c r="BN73" i="8"/>
  <c r="BC68" i="8"/>
  <c r="BC73" i="8"/>
  <c r="AP68" i="8"/>
  <c r="AP73" i="8"/>
  <c r="BG73" i="8"/>
  <c r="BG68" i="8"/>
  <c r="AI73" i="8"/>
  <c r="AI68" i="8"/>
  <c r="AA68" i="8"/>
  <c r="AA73" i="8"/>
  <c r="P73" i="8"/>
  <c r="P68" i="8"/>
  <c r="N66" i="8"/>
  <c r="P76" i="8"/>
  <c r="AM68" i="8"/>
  <c r="AM73" i="8"/>
  <c r="BQ73" i="8"/>
  <c r="BQ68" i="8"/>
  <c r="U73" i="8"/>
  <c r="U68" i="8"/>
  <c r="AT68" i="8"/>
  <c r="AT73" i="8"/>
  <c r="DB57" i="2"/>
  <c r="DB8" i="2" s="1"/>
  <c r="DC53" i="2"/>
  <c r="DB56" i="2"/>
  <c r="BG30" i="7"/>
  <c r="BG18" i="13"/>
  <c r="BJ74" i="6"/>
  <c r="BJ87" i="6" s="1"/>
  <c r="BK69" i="6"/>
  <c r="BH80" i="6"/>
  <c r="BH81" i="6" s="1"/>
  <c r="BH29" i="14" s="1"/>
  <c r="DE8" i="4"/>
  <c r="DE7" i="4"/>
  <c r="DF47" i="2"/>
  <c r="P47" i="2" s="1"/>
  <c r="DF40" i="2"/>
  <c r="P40" i="2" s="1"/>
  <c r="DF24" i="2"/>
  <c r="P77" i="8" l="1"/>
  <c r="Q75" i="8" s="1"/>
  <c r="P87" i="8"/>
  <c r="P59" i="18" s="1"/>
  <c r="DD53" i="2"/>
  <c r="DC56" i="2"/>
  <c r="DC57" i="2"/>
  <c r="DC8" i="2" s="1"/>
  <c r="DE29" i="2"/>
  <c r="DD19" i="2"/>
  <c r="DD7" i="2" s="1"/>
  <c r="DC34" i="2"/>
  <c r="DD32" i="2"/>
  <c r="J68" i="8"/>
  <c r="J6" i="8" s="1"/>
  <c r="I38" i="17" s="1"/>
  <c r="N73" i="8"/>
  <c r="J75" i="8" s="1"/>
  <c r="S46" i="9"/>
  <c r="S16" i="10" s="1"/>
  <c r="S18" i="10" s="1"/>
  <c r="BH83" i="6"/>
  <c r="BH88" i="6" s="1"/>
  <c r="BH89" i="6" s="1"/>
  <c r="BH13" i="11" s="1"/>
  <c r="BI78" i="6"/>
  <c r="BK71" i="6"/>
  <c r="BK72" i="6" s="1"/>
  <c r="BK18" i="14" s="1"/>
  <c r="DF8" i="4"/>
  <c r="DF7" i="4"/>
  <c r="P24" i="2"/>
  <c r="DF43" i="2"/>
  <c r="J5" i="8" l="1"/>
  <c r="I37" i="17" s="1"/>
  <c r="I39" i="17"/>
  <c r="S47" i="9"/>
  <c r="T41" i="9" s="1"/>
  <c r="DF29" i="2"/>
  <c r="DE19" i="2"/>
  <c r="DE7" i="2" s="1"/>
  <c r="J23" i="8"/>
  <c r="J22" i="8" s="1"/>
  <c r="J55" i="13"/>
  <c r="J7" i="8"/>
  <c r="DD57" i="2"/>
  <c r="DD8" i="2" s="1"/>
  <c r="DD56" i="2"/>
  <c r="DE53" i="2"/>
  <c r="P107" i="8"/>
  <c r="E14" i="16"/>
  <c r="DD34" i="2"/>
  <c r="DE32" i="2"/>
  <c r="Q79" i="8"/>
  <c r="Q76" i="8" s="1"/>
  <c r="Q77" i="8" s="1"/>
  <c r="R75" i="8" s="1"/>
  <c r="R79" i="8" s="1"/>
  <c r="R76" i="8" s="1"/>
  <c r="BH30" i="7"/>
  <c r="BH18" i="13"/>
  <c r="BK74" i="6"/>
  <c r="BK87" i="6" s="1"/>
  <c r="BL69" i="6"/>
  <c r="BI80" i="6"/>
  <c r="BI81" i="6" s="1"/>
  <c r="BI29" i="14" s="1"/>
  <c r="S14" i="14" l="1"/>
  <c r="J24" i="8"/>
  <c r="P22" i="8"/>
  <c r="T46" i="9"/>
  <c r="T16" i="10" s="1"/>
  <c r="T18" i="10" s="1"/>
  <c r="P109" i="8"/>
  <c r="P29" i="11"/>
  <c r="DE34" i="2"/>
  <c r="DF32" i="2"/>
  <c r="DF34" i="2" s="1"/>
  <c r="P34" i="2" s="1"/>
  <c r="DE56" i="2"/>
  <c r="DF53" i="2"/>
  <c r="P53" i="2" s="1"/>
  <c r="DE57" i="2"/>
  <c r="DE8" i="2" s="1"/>
  <c r="P29" i="2"/>
  <c r="DF19" i="2"/>
  <c r="DF7" i="2" s="1"/>
  <c r="R77" i="8"/>
  <c r="S75" i="8" s="1"/>
  <c r="S79" i="8" s="1"/>
  <c r="S76" i="8" s="1"/>
  <c r="S77" i="8" s="1"/>
  <c r="T75" i="8" s="1"/>
  <c r="T79" i="8" s="1"/>
  <c r="T76" i="8" s="1"/>
  <c r="T77" i="8" s="1"/>
  <c r="U75" i="8" s="1"/>
  <c r="U79" i="8" s="1"/>
  <c r="U76" i="8" s="1"/>
  <c r="U77" i="8" s="1"/>
  <c r="V75" i="8" s="1"/>
  <c r="V79" i="8" s="1"/>
  <c r="V76" i="8" s="1"/>
  <c r="V77" i="8" s="1"/>
  <c r="W75" i="8" s="1"/>
  <c r="W79" i="8" s="1"/>
  <c r="W76" i="8" s="1"/>
  <c r="W77" i="8" s="1"/>
  <c r="X75" i="8" s="1"/>
  <c r="X79" i="8" s="1"/>
  <c r="X76" i="8" s="1"/>
  <c r="X77" i="8" s="1"/>
  <c r="Y75" i="8" s="1"/>
  <c r="Y79" i="8" s="1"/>
  <c r="Y76" i="8" s="1"/>
  <c r="Y77" i="8" s="1"/>
  <c r="Z75" i="8" s="1"/>
  <c r="Z79" i="8" s="1"/>
  <c r="Z76" i="8" s="1"/>
  <c r="Z77" i="8" s="1"/>
  <c r="AA75" i="8" s="1"/>
  <c r="AA79" i="8" s="1"/>
  <c r="AA76" i="8" s="1"/>
  <c r="AA77" i="8" s="1"/>
  <c r="AB75" i="8" s="1"/>
  <c r="AB79" i="8" s="1"/>
  <c r="AB76" i="8" s="1"/>
  <c r="AB77" i="8" s="1"/>
  <c r="AC75" i="8" s="1"/>
  <c r="AC79" i="8" s="1"/>
  <c r="AC76" i="8" s="1"/>
  <c r="AC77" i="8" s="1"/>
  <c r="AD75" i="8" s="1"/>
  <c r="AD79" i="8" s="1"/>
  <c r="AD76" i="8" s="1"/>
  <c r="AD77" i="8" s="1"/>
  <c r="AE75" i="8" s="1"/>
  <c r="AE79" i="8" s="1"/>
  <c r="AE76" i="8" s="1"/>
  <c r="AE77" i="8" s="1"/>
  <c r="AF75" i="8" s="1"/>
  <c r="AF79" i="8" s="1"/>
  <c r="AF76" i="8" s="1"/>
  <c r="AF77" i="8" s="1"/>
  <c r="AG75" i="8" s="1"/>
  <c r="AG79" i="8" s="1"/>
  <c r="AG76" i="8" s="1"/>
  <c r="AG77" i="8" s="1"/>
  <c r="AH75" i="8" s="1"/>
  <c r="AH79" i="8" s="1"/>
  <c r="AH76" i="8" s="1"/>
  <c r="AH77" i="8" s="1"/>
  <c r="AI75" i="8" s="1"/>
  <c r="AI79" i="8" s="1"/>
  <c r="AI76" i="8" s="1"/>
  <c r="AI77" i="8" s="1"/>
  <c r="AJ75" i="8" s="1"/>
  <c r="AJ79" i="8" s="1"/>
  <c r="AJ76" i="8" s="1"/>
  <c r="AJ77" i="8" s="1"/>
  <c r="AK75" i="8" s="1"/>
  <c r="AK79" i="8" s="1"/>
  <c r="AK76" i="8" s="1"/>
  <c r="AK77" i="8" s="1"/>
  <c r="AL75" i="8" s="1"/>
  <c r="AL79" i="8" s="1"/>
  <c r="AL76" i="8" s="1"/>
  <c r="AL77" i="8" s="1"/>
  <c r="AM75" i="8" s="1"/>
  <c r="AM79" i="8" s="1"/>
  <c r="AM76" i="8" s="1"/>
  <c r="AM77" i="8" s="1"/>
  <c r="AN75" i="8" s="1"/>
  <c r="AN79" i="8" s="1"/>
  <c r="AN76" i="8" s="1"/>
  <c r="AN77" i="8" s="1"/>
  <c r="AO75" i="8" s="1"/>
  <c r="AO79" i="8" s="1"/>
  <c r="AO76" i="8" s="1"/>
  <c r="AO77" i="8" s="1"/>
  <c r="AP75" i="8" s="1"/>
  <c r="AP79" i="8" s="1"/>
  <c r="AP76" i="8" s="1"/>
  <c r="AP77" i="8" s="1"/>
  <c r="AQ75" i="8" s="1"/>
  <c r="AQ79" i="8" s="1"/>
  <c r="AQ76" i="8" s="1"/>
  <c r="AQ77" i="8" s="1"/>
  <c r="AR75" i="8" s="1"/>
  <c r="AR79" i="8" s="1"/>
  <c r="AR76" i="8" s="1"/>
  <c r="AR77" i="8" s="1"/>
  <c r="AS75" i="8" s="1"/>
  <c r="AS79" i="8" s="1"/>
  <c r="AS76" i="8" s="1"/>
  <c r="AS77" i="8" s="1"/>
  <c r="AT75" i="8" s="1"/>
  <c r="AT79" i="8" s="1"/>
  <c r="AT76" i="8" s="1"/>
  <c r="AT77" i="8" s="1"/>
  <c r="AU75" i="8" s="1"/>
  <c r="AU79" i="8" s="1"/>
  <c r="AU76" i="8" s="1"/>
  <c r="AU77" i="8" s="1"/>
  <c r="AV75" i="8" s="1"/>
  <c r="AV79" i="8" s="1"/>
  <c r="AV76" i="8" s="1"/>
  <c r="AV77" i="8" s="1"/>
  <c r="AW75" i="8" s="1"/>
  <c r="AW79" i="8" s="1"/>
  <c r="AW76" i="8" s="1"/>
  <c r="AW77" i="8" s="1"/>
  <c r="AX75" i="8" s="1"/>
  <c r="AX79" i="8" s="1"/>
  <c r="AX76" i="8" s="1"/>
  <c r="AX77" i="8" s="1"/>
  <c r="AY75" i="8" s="1"/>
  <c r="AY79" i="8" s="1"/>
  <c r="AY76" i="8" s="1"/>
  <c r="AY77" i="8" s="1"/>
  <c r="AZ75" i="8" s="1"/>
  <c r="AZ79" i="8" s="1"/>
  <c r="AZ76" i="8" s="1"/>
  <c r="AZ77" i="8" s="1"/>
  <c r="BA75" i="8" s="1"/>
  <c r="BA79" i="8" s="1"/>
  <c r="BA76" i="8" s="1"/>
  <c r="BA77" i="8" s="1"/>
  <c r="BB75" i="8" s="1"/>
  <c r="BB79" i="8" s="1"/>
  <c r="BB76" i="8" s="1"/>
  <c r="BB77" i="8" s="1"/>
  <c r="BC75" i="8" s="1"/>
  <c r="BC79" i="8" s="1"/>
  <c r="BC76" i="8" s="1"/>
  <c r="BC77" i="8" s="1"/>
  <c r="BD75" i="8" s="1"/>
  <c r="BD79" i="8" s="1"/>
  <c r="BD76" i="8" s="1"/>
  <c r="BD77" i="8" s="1"/>
  <c r="BE75" i="8" s="1"/>
  <c r="BE79" i="8" s="1"/>
  <c r="BE76" i="8" s="1"/>
  <c r="BE77" i="8" s="1"/>
  <c r="BF75" i="8" s="1"/>
  <c r="BF79" i="8" s="1"/>
  <c r="BF76" i="8" s="1"/>
  <c r="BF77" i="8" s="1"/>
  <c r="BG75" i="8" s="1"/>
  <c r="BG79" i="8" s="1"/>
  <c r="BG76" i="8" s="1"/>
  <c r="BG77" i="8" s="1"/>
  <c r="BH75" i="8" s="1"/>
  <c r="BH79" i="8" s="1"/>
  <c r="BH76" i="8" s="1"/>
  <c r="BH77" i="8" s="1"/>
  <c r="BI75" i="8" s="1"/>
  <c r="BI79" i="8" s="1"/>
  <c r="BI76" i="8" s="1"/>
  <c r="BI77" i="8" s="1"/>
  <c r="BJ75" i="8" s="1"/>
  <c r="BJ79" i="8" s="1"/>
  <c r="BJ76" i="8" s="1"/>
  <c r="BJ77" i="8" s="1"/>
  <c r="BK75" i="8" s="1"/>
  <c r="BK79" i="8" s="1"/>
  <c r="BK76" i="8" s="1"/>
  <c r="BK77" i="8" s="1"/>
  <c r="BL75" i="8" s="1"/>
  <c r="BL79" i="8" s="1"/>
  <c r="BL76" i="8" s="1"/>
  <c r="BL77" i="8" s="1"/>
  <c r="BM75" i="8" s="1"/>
  <c r="BM79" i="8" s="1"/>
  <c r="BM76" i="8" s="1"/>
  <c r="BM77" i="8" s="1"/>
  <c r="BN75" i="8" s="1"/>
  <c r="BN79" i="8" s="1"/>
  <c r="BN76" i="8" s="1"/>
  <c r="BN77" i="8" s="1"/>
  <c r="BO75" i="8" s="1"/>
  <c r="BO79" i="8" s="1"/>
  <c r="BO76" i="8" s="1"/>
  <c r="BO77" i="8" s="1"/>
  <c r="BP75" i="8" s="1"/>
  <c r="BP79" i="8" s="1"/>
  <c r="BP76" i="8" s="1"/>
  <c r="BP77" i="8" s="1"/>
  <c r="BQ75" i="8" s="1"/>
  <c r="BQ79" i="8" s="1"/>
  <c r="BQ76" i="8" s="1"/>
  <c r="BQ77" i="8" s="1"/>
  <c r="BR75" i="8" s="1"/>
  <c r="BR79" i="8" s="1"/>
  <c r="BR76" i="8" s="1"/>
  <c r="BR77" i="8" s="1"/>
  <c r="BS75" i="8" s="1"/>
  <c r="BS79" i="8" s="1"/>
  <c r="BS76" i="8" s="1"/>
  <c r="BS77" i="8" s="1"/>
  <c r="BT75" i="8" s="1"/>
  <c r="BT79" i="8" s="1"/>
  <c r="BT76" i="8" s="1"/>
  <c r="BT77" i="8" s="1"/>
  <c r="BU75" i="8" s="1"/>
  <c r="BU79" i="8" s="1"/>
  <c r="BU76" i="8" s="1"/>
  <c r="BU77" i="8" s="1"/>
  <c r="BV75" i="8" s="1"/>
  <c r="BV79" i="8" s="1"/>
  <c r="BV76" i="8" s="1"/>
  <c r="BV77" i="8" s="1"/>
  <c r="BW75" i="8" s="1"/>
  <c r="BW79" i="8" s="1"/>
  <c r="BW76" i="8" s="1"/>
  <c r="BW77" i="8" s="1"/>
  <c r="BX75" i="8" s="1"/>
  <c r="BX79" i="8" s="1"/>
  <c r="BX76" i="8" s="1"/>
  <c r="BX77" i="8" s="1"/>
  <c r="BY75" i="8" s="1"/>
  <c r="BY79" i="8" s="1"/>
  <c r="BY76" i="8" s="1"/>
  <c r="BY77" i="8" s="1"/>
  <c r="BZ75" i="8" s="1"/>
  <c r="BZ79" i="8" s="1"/>
  <c r="BZ76" i="8" s="1"/>
  <c r="BZ77" i="8" s="1"/>
  <c r="CA75" i="8" s="1"/>
  <c r="CA79" i="8" s="1"/>
  <c r="CA76" i="8" s="1"/>
  <c r="CA77" i="8" s="1"/>
  <c r="CB75" i="8" s="1"/>
  <c r="CB79" i="8" s="1"/>
  <c r="CB76" i="8" s="1"/>
  <c r="CB77" i="8" s="1"/>
  <c r="CC75" i="8" s="1"/>
  <c r="CC79" i="8" s="1"/>
  <c r="CC76" i="8" s="1"/>
  <c r="CC77" i="8" s="1"/>
  <c r="CD75" i="8" s="1"/>
  <c r="CD79" i="8" s="1"/>
  <c r="CD76" i="8" s="1"/>
  <c r="CD77" i="8" s="1"/>
  <c r="CE75" i="8" s="1"/>
  <c r="CE79" i="8" s="1"/>
  <c r="CE76" i="8" s="1"/>
  <c r="CE77" i="8" s="1"/>
  <c r="CF75" i="8" s="1"/>
  <c r="CF79" i="8" s="1"/>
  <c r="CF76" i="8" s="1"/>
  <c r="CF77" i="8" s="1"/>
  <c r="CG75" i="8" s="1"/>
  <c r="CG79" i="8" s="1"/>
  <c r="CG76" i="8" s="1"/>
  <c r="CG77" i="8" s="1"/>
  <c r="CH75" i="8" s="1"/>
  <c r="CH79" i="8" s="1"/>
  <c r="CH76" i="8" s="1"/>
  <c r="CH77" i="8" s="1"/>
  <c r="CI75" i="8" s="1"/>
  <c r="CI79" i="8" s="1"/>
  <c r="CI76" i="8" s="1"/>
  <c r="CI77" i="8" s="1"/>
  <c r="CJ75" i="8" s="1"/>
  <c r="CJ79" i="8" s="1"/>
  <c r="CJ76" i="8" s="1"/>
  <c r="CJ77" i="8" s="1"/>
  <c r="CK75" i="8" s="1"/>
  <c r="CK79" i="8" s="1"/>
  <c r="CK76" i="8" s="1"/>
  <c r="CK77" i="8" s="1"/>
  <c r="CL75" i="8" s="1"/>
  <c r="CL79" i="8" s="1"/>
  <c r="CL76" i="8" s="1"/>
  <c r="CL77" i="8" s="1"/>
  <c r="CM75" i="8" s="1"/>
  <c r="CM79" i="8" s="1"/>
  <c r="CM76" i="8" s="1"/>
  <c r="CM77" i="8" s="1"/>
  <c r="CN75" i="8" s="1"/>
  <c r="CN79" i="8" s="1"/>
  <c r="CN76" i="8" s="1"/>
  <c r="CN77" i="8" s="1"/>
  <c r="CO75" i="8" s="1"/>
  <c r="CO79" i="8" s="1"/>
  <c r="CO76" i="8" s="1"/>
  <c r="CO77" i="8" s="1"/>
  <c r="CP75" i="8" s="1"/>
  <c r="CP79" i="8" s="1"/>
  <c r="CP76" i="8" s="1"/>
  <c r="CP77" i="8" s="1"/>
  <c r="CQ75" i="8" s="1"/>
  <c r="CQ79" i="8" s="1"/>
  <c r="CQ76" i="8" s="1"/>
  <c r="CQ77" i="8" s="1"/>
  <c r="CR75" i="8" s="1"/>
  <c r="CR79" i="8" s="1"/>
  <c r="CR76" i="8" s="1"/>
  <c r="CR77" i="8" s="1"/>
  <c r="CS75" i="8" s="1"/>
  <c r="CS79" i="8" s="1"/>
  <c r="CS76" i="8" s="1"/>
  <c r="CS77" i="8" s="1"/>
  <c r="CT75" i="8" s="1"/>
  <c r="CT79" i="8" s="1"/>
  <c r="CT76" i="8" s="1"/>
  <c r="CT77" i="8" s="1"/>
  <c r="BJ78" i="6"/>
  <c r="BI83" i="6"/>
  <c r="BI88" i="6" s="1"/>
  <c r="BI89" i="6" s="1"/>
  <c r="BI13" i="11" s="1"/>
  <c r="BL71" i="6"/>
  <c r="BL72" i="6" s="1"/>
  <c r="BL18" i="14" s="1"/>
  <c r="P16" i="12" l="1"/>
  <c r="P120" i="8"/>
  <c r="P121" i="8" s="1"/>
  <c r="P124" i="8" s="1"/>
  <c r="P38" i="11" s="1"/>
  <c r="T47" i="9"/>
  <c r="Q22" i="8"/>
  <c r="R22" i="8" s="1"/>
  <c r="P25" i="13"/>
  <c r="P23" i="11"/>
  <c r="P23" i="8"/>
  <c r="P57" i="12"/>
  <c r="P59" i="12" s="1"/>
  <c r="DF57" i="2"/>
  <c r="DF8" i="2" s="1"/>
  <c r="DF56" i="2"/>
  <c r="N76" i="8"/>
  <c r="N79" i="8"/>
  <c r="BI30" i="7"/>
  <c r="BI18" i="13"/>
  <c r="BL74" i="6"/>
  <c r="BL87" i="6" s="1"/>
  <c r="BM69" i="6"/>
  <c r="BJ80" i="6"/>
  <c r="BJ81" i="6" s="1"/>
  <c r="BJ29" i="14" s="1"/>
  <c r="P34" i="14" l="1"/>
  <c r="Q56" i="12"/>
  <c r="P24" i="11"/>
  <c r="P26" i="11" s="1"/>
  <c r="P84" i="1" s="1"/>
  <c r="P86" i="8"/>
  <c r="D14" i="16" s="1"/>
  <c r="Q23" i="11"/>
  <c r="Q25" i="13"/>
  <c r="Q23" i="8"/>
  <c r="Q24" i="8" s="1"/>
  <c r="Q27" i="8" s="1"/>
  <c r="Q57" i="12"/>
  <c r="T14" i="14"/>
  <c r="U41" i="9"/>
  <c r="R23" i="8"/>
  <c r="R24" i="8" s="1"/>
  <c r="R27" i="8" s="1"/>
  <c r="R25" i="13"/>
  <c r="R57" i="12"/>
  <c r="R23" i="11"/>
  <c r="S22" i="8"/>
  <c r="T22" i="8" s="1"/>
  <c r="P24" i="8"/>
  <c r="P27" i="8" s="1"/>
  <c r="BJ83" i="6"/>
  <c r="BJ88" i="6" s="1"/>
  <c r="BJ89" i="6" s="1"/>
  <c r="BJ13" i="11" s="1"/>
  <c r="BK78" i="6"/>
  <c r="BM71" i="6"/>
  <c r="BM72" i="6" s="1"/>
  <c r="BM18" i="14" s="1"/>
  <c r="Q59" i="12" l="1"/>
  <c r="R56" i="12" s="1"/>
  <c r="R59" i="12" s="1"/>
  <c r="T25" i="13"/>
  <c r="T57" i="12"/>
  <c r="T23" i="11"/>
  <c r="T23" i="8"/>
  <c r="T24" i="8" s="1"/>
  <c r="P15" i="12"/>
  <c r="P19" i="12" s="1"/>
  <c r="P32" i="11"/>
  <c r="P94" i="8" s="1"/>
  <c r="P95" i="8" s="1"/>
  <c r="P13" i="15"/>
  <c r="P23" i="15" s="1"/>
  <c r="P25" i="15" s="1"/>
  <c r="R24" i="11"/>
  <c r="R86" i="8"/>
  <c r="D16" i="16" s="1"/>
  <c r="S23" i="11"/>
  <c r="S25" i="13"/>
  <c r="S23" i="8"/>
  <c r="S57" i="12"/>
  <c r="U46" i="9"/>
  <c r="U16" i="10" s="1"/>
  <c r="U18" i="10" s="1"/>
  <c r="J27" i="8"/>
  <c r="K158" i="3" s="1"/>
  <c r="Q34" i="14"/>
  <c r="Q86" i="8"/>
  <c r="D15" i="16" s="1"/>
  <c r="Q24" i="11"/>
  <c r="U22" i="8"/>
  <c r="BJ30" i="7"/>
  <c r="BJ18" i="13"/>
  <c r="BM74" i="6"/>
  <c r="BM87" i="6" s="1"/>
  <c r="BN69" i="6"/>
  <c r="BK80" i="6"/>
  <c r="BK81" i="6" s="1"/>
  <c r="BK29" i="14" s="1"/>
  <c r="P21" i="12" l="1"/>
  <c r="P62" i="18"/>
  <c r="U47" i="9"/>
  <c r="U14" i="14" s="1"/>
  <c r="S24" i="11"/>
  <c r="S86" i="8"/>
  <c r="D17" i="16" s="1"/>
  <c r="R34" i="14"/>
  <c r="S56" i="12"/>
  <c r="S59" i="12" s="1"/>
  <c r="S24" i="8"/>
  <c r="T86" i="8"/>
  <c r="D18" i="16" s="1"/>
  <c r="T24" i="11"/>
  <c r="P88" i="8"/>
  <c r="P60" i="18" s="1"/>
  <c r="P34" i="11"/>
  <c r="P36" i="11" s="1"/>
  <c r="P128" i="8" s="1"/>
  <c r="P125" i="8" s="1"/>
  <c r="V22" i="8"/>
  <c r="U25" i="13"/>
  <c r="U57" i="12"/>
  <c r="U23" i="8"/>
  <c r="U24" i="8" s="1"/>
  <c r="U23" i="11"/>
  <c r="BK83" i="6"/>
  <c r="BK88" i="6" s="1"/>
  <c r="BK89" i="6" s="1"/>
  <c r="BK13" i="11" s="1"/>
  <c r="BL78" i="6"/>
  <c r="BN71" i="6"/>
  <c r="BN72" i="6" s="1"/>
  <c r="BN18" i="14" s="1"/>
  <c r="V41" i="9" l="1"/>
  <c r="V46" i="9" s="1"/>
  <c r="V16" i="10" s="1"/>
  <c r="V18" i="10" s="1"/>
  <c r="G14" i="16"/>
  <c r="P89" i="8"/>
  <c r="S34" i="14"/>
  <c r="T56" i="12"/>
  <c r="T59" i="12" s="1"/>
  <c r="V25" i="13"/>
  <c r="V57" i="12"/>
  <c r="V23" i="8"/>
  <c r="V24" i="8" s="1"/>
  <c r="V23" i="11"/>
  <c r="W22" i="8"/>
  <c r="X22" i="8" s="1"/>
  <c r="U86" i="8"/>
  <c r="D19" i="16" s="1"/>
  <c r="U24" i="11"/>
  <c r="P39" i="11"/>
  <c r="P42" i="11" s="1"/>
  <c r="P126" i="8"/>
  <c r="BK30" i="7"/>
  <c r="BK18" i="13"/>
  <c r="BN74" i="6"/>
  <c r="BN87" i="6" s="1"/>
  <c r="BO69" i="6"/>
  <c r="BL80" i="6"/>
  <c r="BL81" i="6" s="1"/>
  <c r="BL29" i="14" s="1"/>
  <c r="X23" i="8" l="1"/>
  <c r="X24" i="8" s="1"/>
  <c r="X23" i="11"/>
  <c r="X57" i="12"/>
  <c r="X25" i="13"/>
  <c r="Y22" i="8"/>
  <c r="Z22" i="8" s="1"/>
  <c r="V86" i="8"/>
  <c r="D20" i="16" s="1"/>
  <c r="V24" i="11"/>
  <c r="U56" i="12"/>
  <c r="U59" i="12" s="1"/>
  <c r="T34" i="14"/>
  <c r="P28" i="14"/>
  <c r="Q123" i="8"/>
  <c r="P44" i="11"/>
  <c r="P36" i="12" s="1"/>
  <c r="P37" i="12" s="1"/>
  <c r="P46" i="12" s="1"/>
  <c r="P48" i="12" s="1"/>
  <c r="P50" i="12" s="1"/>
  <c r="P46" i="11" s="1"/>
  <c r="P48" i="11" s="1"/>
  <c r="P70" i="12" s="1"/>
  <c r="P71" i="12" s="1"/>
  <c r="W57" i="12"/>
  <c r="W23" i="11"/>
  <c r="W25" i="13"/>
  <c r="W23" i="8"/>
  <c r="W24" i="8" s="1"/>
  <c r="P45" i="13"/>
  <c r="P27" i="14"/>
  <c r="P80" i="1" s="1"/>
  <c r="Q85" i="8"/>
  <c r="V47" i="9"/>
  <c r="BL83" i="6"/>
  <c r="BL88" i="6" s="1"/>
  <c r="BL89" i="6" s="1"/>
  <c r="BL13" i="11" s="1"/>
  <c r="BM78" i="6"/>
  <c r="BO71" i="6"/>
  <c r="BO72" i="6" s="1"/>
  <c r="BO18" i="14" s="1"/>
  <c r="Z25" i="13" l="1"/>
  <c r="Z23" i="11"/>
  <c r="Z23" i="8"/>
  <c r="Z24" i="8" s="1"/>
  <c r="Z57" i="12"/>
  <c r="P39" i="12"/>
  <c r="P41" i="12" s="1"/>
  <c r="Q35" i="12" s="1"/>
  <c r="P26" i="13"/>
  <c r="P58" i="12"/>
  <c r="Y23" i="11"/>
  <c r="Y23" i="8"/>
  <c r="Y24" i="8" s="1"/>
  <c r="Y57" i="12"/>
  <c r="Y25" i="13"/>
  <c r="P30" i="10"/>
  <c r="P32" i="10" s="1"/>
  <c r="P64" i="12" s="1"/>
  <c r="P65" i="12" s="1"/>
  <c r="P29" i="12"/>
  <c r="P31" i="12" s="1"/>
  <c r="Q25" i="12" s="1"/>
  <c r="W86" i="8"/>
  <c r="W24" i="11"/>
  <c r="Q138" i="8"/>
  <c r="Q21" i="10" s="1"/>
  <c r="Q40" i="11" s="1"/>
  <c r="Q130" i="8"/>
  <c r="U34" i="14"/>
  <c r="V56" i="12"/>
  <c r="V59" i="12" s="1"/>
  <c r="W41" i="9"/>
  <c r="V14" i="14"/>
  <c r="AA22" i="8"/>
  <c r="AB22" i="8" s="1"/>
  <c r="Q103" i="8"/>
  <c r="Q108" i="8" s="1"/>
  <c r="Q61" i="18" s="1"/>
  <c r="Q87" i="8"/>
  <c r="Q59" i="18" s="1"/>
  <c r="X24" i="11"/>
  <c r="X86" i="8"/>
  <c r="Q69" i="12"/>
  <c r="P19" i="14"/>
  <c r="P21" i="14" s="1"/>
  <c r="BL30" i="7"/>
  <c r="BL18" i="13"/>
  <c r="BO74" i="6"/>
  <c r="BO87" i="6" s="1"/>
  <c r="BP69" i="6"/>
  <c r="BM80" i="6"/>
  <c r="BM81" i="6" s="1"/>
  <c r="BM29" i="14" s="1"/>
  <c r="P27" i="13" l="1"/>
  <c r="P28" i="13" s="1"/>
  <c r="P36" i="1" s="1"/>
  <c r="W46" i="9"/>
  <c r="W16" i="10" s="1"/>
  <c r="W18" i="10" s="1"/>
  <c r="E15" i="16"/>
  <c r="Q107" i="8"/>
  <c r="Q30" i="11"/>
  <c r="H15" i="16"/>
  <c r="Q20" i="10"/>
  <c r="Q23" i="10" s="1"/>
  <c r="Q11" i="9" s="1"/>
  <c r="Q17" i="9" s="1"/>
  <c r="Q22" i="9" s="1"/>
  <c r="Y24" i="11"/>
  <c r="Y86" i="8"/>
  <c r="D23" i="16" s="1"/>
  <c r="Z24" i="11"/>
  <c r="Z86" i="8"/>
  <c r="D24" i="16" s="1"/>
  <c r="AB23" i="8"/>
  <c r="AB24" i="8" s="1"/>
  <c r="AB57" i="12"/>
  <c r="AB23" i="11"/>
  <c r="AB25" i="13"/>
  <c r="AA23" i="8"/>
  <c r="AA24" i="8" s="1"/>
  <c r="AA25" i="13"/>
  <c r="AA23" i="11"/>
  <c r="AA57" i="12"/>
  <c r="W56" i="12"/>
  <c r="W59" i="12" s="1"/>
  <c r="V34" i="14"/>
  <c r="AC22" i="8"/>
  <c r="Q63" i="12"/>
  <c r="P33" i="14"/>
  <c r="P36" i="14" s="1"/>
  <c r="P39" i="14" s="1"/>
  <c r="P41" i="14" s="1"/>
  <c r="BM83" i="6"/>
  <c r="BM88" i="6" s="1"/>
  <c r="BM89" i="6" s="1"/>
  <c r="BM13" i="11" s="1"/>
  <c r="BN78" i="6"/>
  <c r="BP71" i="6"/>
  <c r="BP72" i="6" s="1"/>
  <c r="BP18" i="14" s="1"/>
  <c r="W47" i="9" l="1"/>
  <c r="W14" i="14" s="1"/>
  <c r="P78" i="13"/>
  <c r="P77" i="13"/>
  <c r="Q21" i="9"/>
  <c r="Q23" i="9" s="1"/>
  <c r="Q27" i="9" s="1"/>
  <c r="Q25" i="10" s="1"/>
  <c r="Q16" i="9"/>
  <c r="Q18" i="9" s="1"/>
  <c r="R15" i="9" s="1"/>
  <c r="X56" i="12"/>
  <c r="X59" i="12" s="1"/>
  <c r="W34" i="14"/>
  <c r="AB24" i="11"/>
  <c r="AB86" i="8"/>
  <c r="D26" i="16" s="1"/>
  <c r="Q109" i="8"/>
  <c r="Q29" i="11"/>
  <c r="AC57" i="12"/>
  <c r="AC25" i="13"/>
  <c r="AC23" i="11"/>
  <c r="AC23" i="8"/>
  <c r="AA24" i="11"/>
  <c r="AA86" i="8"/>
  <c r="D25" i="16" s="1"/>
  <c r="AD22" i="8"/>
  <c r="P45" i="1"/>
  <c r="P38" i="1"/>
  <c r="BM30" i="7"/>
  <c r="BM18" i="13"/>
  <c r="BP74" i="6"/>
  <c r="BP87" i="6" s="1"/>
  <c r="BQ69" i="6"/>
  <c r="BN80" i="6"/>
  <c r="BN81" i="6" s="1"/>
  <c r="BN29" i="14" s="1"/>
  <c r="X41" i="9" l="1"/>
  <c r="X46" i="9" s="1"/>
  <c r="Q27" i="10"/>
  <c r="Q28" i="10" s="1"/>
  <c r="Q27" i="7"/>
  <c r="Q31" i="7" s="1"/>
  <c r="Q34" i="7" s="1"/>
  <c r="Q17" i="13"/>
  <c r="Q19" i="13" s="1"/>
  <c r="Q64" i="13" s="1"/>
  <c r="Q12" i="11"/>
  <c r="Q15" i="11" s="1"/>
  <c r="Q21" i="11" s="1"/>
  <c r="Q26" i="11" s="1"/>
  <c r="Y56" i="12"/>
  <c r="Y59" i="12" s="1"/>
  <c r="X34" i="14"/>
  <c r="Q16" i="12"/>
  <c r="Q120" i="8"/>
  <c r="Q121" i="8" s="1"/>
  <c r="Q124" i="8" s="1"/>
  <c r="Q38" i="11" s="1"/>
  <c r="AC24" i="11"/>
  <c r="AC86" i="8"/>
  <c r="D27" i="16" s="1"/>
  <c r="AC24" i="8"/>
  <c r="AD23" i="8"/>
  <c r="AD24" i="8" s="1"/>
  <c r="AE22" i="8"/>
  <c r="AD57" i="12"/>
  <c r="AD25" i="13"/>
  <c r="AD23" i="11"/>
  <c r="BN83" i="6"/>
  <c r="BN88" i="6" s="1"/>
  <c r="BN89" i="6" s="1"/>
  <c r="BN13" i="11" s="1"/>
  <c r="BO78" i="6"/>
  <c r="BQ71" i="6"/>
  <c r="BQ72" i="6" s="1"/>
  <c r="BQ18" i="14" s="1"/>
  <c r="Q15" i="12" l="1"/>
  <c r="Q84" i="1"/>
  <c r="Q26" i="12"/>
  <c r="Q27" i="12" s="1"/>
  <c r="Q45" i="12" s="1"/>
  <c r="X16" i="10"/>
  <c r="X18" i="10" s="1"/>
  <c r="X47" i="9"/>
  <c r="X14" i="14" s="1"/>
  <c r="Q19" i="12"/>
  <c r="Q32" i="11"/>
  <c r="Q94" i="8" s="1"/>
  <c r="Q95" i="8" s="1"/>
  <c r="Q13" i="15"/>
  <c r="Q23" i="15" s="1"/>
  <c r="Q25" i="15" s="1"/>
  <c r="Y34" i="14"/>
  <c r="Z56" i="12"/>
  <c r="Z59" i="12" s="1"/>
  <c r="AD86" i="8"/>
  <c r="D28" i="16" s="1"/>
  <c r="AD24" i="11"/>
  <c r="AE23" i="11"/>
  <c r="AE23" i="8"/>
  <c r="AE24" i="8" s="1"/>
  <c r="AE57" i="12"/>
  <c r="AE25" i="13"/>
  <c r="AF22" i="8"/>
  <c r="BN30" i="7"/>
  <c r="BN18" i="13"/>
  <c r="BQ74" i="6"/>
  <c r="BQ87" i="6" s="1"/>
  <c r="BR69" i="6"/>
  <c r="BO80" i="6"/>
  <c r="BO81" i="6" s="1"/>
  <c r="BO29" i="14" s="1"/>
  <c r="Y41" i="9" l="1"/>
  <c r="Q21" i="12"/>
  <c r="Q62" i="18"/>
  <c r="AF23" i="11"/>
  <c r="AF23" i="8"/>
  <c r="AF24" i="8" s="1"/>
  <c r="AF25" i="13"/>
  <c r="AF57" i="12"/>
  <c r="AG22" i="8"/>
  <c r="Y46" i="9"/>
  <c r="Y16" i="10" s="1"/>
  <c r="Y18" i="10" s="1"/>
  <c r="AA56" i="12"/>
  <c r="AA59" i="12" s="1"/>
  <c r="Z34" i="14"/>
  <c r="AE86" i="8"/>
  <c r="D29" i="16" s="1"/>
  <c r="AE24" i="11"/>
  <c r="Q34" i="11"/>
  <c r="Q36" i="11" s="1"/>
  <c r="Q128" i="8" s="1"/>
  <c r="Q125" i="8" s="1"/>
  <c r="Q88" i="8"/>
  <c r="Q60" i="18" s="1"/>
  <c r="BO83" i="6"/>
  <c r="BO88" i="6" s="1"/>
  <c r="BO89" i="6" s="1"/>
  <c r="BO13" i="11" s="1"/>
  <c r="BP78" i="6"/>
  <c r="BR71" i="6"/>
  <c r="BR72" i="6" s="1"/>
  <c r="BR18" i="14" s="1"/>
  <c r="Y47" i="9" l="1"/>
  <c r="Z41" i="9" s="1"/>
  <c r="AG23" i="8"/>
  <c r="AG24" i="8" s="1"/>
  <c r="AG25" i="13"/>
  <c r="AG57" i="12"/>
  <c r="AG23" i="11"/>
  <c r="AF86" i="8"/>
  <c r="D30" i="16" s="1"/>
  <c r="AF24" i="11"/>
  <c r="AA34" i="14"/>
  <c r="AB56" i="12"/>
  <c r="AB59" i="12" s="1"/>
  <c r="AH22" i="8"/>
  <c r="G15" i="16"/>
  <c r="Q89" i="8"/>
  <c r="Q39" i="11"/>
  <c r="Q42" i="11" s="1"/>
  <c r="Q126" i="8"/>
  <c r="BO30" i="7"/>
  <c r="BO18" i="13"/>
  <c r="BR74" i="6"/>
  <c r="BR87" i="6" s="1"/>
  <c r="BS69" i="6"/>
  <c r="BP80" i="6"/>
  <c r="BP81" i="6" s="1"/>
  <c r="BP29" i="14" s="1"/>
  <c r="Y14" i="14" l="1"/>
  <c r="AG24" i="11"/>
  <c r="AG86" i="8"/>
  <c r="D31" i="16" s="1"/>
  <c r="AH57" i="12"/>
  <c r="AH23" i="11"/>
  <c r="AH25" i="13"/>
  <c r="AH23" i="8"/>
  <c r="AB34" i="14"/>
  <c r="AC56" i="12"/>
  <c r="AC59" i="12" s="1"/>
  <c r="AI22" i="8"/>
  <c r="Z46" i="9"/>
  <c r="Z16" i="10" s="1"/>
  <c r="Z18" i="10" s="1"/>
  <c r="Q44" i="11"/>
  <c r="Q36" i="12" s="1"/>
  <c r="Q37" i="12" s="1"/>
  <c r="Q27" i="14"/>
  <c r="Q80" i="1" s="1"/>
  <c r="R85" i="8"/>
  <c r="Q45" i="13"/>
  <c r="R123" i="8"/>
  <c r="Q28" i="14"/>
  <c r="BQ78" i="6"/>
  <c r="BP83" i="6"/>
  <c r="BP88" i="6" s="1"/>
  <c r="BP89" i="6" s="1"/>
  <c r="BP13" i="11" s="1"/>
  <c r="BS71" i="6"/>
  <c r="BS72" i="6" s="1"/>
  <c r="BS18" i="14" s="1"/>
  <c r="Z47" i="9" l="1"/>
  <c r="Z14" i="14" s="1"/>
  <c r="AH24" i="8"/>
  <c r="AH86" i="8"/>
  <c r="D32" i="16" s="1"/>
  <c r="AH24" i="11"/>
  <c r="AI23" i="11"/>
  <c r="AI57" i="12"/>
  <c r="AI23" i="8"/>
  <c r="AI25" i="13"/>
  <c r="AC34" i="14"/>
  <c r="AD56" i="12"/>
  <c r="AD59" i="12" s="1"/>
  <c r="AJ22" i="8"/>
  <c r="Q46" i="12"/>
  <c r="Q48" i="12" s="1"/>
  <c r="Q50" i="12" s="1"/>
  <c r="R103" i="8"/>
  <c r="R108" i="8" s="1"/>
  <c r="R61" i="18" s="1"/>
  <c r="R87" i="8"/>
  <c r="R59" i="18" s="1"/>
  <c r="R138" i="8"/>
  <c r="R21" i="10" s="1"/>
  <c r="R40" i="11" s="1"/>
  <c r="R130" i="8"/>
  <c r="Q58" i="12"/>
  <c r="Q26" i="13"/>
  <c r="BP30" i="7"/>
  <c r="BP18" i="13"/>
  <c r="BT69" i="6"/>
  <c r="BS74" i="6"/>
  <c r="BS87" i="6" s="1"/>
  <c r="BQ80" i="6"/>
  <c r="BQ81" i="6" s="1"/>
  <c r="BQ29" i="14" s="1"/>
  <c r="AA41" i="9" l="1"/>
  <c r="AA46" i="9" s="1"/>
  <c r="AA16" i="10" s="1"/>
  <c r="AA18" i="10" s="1"/>
  <c r="AJ57" i="12"/>
  <c r="AJ23" i="11"/>
  <c r="AK22" i="8"/>
  <c r="AK23" i="11" s="1"/>
  <c r="AJ25" i="13"/>
  <c r="AJ23" i="8"/>
  <c r="AD34" i="14"/>
  <c r="AE56" i="12"/>
  <c r="AE59" i="12" s="1"/>
  <c r="AI24" i="8"/>
  <c r="AI86" i="8"/>
  <c r="D33" i="16" s="1"/>
  <c r="AI24" i="11"/>
  <c r="R107" i="8"/>
  <c r="E16" i="16"/>
  <c r="H16" i="16"/>
  <c r="R30" i="11"/>
  <c r="R20" i="10"/>
  <c r="R23" i="10" s="1"/>
  <c r="Q30" i="10"/>
  <c r="Q39" i="12"/>
  <c r="Q41" i="12" s="1"/>
  <c r="R35" i="12" s="1"/>
  <c r="Q46" i="11"/>
  <c r="Q48" i="11" s="1"/>
  <c r="Q70" i="12" s="1"/>
  <c r="Q71" i="12" s="1"/>
  <c r="Q29" i="12"/>
  <c r="Q31" i="12" s="1"/>
  <c r="R25" i="12" s="1"/>
  <c r="BQ83" i="6"/>
  <c r="BQ88" i="6" s="1"/>
  <c r="BQ89" i="6" s="1"/>
  <c r="BQ13" i="11" s="1"/>
  <c r="BR78" i="6"/>
  <c r="BT71" i="6"/>
  <c r="BT72" i="6" s="1"/>
  <c r="BT18" i="14" s="1"/>
  <c r="AA47" i="9" l="1"/>
  <c r="AA14" i="14" s="1"/>
  <c r="AF56" i="12"/>
  <c r="AF59" i="12" s="1"/>
  <c r="AE34" i="14"/>
  <c r="AJ24" i="8"/>
  <c r="AJ24" i="11"/>
  <c r="AJ86" i="8"/>
  <c r="D34" i="16" s="1"/>
  <c r="AK25" i="13"/>
  <c r="AL22" i="8"/>
  <c r="AL23" i="11" s="1"/>
  <c r="AK57" i="12"/>
  <c r="AK23" i="8"/>
  <c r="R69" i="12"/>
  <c r="Q19" i="14"/>
  <c r="Q21" i="14" s="1"/>
  <c r="Q27" i="13"/>
  <c r="Q28" i="13" s="1"/>
  <c r="Q32" i="10"/>
  <c r="Q64" i="12" s="1"/>
  <c r="Q65" i="12" s="1"/>
  <c r="R29" i="11"/>
  <c r="R109" i="8"/>
  <c r="R11" i="9"/>
  <c r="BQ30" i="7"/>
  <c r="BQ18" i="13"/>
  <c r="BU69" i="6"/>
  <c r="BT74" i="6"/>
  <c r="BT87" i="6" s="1"/>
  <c r="BR80" i="6"/>
  <c r="BR81" i="6" s="1"/>
  <c r="BR29" i="14" s="1"/>
  <c r="AK24" i="8" l="1"/>
  <c r="AK24" i="11"/>
  <c r="AB41" i="9"/>
  <c r="AB46" i="9" s="1"/>
  <c r="AB16" i="10" s="1"/>
  <c r="AB18" i="10" s="1"/>
  <c r="AK86" i="8"/>
  <c r="D35" i="16" s="1"/>
  <c r="AG56" i="12"/>
  <c r="AG59" i="12" s="1"/>
  <c r="AF34" i="14"/>
  <c r="AL57" i="12"/>
  <c r="AL23" i="8"/>
  <c r="AL24" i="11" s="1"/>
  <c r="AL25" i="13"/>
  <c r="AM22" i="8"/>
  <c r="R16" i="12"/>
  <c r="R120" i="8"/>
  <c r="R121" i="8" s="1"/>
  <c r="R124" i="8" s="1"/>
  <c r="Q36" i="1"/>
  <c r="Q77" i="13"/>
  <c r="Q78" i="13"/>
  <c r="R63" i="12"/>
  <c r="Q33" i="14"/>
  <c r="Q36" i="14" s="1"/>
  <c r="Q39" i="14" s="1"/>
  <c r="Q41" i="14" s="1"/>
  <c r="R17" i="9"/>
  <c r="R22" i="9" s="1"/>
  <c r="R16" i="9"/>
  <c r="R21" i="9"/>
  <c r="BR83" i="6"/>
  <c r="BR88" i="6" s="1"/>
  <c r="BR89" i="6" s="1"/>
  <c r="BR13" i="11" s="1"/>
  <c r="BS78" i="6"/>
  <c r="BU71" i="6"/>
  <c r="BU72" i="6" s="1"/>
  <c r="BU18" i="14" s="1"/>
  <c r="AN22" i="8" l="1"/>
  <c r="AN23" i="11" s="1"/>
  <c r="AM23" i="11"/>
  <c r="R18" i="9"/>
  <c r="S15" i="9" s="1"/>
  <c r="AB47" i="9"/>
  <c r="AO22" i="8"/>
  <c r="AL86" i="8"/>
  <c r="D36" i="16" s="1"/>
  <c r="AH56" i="12"/>
  <c r="AH59" i="12" s="1"/>
  <c r="AG34" i="14"/>
  <c r="AM25" i="13"/>
  <c r="AM23" i="8"/>
  <c r="AM24" i="11" s="1"/>
  <c r="AM57" i="12"/>
  <c r="AL24" i="8"/>
  <c r="R23" i="9"/>
  <c r="R27" i="9" s="1"/>
  <c r="R25" i="10" s="1"/>
  <c r="R38" i="11"/>
  <c r="Q45" i="1"/>
  <c r="Q38" i="1"/>
  <c r="BR30" i="7"/>
  <c r="BR18" i="13"/>
  <c r="BU74" i="6"/>
  <c r="BU87" i="6" s="1"/>
  <c r="BV69" i="6"/>
  <c r="BS80" i="6"/>
  <c r="BS81" i="6" s="1"/>
  <c r="BS29" i="14" s="1"/>
  <c r="AN23" i="8" l="1"/>
  <c r="AN57" i="12"/>
  <c r="AN25" i="13"/>
  <c r="AO57" i="12"/>
  <c r="AO23" i="11"/>
  <c r="AN24" i="8"/>
  <c r="AN24" i="11"/>
  <c r="AC41" i="9"/>
  <c r="AC46" i="9" s="1"/>
  <c r="AC16" i="10" s="1"/>
  <c r="AC18" i="10" s="1"/>
  <c r="AB14" i="14"/>
  <c r="AO23" i="8"/>
  <c r="AO25" i="13"/>
  <c r="AM24" i="8"/>
  <c r="AM86" i="8"/>
  <c r="D37" i="16" s="1"/>
  <c r="AN86" i="8"/>
  <c r="D38" i="16" s="1"/>
  <c r="AP22" i="8"/>
  <c r="AH34" i="14"/>
  <c r="AI56" i="12"/>
  <c r="AI59" i="12" s="1"/>
  <c r="R27" i="7"/>
  <c r="R31" i="7" s="1"/>
  <c r="R12" i="11"/>
  <c r="R15" i="11" s="1"/>
  <c r="R21" i="11" s="1"/>
  <c r="R26" i="11" s="1"/>
  <c r="R84" i="1" s="1"/>
  <c r="R17" i="13"/>
  <c r="R19" i="13" s="1"/>
  <c r="R64" i="13" s="1"/>
  <c r="R27" i="10"/>
  <c r="BS83" i="6"/>
  <c r="BS88" i="6" s="1"/>
  <c r="BS89" i="6" s="1"/>
  <c r="BS13" i="11" s="1"/>
  <c r="BT78" i="6"/>
  <c r="BV71" i="6"/>
  <c r="BV72" i="6" s="1"/>
  <c r="BV18" i="14" s="1"/>
  <c r="AP25" i="13" l="1"/>
  <c r="AP23" i="11"/>
  <c r="AO24" i="8"/>
  <c r="AO24" i="11"/>
  <c r="AC47" i="9"/>
  <c r="AC14" i="14" s="1"/>
  <c r="AO86" i="8"/>
  <c r="D39" i="16" s="1"/>
  <c r="AP57" i="12"/>
  <c r="AQ22" i="8"/>
  <c r="AI34" i="14"/>
  <c r="AJ56" i="12"/>
  <c r="AJ59" i="12" s="1"/>
  <c r="AP23" i="8"/>
  <c r="R34" i="7"/>
  <c r="R13" i="15"/>
  <c r="R23" i="15" s="1"/>
  <c r="R25" i="15" s="1"/>
  <c r="R15" i="12"/>
  <c r="R19" i="12" s="1"/>
  <c r="R32" i="11"/>
  <c r="R26" i="12"/>
  <c r="R27" i="12" s="1"/>
  <c r="R28" i="10"/>
  <c r="BS30" i="7"/>
  <c r="BS18" i="13"/>
  <c r="BV74" i="6"/>
  <c r="BV87" i="6" s="1"/>
  <c r="BW69" i="6"/>
  <c r="BT80" i="6"/>
  <c r="BT81" i="6" s="1"/>
  <c r="BT29" i="14" s="1"/>
  <c r="AQ23" i="8" l="1"/>
  <c r="AQ23" i="11"/>
  <c r="AP24" i="8"/>
  <c r="AP24" i="11"/>
  <c r="R21" i="12"/>
  <c r="R62" i="18"/>
  <c r="AD41" i="9"/>
  <c r="AD46" i="9" s="1"/>
  <c r="AD16" i="10" s="1"/>
  <c r="AD18" i="10" s="1"/>
  <c r="AR22" i="8"/>
  <c r="AQ25" i="13"/>
  <c r="AQ57" i="12"/>
  <c r="AK56" i="12"/>
  <c r="AK59" i="12" s="1"/>
  <c r="AJ34" i="14"/>
  <c r="AP86" i="8"/>
  <c r="D40" i="16" s="1"/>
  <c r="R94" i="8"/>
  <c r="R95" i="8" s="1"/>
  <c r="AQ86" i="8"/>
  <c r="D41" i="16" s="1"/>
  <c r="R45" i="12"/>
  <c r="BT83" i="6"/>
  <c r="BT88" i="6" s="1"/>
  <c r="BT89" i="6" s="1"/>
  <c r="BT13" i="11" s="1"/>
  <c r="BU78" i="6"/>
  <c r="BW71" i="6"/>
  <c r="BW72" i="6" s="1"/>
  <c r="BW18" i="14" s="1"/>
  <c r="AR57" i="12" l="1"/>
  <c r="AR23" i="11"/>
  <c r="AQ24" i="8"/>
  <c r="AQ24" i="11"/>
  <c r="AD47" i="9"/>
  <c r="AE41" i="9" s="1"/>
  <c r="AS22" i="8"/>
  <c r="AR25" i="13"/>
  <c r="AR23" i="8"/>
  <c r="AR24" i="11" s="1"/>
  <c r="AL56" i="12"/>
  <c r="AL59" i="12" s="1"/>
  <c r="AK34" i="14"/>
  <c r="R34" i="11"/>
  <c r="R36" i="11" s="1"/>
  <c r="R128" i="8" s="1"/>
  <c r="R125" i="8" s="1"/>
  <c r="R88" i="8"/>
  <c r="R60" i="18" s="1"/>
  <c r="BT30" i="7"/>
  <c r="BT18" i="13"/>
  <c r="BW74" i="6"/>
  <c r="BW87" i="6" s="1"/>
  <c r="BX69" i="6"/>
  <c r="BU80" i="6"/>
  <c r="BU81" i="6" s="1"/>
  <c r="BU29" i="14" s="1"/>
  <c r="AS23" i="8" l="1"/>
  <c r="AS24" i="11" s="1"/>
  <c r="AS23" i="11"/>
  <c r="AD14" i="14"/>
  <c r="AT22" i="8"/>
  <c r="AS25" i="13"/>
  <c r="AR24" i="8"/>
  <c r="AS57" i="12"/>
  <c r="AR86" i="8"/>
  <c r="D42" i="16" s="1"/>
  <c r="AL34" i="14"/>
  <c r="AM56" i="12"/>
  <c r="AM59" i="12" s="1"/>
  <c r="AS86" i="8"/>
  <c r="D43" i="16" s="1"/>
  <c r="G16" i="16"/>
  <c r="R89" i="8"/>
  <c r="AE46" i="9"/>
  <c r="AE16" i="10" s="1"/>
  <c r="AE18" i="10" s="1"/>
  <c r="R39" i="11"/>
  <c r="R42" i="11" s="1"/>
  <c r="R126" i="8"/>
  <c r="AS24" i="8"/>
  <c r="BU83" i="6"/>
  <c r="BU88" i="6" s="1"/>
  <c r="BU89" i="6" s="1"/>
  <c r="BU13" i="11" s="1"/>
  <c r="BV78" i="6"/>
  <c r="BX71" i="6"/>
  <c r="BX72" i="6" s="1"/>
  <c r="BX18" i="14" s="1"/>
  <c r="AT25" i="13" l="1"/>
  <c r="AT23" i="11"/>
  <c r="AU22" i="8"/>
  <c r="AT23" i="8"/>
  <c r="AT24" i="11" s="1"/>
  <c r="AT57" i="12"/>
  <c r="AM34" i="14"/>
  <c r="AN56" i="12"/>
  <c r="AN59" i="12" s="1"/>
  <c r="S123" i="8"/>
  <c r="R28" i="14"/>
  <c r="R44" i="11"/>
  <c r="R36" i="12" s="1"/>
  <c r="R37" i="12" s="1"/>
  <c r="AE47" i="9"/>
  <c r="R27" i="14"/>
  <c r="R80" i="1" s="1"/>
  <c r="S85" i="8"/>
  <c r="R45" i="13"/>
  <c r="AT24" i="8"/>
  <c r="BU30" i="7"/>
  <c r="BU18" i="13"/>
  <c r="BV80" i="6"/>
  <c r="BV81" i="6" s="1"/>
  <c r="BV29" i="14" s="1"/>
  <c r="BX74" i="6"/>
  <c r="BX87" i="6" s="1"/>
  <c r="BY69" i="6"/>
  <c r="AV22" i="8" l="1"/>
  <c r="AV23" i="11" s="1"/>
  <c r="AU23" i="11"/>
  <c r="AU25" i="13"/>
  <c r="AU23" i="8"/>
  <c r="AU57" i="12"/>
  <c r="AT86" i="8"/>
  <c r="D44" i="16" s="1"/>
  <c r="AO56" i="12"/>
  <c r="AO59" i="12" s="1"/>
  <c r="AN34" i="14"/>
  <c r="R46" i="12"/>
  <c r="R48" i="12" s="1"/>
  <c r="R50" i="12" s="1"/>
  <c r="R26" i="13"/>
  <c r="R58" i="12"/>
  <c r="S87" i="8"/>
  <c r="S59" i="18" s="1"/>
  <c r="S103" i="8"/>
  <c r="S108" i="8" s="1"/>
  <c r="S61" i="18" s="1"/>
  <c r="AF41" i="9"/>
  <c r="AE14" i="14"/>
  <c r="AV23" i="8"/>
  <c r="AV24" i="11" s="1"/>
  <c r="AV25" i="13"/>
  <c r="AW22" i="8"/>
  <c r="AW23" i="11" s="1"/>
  <c r="S130" i="8"/>
  <c r="S138" i="8"/>
  <c r="S21" i="10" s="1"/>
  <c r="S40" i="11" s="1"/>
  <c r="BW78" i="6"/>
  <c r="BV83" i="6"/>
  <c r="BV88" i="6" s="1"/>
  <c r="BV89" i="6" s="1"/>
  <c r="BV13" i="11" s="1"/>
  <c r="BY71" i="6"/>
  <c r="BY72" i="6" s="1"/>
  <c r="BY18" i="14" s="1"/>
  <c r="AU24" i="8" l="1"/>
  <c r="AU24" i="11"/>
  <c r="AV57" i="12"/>
  <c r="AU86" i="8"/>
  <c r="D45" i="16" s="1"/>
  <c r="AP56" i="12"/>
  <c r="AP59" i="12" s="1"/>
  <c r="AO34" i="14"/>
  <c r="AV86" i="8"/>
  <c r="D46" i="16" s="1"/>
  <c r="AF46" i="9"/>
  <c r="AF16" i="10" s="1"/>
  <c r="AF18" i="10" s="1"/>
  <c r="AW23" i="8"/>
  <c r="AW24" i="11" s="1"/>
  <c r="AW57" i="12"/>
  <c r="AW25" i="13"/>
  <c r="AX22" i="8"/>
  <c r="AX23" i="11" s="1"/>
  <c r="AV24" i="8"/>
  <c r="H17" i="16"/>
  <c r="S30" i="11"/>
  <c r="S20" i="10"/>
  <c r="S23" i="10" s="1"/>
  <c r="E17" i="16"/>
  <c r="S107" i="8"/>
  <c r="R46" i="11"/>
  <c r="R48" i="11" s="1"/>
  <c r="R70" i="12" s="1"/>
  <c r="R71" i="12" s="1"/>
  <c r="R30" i="10"/>
  <c r="R39" i="12"/>
  <c r="R41" i="12" s="1"/>
  <c r="S35" i="12" s="1"/>
  <c r="R29" i="12"/>
  <c r="R31" i="12" s="1"/>
  <c r="S25" i="12" s="1"/>
  <c r="BV30" i="7"/>
  <c r="BV18" i="13"/>
  <c r="BY74" i="6"/>
  <c r="BY87" i="6" s="1"/>
  <c r="BZ69" i="6"/>
  <c r="BW80" i="6"/>
  <c r="BW81" i="6" s="1"/>
  <c r="BW29" i="14" s="1"/>
  <c r="AQ56" i="12" l="1"/>
  <c r="AQ59" i="12" s="1"/>
  <c r="AP34" i="14"/>
  <c r="AF47" i="9"/>
  <c r="AX25" i="13"/>
  <c r="AX57" i="12"/>
  <c r="AX23" i="8"/>
  <c r="AX24" i="11" s="1"/>
  <c r="AY22" i="8"/>
  <c r="AY23" i="11" s="1"/>
  <c r="AW86" i="8"/>
  <c r="D47" i="16" s="1"/>
  <c r="S69" i="12"/>
  <c r="R19" i="14"/>
  <c r="R21" i="14" s="1"/>
  <c r="AW24" i="8"/>
  <c r="S29" i="11"/>
  <c r="S109" i="8"/>
  <c r="R27" i="13"/>
  <c r="R28" i="13" s="1"/>
  <c r="R32" i="10"/>
  <c r="R64" i="12" s="1"/>
  <c r="R65" i="12" s="1"/>
  <c r="S11" i="9"/>
  <c r="BX78" i="6"/>
  <c r="BW83" i="6"/>
  <c r="BW88" i="6" s="1"/>
  <c r="BW89" i="6" s="1"/>
  <c r="BW13" i="11" s="1"/>
  <c r="BZ71" i="6"/>
  <c r="BZ72" i="6" s="1"/>
  <c r="BZ18" i="14" s="1"/>
  <c r="AQ34" i="14" l="1"/>
  <c r="AR56" i="12"/>
  <c r="AR59" i="12" s="1"/>
  <c r="S120" i="8"/>
  <c r="S121" i="8" s="1"/>
  <c r="S124" i="8" s="1"/>
  <c r="S16" i="12"/>
  <c r="AX24" i="8"/>
  <c r="AX86" i="8"/>
  <c r="D48" i="16" s="1"/>
  <c r="AY25" i="13"/>
  <c r="AY57" i="12"/>
  <c r="AY23" i="8"/>
  <c r="AZ22" i="8"/>
  <c r="AZ23" i="11" s="1"/>
  <c r="S17" i="9"/>
  <c r="S22" i="9" s="1"/>
  <c r="S16" i="9"/>
  <c r="S21" i="9"/>
  <c r="R33" i="14"/>
  <c r="R36" i="14" s="1"/>
  <c r="R39" i="14" s="1"/>
  <c r="R41" i="14" s="1"/>
  <c r="S63" i="12"/>
  <c r="R36" i="1"/>
  <c r="R77" i="13"/>
  <c r="R78" i="13"/>
  <c r="AG41" i="9"/>
  <c r="AF14" i="14"/>
  <c r="BW30" i="7"/>
  <c r="BW18" i="13"/>
  <c r="BZ74" i="6"/>
  <c r="BZ87" i="6" s="1"/>
  <c r="CA69" i="6"/>
  <c r="BX80" i="6"/>
  <c r="BX81" i="6" s="1"/>
  <c r="BX29" i="14" s="1"/>
  <c r="AY24" i="8" l="1"/>
  <c r="AY24" i="11"/>
  <c r="AR34" i="14"/>
  <c r="AS56" i="12"/>
  <c r="AS59" i="12" s="1"/>
  <c r="S23" i="9"/>
  <c r="S27" i="9" s="1"/>
  <c r="S25" i="10" s="1"/>
  <c r="S27" i="7" s="1"/>
  <c r="S31" i="7" s="1"/>
  <c r="S34" i="7" s="1"/>
  <c r="AG46" i="9"/>
  <c r="AG16" i="10" s="1"/>
  <c r="AG18" i="10" s="1"/>
  <c r="AZ57" i="12"/>
  <c r="AZ25" i="13"/>
  <c r="AZ23" i="8"/>
  <c r="AZ24" i="11" s="1"/>
  <c r="BA22" i="8"/>
  <c r="BA23" i="11" s="1"/>
  <c r="R45" i="1"/>
  <c r="R38" i="1"/>
  <c r="AY86" i="8"/>
  <c r="D49" i="16" s="1"/>
  <c r="S18" i="9"/>
  <c r="T15" i="9" s="1"/>
  <c r="S38" i="11"/>
  <c r="BX83" i="6"/>
  <c r="BX88" i="6" s="1"/>
  <c r="BX89" i="6" s="1"/>
  <c r="BX13" i="11" s="1"/>
  <c r="BY78" i="6"/>
  <c r="CA71" i="6"/>
  <c r="CA72" i="6" s="1"/>
  <c r="CA18" i="14" s="1"/>
  <c r="S27" i="10" l="1"/>
  <c r="S26" i="12" s="1"/>
  <c r="S27" i="12" s="1"/>
  <c r="S12" i="11"/>
  <c r="S15" i="11" s="1"/>
  <c r="S21" i="11" s="1"/>
  <c r="S26" i="11" s="1"/>
  <c r="S17" i="13"/>
  <c r="S19" i="13" s="1"/>
  <c r="S64" i="13" s="1"/>
  <c r="AT56" i="12"/>
  <c r="AT59" i="12" s="1"/>
  <c r="AS34" i="14"/>
  <c r="BA57" i="12"/>
  <c r="BA23" i="8"/>
  <c r="BA24" i="11" s="1"/>
  <c r="BA25" i="13"/>
  <c r="BB22" i="8"/>
  <c r="BB23" i="11" s="1"/>
  <c r="AZ24" i="8"/>
  <c r="AZ86" i="8"/>
  <c r="D50" i="16" s="1"/>
  <c r="AG47" i="9"/>
  <c r="BX30" i="7"/>
  <c r="BX18" i="13"/>
  <c r="CA74" i="6"/>
  <c r="CA87" i="6" s="1"/>
  <c r="CB69" i="6"/>
  <c r="BY80" i="6"/>
  <c r="BY81" i="6" s="1"/>
  <c r="BY29" i="14" s="1"/>
  <c r="S15" i="12" l="1"/>
  <c r="S19" i="12" s="1"/>
  <c r="S84" i="1"/>
  <c r="S28" i="10"/>
  <c r="S13" i="15"/>
  <c r="S23" i="15" s="1"/>
  <c r="S25" i="15" s="1"/>
  <c r="S32" i="11"/>
  <c r="S94" i="8" s="1"/>
  <c r="S95" i="8" s="1"/>
  <c r="AU56" i="12"/>
  <c r="AU59" i="12" s="1"/>
  <c r="AT34" i="14"/>
  <c r="BB25" i="13"/>
  <c r="BB57" i="12"/>
  <c r="BB23" i="8"/>
  <c r="BB24" i="11" s="1"/>
  <c r="BC22" i="8"/>
  <c r="BC23" i="11" s="1"/>
  <c r="BA24" i="8"/>
  <c r="BA86" i="8"/>
  <c r="S45" i="12"/>
  <c r="AH41" i="9"/>
  <c r="AG14" i="14"/>
  <c r="BY83" i="6"/>
  <c r="BY88" i="6" s="1"/>
  <c r="BY89" i="6" s="1"/>
  <c r="BY13" i="11" s="1"/>
  <c r="BZ78" i="6"/>
  <c r="CB71" i="6"/>
  <c r="CB72" i="6" s="1"/>
  <c r="CB18" i="14" s="1"/>
  <c r="S21" i="12" l="1"/>
  <c r="S62" i="18"/>
  <c r="AV56" i="12"/>
  <c r="AV59" i="12" s="1"/>
  <c r="AU34" i="14"/>
  <c r="S88" i="8"/>
  <c r="S60" i="18" s="1"/>
  <c r="S34" i="11"/>
  <c r="S36" i="11" s="1"/>
  <c r="S128" i="8" s="1"/>
  <c r="S125" i="8" s="1"/>
  <c r="BB24" i="8"/>
  <c r="BB86" i="8"/>
  <c r="BC25" i="13"/>
  <c r="BC57" i="12"/>
  <c r="BC23" i="8"/>
  <c r="BC24" i="11" s="1"/>
  <c r="BD22" i="8"/>
  <c r="BD23" i="11" s="1"/>
  <c r="AH46" i="9"/>
  <c r="AH16" i="10" s="1"/>
  <c r="AH18" i="10" s="1"/>
  <c r="BY30" i="7"/>
  <c r="BY18" i="13"/>
  <c r="CB74" i="6"/>
  <c r="CB87" i="6" s="1"/>
  <c r="CC69" i="6"/>
  <c r="BZ80" i="6"/>
  <c r="BZ81" i="6" s="1"/>
  <c r="BZ29" i="14" s="1"/>
  <c r="AH47" i="9" l="1"/>
  <c r="AH14" i="14" s="1"/>
  <c r="AV34" i="14"/>
  <c r="AW56" i="12"/>
  <c r="AW59" i="12" s="1"/>
  <c r="BD23" i="8"/>
  <c r="BD57" i="12"/>
  <c r="BD25" i="13"/>
  <c r="BE22" i="8"/>
  <c r="BE23" i="11" s="1"/>
  <c r="BC24" i="8"/>
  <c r="BC86" i="8"/>
  <c r="S39" i="11"/>
  <c r="S42" i="11" s="1"/>
  <c r="S126" i="8"/>
  <c r="G17" i="16"/>
  <c r="S89" i="8"/>
  <c r="CC71" i="6"/>
  <c r="CC72" i="6" s="1"/>
  <c r="CC18" i="14" s="1"/>
  <c r="BZ83" i="6"/>
  <c r="BZ88" i="6" s="1"/>
  <c r="BZ89" i="6" s="1"/>
  <c r="BZ13" i="11" s="1"/>
  <c r="CA78" i="6"/>
  <c r="BD24" i="8" l="1"/>
  <c r="BD24" i="11"/>
  <c r="AI41" i="9"/>
  <c r="AX56" i="12"/>
  <c r="AX59" i="12" s="1"/>
  <c r="AW34" i="14"/>
  <c r="BE57" i="12"/>
  <c r="BE25" i="13"/>
  <c r="BE23" i="8"/>
  <c r="BF22" i="8"/>
  <c r="BF23" i="11" s="1"/>
  <c r="T123" i="8"/>
  <c r="S28" i="14"/>
  <c r="S44" i="11"/>
  <c r="S36" i="12" s="1"/>
  <c r="S37" i="12" s="1"/>
  <c r="BD86" i="8"/>
  <c r="AI46" i="9"/>
  <c r="AI16" i="10" s="1"/>
  <c r="AI18" i="10" s="1"/>
  <c r="S27" i="14"/>
  <c r="S80" i="1" s="1"/>
  <c r="S45" i="13"/>
  <c r="T85" i="8"/>
  <c r="BZ30" i="7"/>
  <c r="BZ18" i="13"/>
  <c r="CC74" i="6"/>
  <c r="CC87" i="6" s="1"/>
  <c r="CD69" i="6"/>
  <c r="CA80" i="6"/>
  <c r="CA81" i="6" s="1"/>
  <c r="CA29" i="14" s="1"/>
  <c r="BE24" i="8" l="1"/>
  <c r="BE24" i="11"/>
  <c r="AX34" i="14"/>
  <c r="AY56" i="12"/>
  <c r="AY59" i="12" s="1"/>
  <c r="S46" i="12"/>
  <c r="S48" i="12" s="1"/>
  <c r="S50" i="12" s="1"/>
  <c r="T130" i="8"/>
  <c r="T138" i="8"/>
  <c r="T21" i="10" s="1"/>
  <c r="T40" i="11" s="1"/>
  <c r="T87" i="8"/>
  <c r="T59" i="18" s="1"/>
  <c r="T103" i="8"/>
  <c r="T108" i="8" s="1"/>
  <c r="T61" i="18" s="1"/>
  <c r="BF25" i="13"/>
  <c r="BF57" i="12"/>
  <c r="BF23" i="8"/>
  <c r="BF24" i="11" s="1"/>
  <c r="BG22" i="8"/>
  <c r="BG23" i="11" s="1"/>
  <c r="BE86" i="8"/>
  <c r="AI47" i="9"/>
  <c r="S58" i="12"/>
  <c r="S26" i="13"/>
  <c r="CB78" i="6"/>
  <c r="CA83" i="6"/>
  <c r="CA88" i="6" s="1"/>
  <c r="CA89" i="6" s="1"/>
  <c r="CA13" i="11" s="1"/>
  <c r="CD71" i="6"/>
  <c r="CD72" i="6" s="1"/>
  <c r="CD18" i="14" s="1"/>
  <c r="AZ56" i="12" l="1"/>
  <c r="AZ59" i="12" s="1"/>
  <c r="AY34" i="14"/>
  <c r="BG25" i="13"/>
  <c r="BG57" i="12"/>
  <c r="BG23" i="8"/>
  <c r="BH22" i="8"/>
  <c r="BH23" i="11" s="1"/>
  <c r="BF24" i="8"/>
  <c r="BF86" i="8"/>
  <c r="AJ41" i="9"/>
  <c r="AI14" i="14"/>
  <c r="H18" i="16"/>
  <c r="T30" i="11"/>
  <c r="T20" i="10"/>
  <c r="T23" i="10" s="1"/>
  <c r="E18" i="16"/>
  <c r="T107" i="8"/>
  <c r="S29" i="12"/>
  <c r="S31" i="12" s="1"/>
  <c r="T25" i="12" s="1"/>
  <c r="S39" i="12"/>
  <c r="S41" i="12" s="1"/>
  <c r="T35" i="12" s="1"/>
  <c r="S46" i="11"/>
  <c r="S48" i="11" s="1"/>
  <c r="S70" i="12" s="1"/>
  <c r="S71" i="12" s="1"/>
  <c r="S30" i="10"/>
  <c r="CA30" i="7"/>
  <c r="CA18" i="13"/>
  <c r="CE69" i="6"/>
  <c r="CD74" i="6"/>
  <c r="CD87" i="6" s="1"/>
  <c r="CB80" i="6"/>
  <c r="CB81" i="6" s="1"/>
  <c r="CB29" i="14" s="1"/>
  <c r="BG24" i="8" l="1"/>
  <c r="BG24" i="11"/>
  <c r="AZ34" i="14"/>
  <c r="BA56" i="12"/>
  <c r="BA59" i="12" s="1"/>
  <c r="BH25" i="13"/>
  <c r="BH57" i="12"/>
  <c r="BH23" i="8"/>
  <c r="BI22" i="8"/>
  <c r="BI23" i="11" s="1"/>
  <c r="BG86" i="8"/>
  <c r="S27" i="13"/>
  <c r="S28" i="13" s="1"/>
  <c r="S32" i="10"/>
  <c r="S64" i="12" s="1"/>
  <c r="S65" i="12" s="1"/>
  <c r="AJ46" i="9"/>
  <c r="AJ16" i="10" s="1"/>
  <c r="AJ18" i="10" s="1"/>
  <c r="T109" i="8"/>
  <c r="T29" i="11"/>
  <c r="S19" i="14"/>
  <c r="S21" i="14" s="1"/>
  <c r="T69" i="12"/>
  <c r="T11" i="9"/>
  <c r="CB83" i="6"/>
  <c r="CB88" i="6" s="1"/>
  <c r="CB89" i="6" s="1"/>
  <c r="CB13" i="11" s="1"/>
  <c r="CC78" i="6"/>
  <c r="CE71" i="6"/>
  <c r="CE72" i="6" s="1"/>
  <c r="CE18" i="14" s="1"/>
  <c r="BH24" i="8" l="1"/>
  <c r="BH24" i="11"/>
  <c r="BA34" i="14"/>
  <c r="BB56" i="12"/>
  <c r="BB59" i="12" s="1"/>
  <c r="AJ47" i="9"/>
  <c r="BI25" i="13"/>
  <c r="BI57" i="12"/>
  <c r="BI23" i="8"/>
  <c r="BJ22" i="8"/>
  <c r="BJ23" i="11" s="1"/>
  <c r="T16" i="9"/>
  <c r="T17" i="9"/>
  <c r="T22" i="9" s="1"/>
  <c r="T21" i="9"/>
  <c r="S36" i="1"/>
  <c r="S77" i="13"/>
  <c r="S78" i="13"/>
  <c r="T16" i="12"/>
  <c r="T120" i="8"/>
  <c r="T121" i="8" s="1"/>
  <c r="T124" i="8" s="1"/>
  <c r="BH86" i="8"/>
  <c r="T63" i="12"/>
  <c r="S33" i="14"/>
  <c r="S36" i="14" s="1"/>
  <c r="S39" i="14" s="1"/>
  <c r="S41" i="14" s="1"/>
  <c r="CB30" i="7"/>
  <c r="CB18" i="13"/>
  <c r="CE74" i="6"/>
  <c r="CE87" i="6" s="1"/>
  <c r="CF69" i="6"/>
  <c r="CC80" i="6"/>
  <c r="CC81" i="6" s="1"/>
  <c r="CC29" i="14" s="1"/>
  <c r="BI24" i="8" l="1"/>
  <c r="BI24" i="11"/>
  <c r="T18" i="9"/>
  <c r="U15" i="9" s="1"/>
  <c r="T23" i="9"/>
  <c r="T27" i="9" s="1"/>
  <c r="T25" i="10" s="1"/>
  <c r="T17" i="13" s="1"/>
  <c r="T19" i="13" s="1"/>
  <c r="T64" i="13" s="1"/>
  <c r="BC56" i="12"/>
  <c r="BC59" i="12" s="1"/>
  <c r="BB34" i="14"/>
  <c r="T38" i="11"/>
  <c r="BJ25" i="13"/>
  <c r="BJ57" i="12"/>
  <c r="BJ23" i="8"/>
  <c r="BJ24" i="11" s="1"/>
  <c r="BK22" i="8"/>
  <c r="BK23" i="11" s="1"/>
  <c r="S45" i="1"/>
  <c r="S38" i="1"/>
  <c r="BI86" i="8"/>
  <c r="AK41" i="9"/>
  <c r="AJ14" i="14"/>
  <c r="CC83" i="6"/>
  <c r="CC88" i="6" s="1"/>
  <c r="CC89" i="6" s="1"/>
  <c r="CC13" i="11" s="1"/>
  <c r="CD78" i="6"/>
  <c r="CF71" i="6"/>
  <c r="CF72" i="6" s="1"/>
  <c r="CF18" i="14" s="1"/>
  <c r="T12" i="11" l="1"/>
  <c r="T15" i="11" s="1"/>
  <c r="T21" i="11" s="1"/>
  <c r="T26" i="11" s="1"/>
  <c r="T27" i="7"/>
  <c r="T31" i="7" s="1"/>
  <c r="T34" i="7" s="1"/>
  <c r="T27" i="10"/>
  <c r="T28" i="10" s="1"/>
  <c r="BD56" i="12"/>
  <c r="BD59" i="12" s="1"/>
  <c r="BC34" i="14"/>
  <c r="BK57" i="12"/>
  <c r="BK23" i="8"/>
  <c r="BK24" i="11" s="1"/>
  <c r="BK25" i="13"/>
  <c r="BL22" i="8"/>
  <c r="BL23" i="11" s="1"/>
  <c r="BJ24" i="8"/>
  <c r="BJ86" i="8"/>
  <c r="AK46" i="9"/>
  <c r="AK16" i="10" s="1"/>
  <c r="AK18" i="10" s="1"/>
  <c r="CC30" i="7"/>
  <c r="CC18" i="13"/>
  <c r="CF74" i="6"/>
  <c r="CF87" i="6" s="1"/>
  <c r="CG69" i="6"/>
  <c r="CD80" i="6"/>
  <c r="CD81" i="6" s="1"/>
  <c r="CD29" i="14" s="1"/>
  <c r="T13" i="15" l="1"/>
  <c r="T23" i="15" s="1"/>
  <c r="T25" i="15" s="1"/>
  <c r="T84" i="1"/>
  <c r="T15" i="12"/>
  <c r="T19" i="12" s="1"/>
  <c r="T32" i="11"/>
  <c r="T94" i="8" s="1"/>
  <c r="T95" i="8" s="1"/>
  <c r="T26" i="12"/>
  <c r="T27" i="12" s="1"/>
  <c r="T45" i="12" s="1"/>
  <c r="BE56" i="12"/>
  <c r="BE59" i="12" s="1"/>
  <c r="BD34" i="14"/>
  <c r="BL57" i="12"/>
  <c r="BL25" i="13"/>
  <c r="BL23" i="8"/>
  <c r="BM22" i="8"/>
  <c r="BM23" i="11" s="1"/>
  <c r="BK24" i="8"/>
  <c r="BK86" i="8"/>
  <c r="AK47" i="9"/>
  <c r="CD83" i="6"/>
  <c r="CD88" i="6" s="1"/>
  <c r="CD89" i="6" s="1"/>
  <c r="CD13" i="11" s="1"/>
  <c r="CE78" i="6"/>
  <c r="CG71" i="6"/>
  <c r="CG72" i="6" s="1"/>
  <c r="CG18" i="14" s="1"/>
  <c r="BL24" i="8" l="1"/>
  <c r="BL24" i="11"/>
  <c r="T21" i="12"/>
  <c r="T62" i="18"/>
  <c r="BF56" i="12"/>
  <c r="BF59" i="12" s="1"/>
  <c r="BE34" i="14"/>
  <c r="T88" i="8"/>
  <c r="T60" i="18" s="1"/>
  <c r="T34" i="11"/>
  <c r="T36" i="11" s="1"/>
  <c r="T128" i="8" s="1"/>
  <c r="T125" i="8" s="1"/>
  <c r="AK14" i="14"/>
  <c r="AL41" i="9"/>
  <c r="BL86" i="8"/>
  <c r="BM23" i="8"/>
  <c r="BM24" i="11" s="1"/>
  <c r="BM25" i="13"/>
  <c r="BM57" i="12"/>
  <c r="BN22" i="8"/>
  <c r="BN23" i="11" s="1"/>
  <c r="CD30" i="7"/>
  <c r="CD18" i="13"/>
  <c r="CG74" i="6"/>
  <c r="CG87" i="6" s="1"/>
  <c r="CH69" i="6"/>
  <c r="CE80" i="6"/>
  <c r="CE81" i="6" s="1"/>
  <c r="CE29" i="14" s="1"/>
  <c r="BF34" i="14" l="1"/>
  <c r="BG56" i="12"/>
  <c r="BG59" i="12" s="1"/>
  <c r="BN57" i="12"/>
  <c r="BN25" i="13"/>
  <c r="BN23" i="8"/>
  <c r="BN24" i="11" s="1"/>
  <c r="BO22" i="8"/>
  <c r="BO23" i="11" s="1"/>
  <c r="AL46" i="9"/>
  <c r="AL16" i="10" s="1"/>
  <c r="AL18" i="10" s="1"/>
  <c r="BM86" i="8"/>
  <c r="T39" i="11"/>
  <c r="T42" i="11" s="1"/>
  <c r="T126" i="8"/>
  <c r="BM24" i="8"/>
  <c r="G18" i="16"/>
  <c r="T89" i="8"/>
  <c r="CF78" i="6"/>
  <c r="CE83" i="6"/>
  <c r="CE88" i="6" s="1"/>
  <c r="CE89" i="6" s="1"/>
  <c r="CE13" i="11" s="1"/>
  <c r="CH71" i="6"/>
  <c r="CH72" i="6" s="1"/>
  <c r="CH18" i="14" s="1"/>
  <c r="BH56" i="12" l="1"/>
  <c r="BH59" i="12" s="1"/>
  <c r="BG34" i="14"/>
  <c r="T27" i="14"/>
  <c r="T80" i="1" s="1"/>
  <c r="U85" i="8"/>
  <c r="T45" i="13"/>
  <c r="T28" i="14"/>
  <c r="U123" i="8"/>
  <c r="T44" i="11"/>
  <c r="BN24" i="8"/>
  <c r="BN86" i="8"/>
  <c r="BO57" i="12"/>
  <c r="BO23" i="8"/>
  <c r="BO24" i="11" s="1"/>
  <c r="BO25" i="13"/>
  <c r="BP22" i="8"/>
  <c r="BP23" i="11" s="1"/>
  <c r="AL47" i="9"/>
  <c r="CE30" i="7"/>
  <c r="CE18" i="13"/>
  <c r="CH74" i="6"/>
  <c r="CH87" i="6" s="1"/>
  <c r="CI69" i="6"/>
  <c r="CF80" i="6"/>
  <c r="CF81" i="6" s="1"/>
  <c r="CF29" i="14" s="1"/>
  <c r="BI56" i="12" l="1"/>
  <c r="BI59" i="12" s="1"/>
  <c r="BH34" i="14"/>
  <c r="T58" i="12"/>
  <c r="T26" i="13"/>
  <c r="U130" i="8"/>
  <c r="U138" i="8"/>
  <c r="U21" i="10" s="1"/>
  <c r="U40" i="11" s="1"/>
  <c r="AL14" i="14"/>
  <c r="AM41" i="9"/>
  <c r="BO86" i="8"/>
  <c r="U103" i="8"/>
  <c r="U108" i="8" s="1"/>
  <c r="U61" i="18" s="1"/>
  <c r="U87" i="8"/>
  <c r="U59" i="18" s="1"/>
  <c r="BP57" i="12"/>
  <c r="BP25" i="13"/>
  <c r="BP23" i="8"/>
  <c r="BP24" i="11" s="1"/>
  <c r="BQ22" i="8"/>
  <c r="BQ23" i="11" s="1"/>
  <c r="BO24" i="8"/>
  <c r="T36" i="12"/>
  <c r="T37" i="12" s="1"/>
  <c r="CF83" i="6"/>
  <c r="CF88" i="6" s="1"/>
  <c r="CF89" i="6" s="1"/>
  <c r="CF13" i="11" s="1"/>
  <c r="CG78" i="6"/>
  <c r="CI71" i="6"/>
  <c r="CI72" i="6" s="1"/>
  <c r="CI18" i="14" s="1"/>
  <c r="BI34" i="14" l="1"/>
  <c r="BJ56" i="12"/>
  <c r="BJ59" i="12" s="1"/>
  <c r="T46" i="12"/>
  <c r="T48" i="12" s="1"/>
  <c r="T50" i="12" s="1"/>
  <c r="E19" i="16"/>
  <c r="U107" i="8"/>
  <c r="H19" i="16"/>
  <c r="U30" i="11"/>
  <c r="U20" i="10"/>
  <c r="U23" i="10" s="1"/>
  <c r="BQ57" i="12"/>
  <c r="BQ25" i="13"/>
  <c r="BQ23" i="8"/>
  <c r="BQ24" i="11" s="1"/>
  <c r="BR22" i="8"/>
  <c r="BR23" i="11" s="1"/>
  <c r="BP24" i="8"/>
  <c r="BP86" i="8"/>
  <c r="AM46" i="9"/>
  <c r="AM16" i="10" s="1"/>
  <c r="AM18" i="10" s="1"/>
  <c r="CF30" i="7"/>
  <c r="CF18" i="13"/>
  <c r="CI74" i="6"/>
  <c r="CI87" i="6" s="1"/>
  <c r="CJ69" i="6"/>
  <c r="CG80" i="6"/>
  <c r="CG81" i="6" s="1"/>
  <c r="CG29" i="14" s="1"/>
  <c r="BJ34" i="14" l="1"/>
  <c r="BK56" i="12"/>
  <c r="BK59" i="12" s="1"/>
  <c r="AM47" i="9"/>
  <c r="AM14" i="14" s="1"/>
  <c r="BR57" i="12"/>
  <c r="BR25" i="13"/>
  <c r="BR23" i="8"/>
  <c r="BS22" i="8"/>
  <c r="BS23" i="11" s="1"/>
  <c r="U29" i="11"/>
  <c r="U109" i="8"/>
  <c r="U11" i="9"/>
  <c r="BQ24" i="8"/>
  <c r="BQ86" i="8"/>
  <c r="AN41" i="9"/>
  <c r="T30" i="10"/>
  <c r="T46" i="11"/>
  <c r="T48" i="11" s="1"/>
  <c r="T70" i="12" s="1"/>
  <c r="T71" i="12" s="1"/>
  <c r="T39" i="12"/>
  <c r="T41" i="12" s="1"/>
  <c r="U35" i="12" s="1"/>
  <c r="T29" i="12"/>
  <c r="T31" i="12" s="1"/>
  <c r="U25" i="12" s="1"/>
  <c r="CH78" i="6"/>
  <c r="CG83" i="6"/>
  <c r="CG88" i="6" s="1"/>
  <c r="CG89" i="6" s="1"/>
  <c r="CG13" i="11" s="1"/>
  <c r="CJ71" i="6"/>
  <c r="CJ72" i="6" s="1"/>
  <c r="CJ18" i="14" s="1"/>
  <c r="BR24" i="8" l="1"/>
  <c r="BR24" i="11"/>
  <c r="BL56" i="12"/>
  <c r="BL59" i="12" s="1"/>
  <c r="BK34" i="14"/>
  <c r="U120" i="8"/>
  <c r="U121" i="8" s="1"/>
  <c r="U124" i="8" s="1"/>
  <c r="U16" i="12"/>
  <c r="BR86" i="8"/>
  <c r="U69" i="12"/>
  <c r="T19" i="14"/>
  <c r="T21" i="14" s="1"/>
  <c r="BS25" i="13"/>
  <c r="BS57" i="12"/>
  <c r="BS23" i="8"/>
  <c r="BT22" i="8"/>
  <c r="BT23" i="11" s="1"/>
  <c r="T27" i="13"/>
  <c r="T28" i="13" s="1"/>
  <c r="T32" i="10"/>
  <c r="T64" i="12" s="1"/>
  <c r="T65" i="12" s="1"/>
  <c r="AN46" i="9"/>
  <c r="AN16" i="10" s="1"/>
  <c r="AN18" i="10" s="1"/>
  <c r="U21" i="9"/>
  <c r="U17" i="9"/>
  <c r="U22" i="9" s="1"/>
  <c r="U16" i="9"/>
  <c r="CG30" i="7"/>
  <c r="CG18" i="13"/>
  <c r="CJ74" i="6"/>
  <c r="CJ87" i="6" s="1"/>
  <c r="CK69" i="6"/>
  <c r="CH80" i="6"/>
  <c r="CH81" i="6" s="1"/>
  <c r="CH29" i="14" s="1"/>
  <c r="BS24" i="8" l="1"/>
  <c r="BS24" i="11"/>
  <c r="U18" i="9"/>
  <c r="V15" i="9" s="1"/>
  <c r="BM56" i="12"/>
  <c r="BM59" i="12" s="1"/>
  <c r="BL34" i="14"/>
  <c r="T36" i="1"/>
  <c r="T77" i="13"/>
  <c r="T78" i="13"/>
  <c r="BT57" i="12"/>
  <c r="BT23" i="8"/>
  <c r="BT24" i="11" s="1"/>
  <c r="BT25" i="13"/>
  <c r="BU22" i="8"/>
  <c r="BU23" i="11" s="1"/>
  <c r="U23" i="9"/>
  <c r="U27" i="9" s="1"/>
  <c r="U25" i="10" s="1"/>
  <c r="BS86" i="8"/>
  <c r="U63" i="12"/>
  <c r="T33" i="14"/>
  <c r="T36" i="14" s="1"/>
  <c r="T39" i="14" s="1"/>
  <c r="T41" i="14" s="1"/>
  <c r="AN47" i="9"/>
  <c r="U38" i="11"/>
  <c r="CH83" i="6"/>
  <c r="CH88" i="6" s="1"/>
  <c r="CH89" i="6" s="1"/>
  <c r="CH13" i="11" s="1"/>
  <c r="CI78" i="6"/>
  <c r="CK71" i="6"/>
  <c r="CK72" i="6" s="1"/>
  <c r="CK18" i="14" s="1"/>
  <c r="BM34" i="14" l="1"/>
  <c r="BN56" i="12"/>
  <c r="BN59" i="12" s="1"/>
  <c r="U27" i="7"/>
  <c r="U31" i="7" s="1"/>
  <c r="U34" i="7" s="1"/>
  <c r="U12" i="11"/>
  <c r="U15" i="11" s="1"/>
  <c r="U21" i="11" s="1"/>
  <c r="U26" i="11" s="1"/>
  <c r="U84" i="1" s="1"/>
  <c r="U17" i="13"/>
  <c r="U19" i="13" s="1"/>
  <c r="U64" i="13" s="1"/>
  <c r="U27" i="10"/>
  <c r="BT86" i="8"/>
  <c r="AO41" i="9"/>
  <c r="AN14" i="14"/>
  <c r="BT24" i="8"/>
  <c r="BU25" i="13"/>
  <c r="BU57" i="12"/>
  <c r="BU23" i="8"/>
  <c r="BU24" i="11" s="1"/>
  <c r="BV22" i="8"/>
  <c r="BV23" i="11" s="1"/>
  <c r="T45" i="1"/>
  <c r="T38" i="1"/>
  <c r="CH30" i="7"/>
  <c r="CH18" i="13"/>
  <c r="CK74" i="6"/>
  <c r="CK87" i="6" s="1"/>
  <c r="CL69" i="6"/>
  <c r="CI80" i="6"/>
  <c r="CI81" i="6" s="1"/>
  <c r="CI29" i="14" s="1"/>
  <c r="BN34" i="14" l="1"/>
  <c r="BO56" i="12"/>
  <c r="BO59" i="12" s="1"/>
  <c r="BV25" i="13"/>
  <c r="BV57" i="12"/>
  <c r="BV23" i="8"/>
  <c r="BW22" i="8"/>
  <c r="BW23" i="11" s="1"/>
  <c r="BU24" i="8"/>
  <c r="BU86" i="8"/>
  <c r="U28" i="10"/>
  <c r="U26" i="12"/>
  <c r="U27" i="12" s="1"/>
  <c r="U45" i="12" s="1"/>
  <c r="AO46" i="9"/>
  <c r="AO16" i="10" s="1"/>
  <c r="AO18" i="10" s="1"/>
  <c r="U13" i="15"/>
  <c r="U23" i="15" s="1"/>
  <c r="U25" i="15" s="1"/>
  <c r="U32" i="11"/>
  <c r="U94" i="8" s="1"/>
  <c r="U95" i="8" s="1"/>
  <c r="U15" i="12"/>
  <c r="U19" i="12" s="1"/>
  <c r="CI83" i="6"/>
  <c r="CI88" i="6" s="1"/>
  <c r="CI89" i="6" s="1"/>
  <c r="CI13" i="11" s="1"/>
  <c r="CJ78" i="6"/>
  <c r="CL71" i="6"/>
  <c r="CL72" i="6" s="1"/>
  <c r="CL18" i="14" s="1"/>
  <c r="BV24" i="8" l="1"/>
  <c r="BV24" i="11"/>
  <c r="U21" i="12"/>
  <c r="U62" i="18"/>
  <c r="AO47" i="9"/>
  <c r="AP41" i="9" s="1"/>
  <c r="BP56" i="12"/>
  <c r="BP59" i="12" s="1"/>
  <c r="BO34" i="14"/>
  <c r="BV86" i="8"/>
  <c r="BW25" i="13"/>
  <c r="BW57" i="12"/>
  <c r="BW23" i="8"/>
  <c r="BW24" i="11" s="1"/>
  <c r="BX22" i="8"/>
  <c r="BX23" i="11" s="1"/>
  <c r="U34" i="11"/>
  <c r="U36" i="11" s="1"/>
  <c r="U128" i="8" s="1"/>
  <c r="U125" i="8" s="1"/>
  <c r="U88" i="8"/>
  <c r="U60" i="18" s="1"/>
  <c r="CI30" i="7"/>
  <c r="CI18" i="13"/>
  <c r="CL74" i="6"/>
  <c r="CL87" i="6" s="1"/>
  <c r="CM69" i="6"/>
  <c r="CJ80" i="6"/>
  <c r="CJ81" i="6" s="1"/>
  <c r="CJ29" i="14" s="1"/>
  <c r="AO14" i="14" l="1"/>
  <c r="BP34" i="14"/>
  <c r="BQ56" i="12"/>
  <c r="BQ59" i="12" s="1"/>
  <c r="U39" i="11"/>
  <c r="U42" i="11" s="1"/>
  <c r="U126" i="8"/>
  <c r="BW86" i="8"/>
  <c r="G19" i="16"/>
  <c r="U89" i="8"/>
  <c r="AP46" i="9"/>
  <c r="AP16" i="10" s="1"/>
  <c r="AP18" i="10" s="1"/>
  <c r="BX57" i="12"/>
  <c r="BX23" i="8"/>
  <c r="BX25" i="13"/>
  <c r="BY22" i="8"/>
  <c r="BY23" i="11" s="1"/>
  <c r="BW24" i="8"/>
  <c r="CJ83" i="6"/>
  <c r="CJ88" i="6" s="1"/>
  <c r="CJ89" i="6" s="1"/>
  <c r="CJ13" i="11" s="1"/>
  <c r="CK78" i="6"/>
  <c r="CM71" i="6"/>
  <c r="CM72" i="6" s="1"/>
  <c r="CM18" i="14" s="1"/>
  <c r="BX24" i="8" l="1"/>
  <c r="BX24" i="11"/>
  <c r="AP47" i="9"/>
  <c r="AP14" i="14" s="1"/>
  <c r="BQ34" i="14"/>
  <c r="BR56" i="12"/>
  <c r="BR59" i="12" s="1"/>
  <c r="BY57" i="12"/>
  <c r="BY25" i="13"/>
  <c r="BY23" i="8"/>
  <c r="BZ22" i="8"/>
  <c r="BZ23" i="11" s="1"/>
  <c r="U27" i="14"/>
  <c r="U80" i="1" s="1"/>
  <c r="V85" i="8"/>
  <c r="U45" i="13"/>
  <c r="BX86" i="8"/>
  <c r="V123" i="8"/>
  <c r="U28" i="14"/>
  <c r="U44" i="11"/>
  <c r="U36" i="12" s="1"/>
  <c r="U37" i="12" s="1"/>
  <c r="U46" i="12" s="1"/>
  <c r="U48" i="12" s="1"/>
  <c r="U50" i="12" s="1"/>
  <c r="CJ30" i="7"/>
  <c r="CJ18" i="13"/>
  <c r="CM74" i="6"/>
  <c r="CM87" i="6" s="1"/>
  <c r="CN69" i="6"/>
  <c r="CK80" i="6"/>
  <c r="CK81" i="6" s="1"/>
  <c r="CK29" i="14" s="1"/>
  <c r="BY24" i="8" l="1"/>
  <c r="BY24" i="11"/>
  <c r="AQ41" i="9"/>
  <c r="AQ46" i="9" s="1"/>
  <c r="AQ16" i="10" s="1"/>
  <c r="AQ18" i="10" s="1"/>
  <c r="BS56" i="12"/>
  <c r="BS59" i="12" s="1"/>
  <c r="BR34" i="14"/>
  <c r="U30" i="10"/>
  <c r="U46" i="11"/>
  <c r="U48" i="11" s="1"/>
  <c r="U70" i="12" s="1"/>
  <c r="U71" i="12" s="1"/>
  <c r="U29" i="12"/>
  <c r="U31" i="12" s="1"/>
  <c r="V25" i="12" s="1"/>
  <c r="U39" i="12"/>
  <c r="U41" i="12" s="1"/>
  <c r="V35" i="12" s="1"/>
  <c r="V138" i="8"/>
  <c r="V21" i="10" s="1"/>
  <c r="V40" i="11" s="1"/>
  <c r="V130" i="8"/>
  <c r="BY86" i="8"/>
  <c r="BZ25" i="13"/>
  <c r="BZ57" i="12"/>
  <c r="BZ23" i="8"/>
  <c r="BZ24" i="11" s="1"/>
  <c r="CA22" i="8"/>
  <c r="CA23" i="11" s="1"/>
  <c r="U58" i="12"/>
  <c r="U26" i="13"/>
  <c r="V103" i="8"/>
  <c r="V108" i="8" s="1"/>
  <c r="V61" i="18" s="1"/>
  <c r="V87" i="8"/>
  <c r="V59" i="18" s="1"/>
  <c r="CL78" i="6"/>
  <c r="CK83" i="6"/>
  <c r="CK88" i="6" s="1"/>
  <c r="CK89" i="6" s="1"/>
  <c r="CK13" i="11" s="1"/>
  <c r="CN71" i="6"/>
  <c r="CN72" i="6" s="1"/>
  <c r="CN18" i="14" s="1"/>
  <c r="BT56" i="12" l="1"/>
  <c r="BT59" i="12" s="1"/>
  <c r="BS34" i="14"/>
  <c r="CA25" i="13"/>
  <c r="CA23" i="8"/>
  <c r="CA57" i="12"/>
  <c r="CB22" i="8"/>
  <c r="CB23" i="11" s="1"/>
  <c r="BZ24" i="8"/>
  <c r="BZ86" i="8"/>
  <c r="V107" i="8"/>
  <c r="E20" i="16"/>
  <c r="AQ47" i="9"/>
  <c r="H20" i="16"/>
  <c r="V20" i="10"/>
  <c r="V23" i="10" s="1"/>
  <c r="V30" i="11"/>
  <c r="U19" i="14"/>
  <c r="U21" i="14" s="1"/>
  <c r="V69" i="12"/>
  <c r="U27" i="13"/>
  <c r="U28" i="13" s="1"/>
  <c r="U32" i="10"/>
  <c r="U64" i="12" s="1"/>
  <c r="U65" i="12" s="1"/>
  <c r="CK30" i="7"/>
  <c r="CK18" i="13"/>
  <c r="CN74" i="6"/>
  <c r="CN87" i="6" s="1"/>
  <c r="CO69" i="6"/>
  <c r="CL80" i="6"/>
  <c r="CL81" i="6" s="1"/>
  <c r="CL29" i="14" s="1"/>
  <c r="CA24" i="8" l="1"/>
  <c r="CA24" i="11"/>
  <c r="BT34" i="14"/>
  <c r="BU56" i="12"/>
  <c r="BU59" i="12" s="1"/>
  <c r="AR41" i="9"/>
  <c r="AQ14" i="14"/>
  <c r="U36" i="1"/>
  <c r="U77" i="13"/>
  <c r="U78" i="13"/>
  <c r="V29" i="11"/>
  <c r="V109" i="8"/>
  <c r="CB23" i="8"/>
  <c r="CB57" i="12"/>
  <c r="CB25" i="13"/>
  <c r="CC22" i="8"/>
  <c r="CC23" i="11" s="1"/>
  <c r="CA86" i="8"/>
  <c r="V63" i="12"/>
  <c r="U33" i="14"/>
  <c r="U36" i="14" s="1"/>
  <c r="U39" i="14" s="1"/>
  <c r="U41" i="14" s="1"/>
  <c r="V11" i="9"/>
  <c r="CL83" i="6"/>
  <c r="CL88" i="6" s="1"/>
  <c r="CL89" i="6" s="1"/>
  <c r="CL13" i="11" s="1"/>
  <c r="CM78" i="6"/>
  <c r="CO71" i="6"/>
  <c r="CO72" i="6" s="1"/>
  <c r="CO18" i="14" s="1"/>
  <c r="CB24" i="8" l="1"/>
  <c r="CB24" i="11"/>
  <c r="BV56" i="12"/>
  <c r="BV59" i="12" s="1"/>
  <c r="BU34" i="14"/>
  <c r="V16" i="12"/>
  <c r="V120" i="8"/>
  <c r="V121" i="8" s="1"/>
  <c r="V124" i="8" s="1"/>
  <c r="V21" i="9"/>
  <c r="V16" i="9"/>
  <c r="V17" i="9"/>
  <c r="V22" i="9" s="1"/>
  <c r="CC25" i="13"/>
  <c r="CC57" i="12"/>
  <c r="CC23" i="8"/>
  <c r="CD22" i="8"/>
  <c r="CD23" i="11" s="1"/>
  <c r="U45" i="1"/>
  <c r="U38" i="1"/>
  <c r="CB86" i="8"/>
  <c r="AR46" i="9"/>
  <c r="AR16" i="10" s="1"/>
  <c r="AR18" i="10" s="1"/>
  <c r="CL30" i="7"/>
  <c r="CL18" i="13"/>
  <c r="CO74" i="6"/>
  <c r="CO87" i="6" s="1"/>
  <c r="CP69" i="6"/>
  <c r="CM80" i="6"/>
  <c r="CM81" i="6" s="1"/>
  <c r="CM29" i="14" s="1"/>
  <c r="CC24" i="8" l="1"/>
  <c r="CC24" i="11"/>
  <c r="V23" i="9"/>
  <c r="V27" i="9" s="1"/>
  <c r="V25" i="10" s="1"/>
  <c r="V27" i="7" s="1"/>
  <c r="V31" i="7" s="1"/>
  <c r="V34" i="7" s="1"/>
  <c r="BW56" i="12"/>
  <c r="BW59" i="12" s="1"/>
  <c r="BV34" i="14"/>
  <c r="V18" i="9"/>
  <c r="W15" i="9" s="1"/>
  <c r="CD23" i="8"/>
  <c r="CD57" i="12"/>
  <c r="CD25" i="13"/>
  <c r="CE22" i="8"/>
  <c r="CE23" i="11" s="1"/>
  <c r="AR47" i="9"/>
  <c r="V38" i="11"/>
  <c r="CC86" i="8"/>
  <c r="CN78" i="6"/>
  <c r="CM83" i="6"/>
  <c r="CM88" i="6" s="1"/>
  <c r="CM89" i="6" s="1"/>
  <c r="CM13" i="11" s="1"/>
  <c r="CP71" i="6"/>
  <c r="CP72" i="6" s="1"/>
  <c r="CP18" i="14" s="1"/>
  <c r="CD24" i="8" l="1"/>
  <c r="CD24" i="11"/>
  <c r="V12" i="11"/>
  <c r="V15" i="11" s="1"/>
  <c r="V21" i="11" s="1"/>
  <c r="V26" i="11" s="1"/>
  <c r="V17" i="13"/>
  <c r="V19" i="13" s="1"/>
  <c r="V64" i="13" s="1"/>
  <c r="V27" i="10"/>
  <c r="V28" i="10" s="1"/>
  <c r="BX56" i="12"/>
  <c r="BX59" i="12" s="1"/>
  <c r="BW34" i="14"/>
  <c r="AR14" i="14"/>
  <c r="AS41" i="9"/>
  <c r="CE57" i="12"/>
  <c r="CE25" i="13"/>
  <c r="CE23" i="8"/>
  <c r="CE24" i="11" s="1"/>
  <c r="CF22" i="8"/>
  <c r="CF23" i="11" s="1"/>
  <c r="CD86" i="8"/>
  <c r="CM30" i="7"/>
  <c r="CM18" i="13"/>
  <c r="CP74" i="6"/>
  <c r="CP87" i="6" s="1"/>
  <c r="CQ69" i="6"/>
  <c r="CN80" i="6"/>
  <c r="CN81" i="6" s="1"/>
  <c r="CN29" i="14" s="1"/>
  <c r="V15" i="12" l="1"/>
  <c r="V19" i="12" s="1"/>
  <c r="V84" i="1"/>
  <c r="V32" i="11"/>
  <c r="V94" i="8" s="1"/>
  <c r="V95" i="8" s="1"/>
  <c r="V34" i="11" s="1"/>
  <c r="V36" i="11" s="1"/>
  <c r="V128" i="8" s="1"/>
  <c r="V125" i="8" s="1"/>
  <c r="V26" i="12"/>
  <c r="V27" i="12" s="1"/>
  <c r="V45" i="12" s="1"/>
  <c r="V13" i="15"/>
  <c r="V23" i="15" s="1"/>
  <c r="V25" i="15" s="1"/>
  <c r="BX34" i="14"/>
  <c r="BY56" i="12"/>
  <c r="BY59" i="12" s="1"/>
  <c r="CE86" i="8"/>
  <c r="CF57" i="12"/>
  <c r="CF25" i="13"/>
  <c r="CF23" i="8"/>
  <c r="CF24" i="11" s="1"/>
  <c r="CG22" i="8"/>
  <c r="CG23" i="11" s="1"/>
  <c r="AS46" i="9"/>
  <c r="AS16" i="10" s="1"/>
  <c r="AS18" i="10" s="1"/>
  <c r="CE24" i="8"/>
  <c r="CN83" i="6"/>
  <c r="CN88" i="6" s="1"/>
  <c r="CN89" i="6" s="1"/>
  <c r="CN13" i="11" s="1"/>
  <c r="CO78" i="6"/>
  <c r="CQ71" i="6"/>
  <c r="N71" i="6" s="1"/>
  <c r="V21" i="12" l="1"/>
  <c r="V62" i="18"/>
  <c r="V88" i="8"/>
  <c r="BY34" i="14"/>
  <c r="BZ56" i="12"/>
  <c r="BZ59" i="12" s="1"/>
  <c r="CF86" i="8"/>
  <c r="G20" i="16"/>
  <c r="V39" i="11"/>
  <c r="V42" i="11" s="1"/>
  <c r="V126" i="8"/>
  <c r="AS47" i="9"/>
  <c r="CG57" i="12"/>
  <c r="CG23" i="8"/>
  <c r="CG25" i="13"/>
  <c r="CH22" i="8"/>
  <c r="CH23" i="11" s="1"/>
  <c r="CF24" i="8"/>
  <c r="CN30" i="7"/>
  <c r="CN18" i="13"/>
  <c r="CQ72" i="6"/>
  <c r="CQ18" i="14" s="1"/>
  <c r="CO80" i="6"/>
  <c r="CO81" i="6" s="1"/>
  <c r="CO29" i="14" s="1"/>
  <c r="CG24" i="8" l="1"/>
  <c r="CG24" i="11"/>
  <c r="V89" i="8"/>
  <c r="V60" i="18"/>
  <c r="BZ34" i="14"/>
  <c r="CA56" i="12"/>
  <c r="CA59" i="12" s="1"/>
  <c r="AT41" i="9"/>
  <c r="AS14" i="14"/>
  <c r="V44" i="11"/>
  <c r="V36" i="12" s="1"/>
  <c r="V37" i="12" s="1"/>
  <c r="V46" i="12" s="1"/>
  <c r="V48" i="12" s="1"/>
  <c r="V50" i="12" s="1"/>
  <c r="CH57" i="12"/>
  <c r="CH25" i="13"/>
  <c r="CH23" i="8"/>
  <c r="CI22" i="8"/>
  <c r="CI23" i="11" s="1"/>
  <c r="V45" i="13"/>
  <c r="V27" i="14"/>
  <c r="V80" i="1" s="1"/>
  <c r="W85" i="8"/>
  <c r="V28" i="14"/>
  <c r="W123" i="8"/>
  <c r="CG86" i="8"/>
  <c r="CQ74" i="6"/>
  <c r="N74" i="6" s="1"/>
  <c r="CR69" i="6"/>
  <c r="CR71" i="6" s="1"/>
  <c r="CR72" i="6" s="1"/>
  <c r="CO83" i="6"/>
  <c r="CO88" i="6" s="1"/>
  <c r="CO89" i="6" s="1"/>
  <c r="CO13" i="11" s="1"/>
  <c r="CP78" i="6"/>
  <c r="CH24" i="8" l="1"/>
  <c r="CH24" i="11"/>
  <c r="CB56" i="12"/>
  <c r="CB59" i="12" s="1"/>
  <c r="CA34" i="14"/>
  <c r="W87" i="8"/>
  <c r="W59" i="18" s="1"/>
  <c r="W103" i="8"/>
  <c r="W108" i="8" s="1"/>
  <c r="W61" i="18" s="1"/>
  <c r="V26" i="13"/>
  <c r="V58" i="12"/>
  <c r="CQ87" i="6"/>
  <c r="AT46" i="9"/>
  <c r="AT16" i="10" s="1"/>
  <c r="AT18" i="10" s="1"/>
  <c r="CH86" i="8"/>
  <c r="V46" i="11"/>
  <c r="V48" i="11" s="1"/>
  <c r="V70" i="12" s="1"/>
  <c r="V71" i="12" s="1"/>
  <c r="V30" i="10"/>
  <c r="V39" i="12"/>
  <c r="V41" i="12" s="1"/>
  <c r="W35" i="12" s="1"/>
  <c r="V29" i="12"/>
  <c r="V31" i="12" s="1"/>
  <c r="W25" i="12" s="1"/>
  <c r="CI57" i="12"/>
  <c r="CI23" i="8"/>
  <c r="CI25" i="13"/>
  <c r="CJ22" i="8"/>
  <c r="CJ23" i="11" s="1"/>
  <c r="W138" i="8"/>
  <c r="W21" i="10" s="1"/>
  <c r="W40" i="11" s="1"/>
  <c r="W130" i="8"/>
  <c r="CO30" i="7"/>
  <c r="CO18" i="13"/>
  <c r="CR74" i="6"/>
  <c r="CR87" i="6" s="1"/>
  <c r="CS69" i="6"/>
  <c r="CP80" i="6"/>
  <c r="CP81" i="6" s="1"/>
  <c r="CP29" i="14" s="1"/>
  <c r="CI24" i="8" l="1"/>
  <c r="CI24" i="11"/>
  <c r="CC56" i="12"/>
  <c r="CC59" i="12" s="1"/>
  <c r="CB34" i="14"/>
  <c r="AT47" i="9"/>
  <c r="CJ25" i="13"/>
  <c r="CJ23" i="8"/>
  <c r="CJ57" i="12"/>
  <c r="CK22" i="8"/>
  <c r="CK23" i="11" s="1"/>
  <c r="V27" i="13"/>
  <c r="V28" i="13" s="1"/>
  <c r="V32" i="10"/>
  <c r="V64" i="12" s="1"/>
  <c r="V65" i="12" s="1"/>
  <c r="W69" i="12"/>
  <c r="V19" i="14"/>
  <c r="V21" i="14" s="1"/>
  <c r="H21" i="16"/>
  <c r="W30" i="11"/>
  <c r="W20" i="10"/>
  <c r="W23" i="10" s="1"/>
  <c r="CI86" i="8"/>
  <c r="E21" i="16"/>
  <c r="W107" i="8"/>
  <c r="CS71" i="6"/>
  <c r="CS72" i="6" s="1"/>
  <c r="CP83" i="6"/>
  <c r="CP88" i="6" s="1"/>
  <c r="CP89" i="6" s="1"/>
  <c r="CP13" i="11" s="1"/>
  <c r="CQ78" i="6"/>
  <c r="CJ24" i="8" l="1"/>
  <c r="CJ24" i="11"/>
  <c r="CC34" i="14"/>
  <c r="CD56" i="12"/>
  <c r="CD59" i="12" s="1"/>
  <c r="W29" i="11"/>
  <c r="W109" i="8"/>
  <c r="CJ86" i="8"/>
  <c r="W63" i="12"/>
  <c r="V33" i="14"/>
  <c r="V36" i="14" s="1"/>
  <c r="V39" i="14" s="1"/>
  <c r="V41" i="14" s="1"/>
  <c r="AT14" i="14"/>
  <c r="AU41" i="9"/>
  <c r="CK57" i="12"/>
  <c r="CK23" i="8"/>
  <c r="CK25" i="13"/>
  <c r="CL22" i="8"/>
  <c r="CL23" i="11" s="1"/>
  <c r="W11" i="9"/>
  <c r="V36" i="1"/>
  <c r="V78" i="13"/>
  <c r="V77" i="13"/>
  <c r="CP30" i="7"/>
  <c r="CP18" i="13"/>
  <c r="CS74" i="6"/>
  <c r="CS87" i="6" s="1"/>
  <c r="CT69" i="6"/>
  <c r="CQ80" i="6"/>
  <c r="N80" i="6" s="1"/>
  <c r="CK24" i="8" l="1"/>
  <c r="CK24" i="11"/>
  <c r="CD34" i="14"/>
  <c r="CE56" i="12"/>
  <c r="CE59" i="12" s="1"/>
  <c r="CL25" i="13"/>
  <c r="CL57" i="12"/>
  <c r="CL23" i="8"/>
  <c r="CM22" i="8"/>
  <c r="CM23" i="11" s="1"/>
  <c r="V45" i="1"/>
  <c r="V38" i="1"/>
  <c r="W16" i="9"/>
  <c r="W17" i="9"/>
  <c r="W22" i="9" s="1"/>
  <c r="W21" i="9"/>
  <c r="W16" i="12"/>
  <c r="W120" i="8"/>
  <c r="W121" i="8" s="1"/>
  <c r="W124" i="8" s="1"/>
  <c r="CK86" i="8"/>
  <c r="AU46" i="9"/>
  <c r="AU16" i="10" s="1"/>
  <c r="AU18" i="10" s="1"/>
  <c r="CT71" i="6"/>
  <c r="CT72" i="6" s="1"/>
  <c r="CQ81" i="6"/>
  <c r="CQ29" i="14" s="1"/>
  <c r="CL24" i="8" l="1"/>
  <c r="CL24" i="11"/>
  <c r="W23" i="9"/>
  <c r="W27" i="9" s="1"/>
  <c r="W25" i="10" s="1"/>
  <c r="W27" i="10" s="1"/>
  <c r="CF56" i="12"/>
  <c r="CF59" i="12" s="1"/>
  <c r="CE34" i="14"/>
  <c r="W38" i="11"/>
  <c r="CL86" i="8"/>
  <c r="CM25" i="13"/>
  <c r="CM23" i="8"/>
  <c r="CM24" i="11" s="1"/>
  <c r="CM57" i="12"/>
  <c r="CN22" i="8"/>
  <c r="CN23" i="11" s="1"/>
  <c r="AU47" i="9"/>
  <c r="W18" i="9"/>
  <c r="X15" i="9" s="1"/>
  <c r="CT74" i="6"/>
  <c r="CT87" i="6" s="1"/>
  <c r="CU69" i="6"/>
  <c r="CU71" i="6" s="1"/>
  <c r="CU72" i="6" s="1"/>
  <c r="CU87" i="6" s="1"/>
  <c r="CQ83" i="6"/>
  <c r="N83" i="6" s="1"/>
  <c r="CR78" i="6"/>
  <c r="CR80" i="6" s="1"/>
  <c r="CR81" i="6" s="1"/>
  <c r="W27" i="7" l="1"/>
  <c r="W31" i="7" s="1"/>
  <c r="W34" i="7" s="1"/>
  <c r="W17" i="13"/>
  <c r="W19" i="13" s="1"/>
  <c r="W64" i="13" s="1"/>
  <c r="W12" i="11"/>
  <c r="W15" i="11" s="1"/>
  <c r="W21" i="11" s="1"/>
  <c r="W26" i="11" s="1"/>
  <c r="CF34" i="14"/>
  <c r="CG56" i="12"/>
  <c r="CG59" i="12" s="1"/>
  <c r="AV41" i="9"/>
  <c r="AU14" i="14"/>
  <c r="CM24" i="8"/>
  <c r="CM86" i="8"/>
  <c r="CN57" i="12"/>
  <c r="CN25" i="13"/>
  <c r="CN23" i="8"/>
  <c r="CO22" i="8"/>
  <c r="CO23" i="11" s="1"/>
  <c r="W26" i="12"/>
  <c r="W27" i="12" s="1"/>
  <c r="W45" i="12" s="1"/>
  <c r="W28" i="10"/>
  <c r="CQ88" i="6"/>
  <c r="CQ89" i="6" s="1"/>
  <c r="CQ13" i="11" s="1"/>
  <c r="CV69" i="6"/>
  <c r="CV71" i="6" s="1"/>
  <c r="CV72" i="6" s="1"/>
  <c r="CU74" i="6"/>
  <c r="CR83" i="6"/>
  <c r="CR88" i="6" s="1"/>
  <c r="CR89" i="6" s="1"/>
  <c r="CR13" i="11" s="1"/>
  <c r="CR15" i="11" s="1"/>
  <c r="CR21" i="11" s="1"/>
  <c r="CS78" i="6"/>
  <c r="CS80" i="6" s="1"/>
  <c r="CS81" i="6" s="1"/>
  <c r="CN24" i="8" l="1"/>
  <c r="CN24" i="11"/>
  <c r="W32" i="11"/>
  <c r="W94" i="8" s="1"/>
  <c r="W95" i="8" s="1"/>
  <c r="W88" i="8" s="1"/>
  <c r="W60" i="18" s="1"/>
  <c r="W84" i="1"/>
  <c r="W13" i="15"/>
  <c r="W23" i="15" s="1"/>
  <c r="W25" i="15" s="1"/>
  <c r="W15" i="12"/>
  <c r="W19" i="12" s="1"/>
  <c r="CG34" i="14"/>
  <c r="CH56" i="12"/>
  <c r="CH59" i="12" s="1"/>
  <c r="CO57" i="12"/>
  <c r="CO25" i="13"/>
  <c r="CO23" i="8"/>
  <c r="CO24" i="11" s="1"/>
  <c r="CP22" i="8"/>
  <c r="CP23" i="11" s="1"/>
  <c r="CN86" i="8"/>
  <c r="AV46" i="9"/>
  <c r="AV16" i="10" s="1"/>
  <c r="AV18" i="10" s="1"/>
  <c r="N89" i="6"/>
  <c r="CQ30" i="7"/>
  <c r="N30" i="7" s="1"/>
  <c r="CQ18" i="13"/>
  <c r="N18" i="13" s="1"/>
  <c r="CT78" i="6"/>
  <c r="CT80" i="6" s="1"/>
  <c r="CT81" i="6" s="1"/>
  <c r="CT83" i="6" s="1"/>
  <c r="CT88" i="6" s="1"/>
  <c r="CT89" i="6" s="1"/>
  <c r="CT13" i="11" s="1"/>
  <c r="CT15" i="11" s="1"/>
  <c r="CT21" i="11" s="1"/>
  <c r="CS83" i="6"/>
  <c r="CS88" i="6" s="1"/>
  <c r="CS89" i="6" s="1"/>
  <c r="CS13" i="11" s="1"/>
  <c r="CS15" i="11" s="1"/>
  <c r="CS21" i="11" s="1"/>
  <c r="CV87" i="6"/>
  <c r="CW69" i="6"/>
  <c r="CV74" i="6"/>
  <c r="W21" i="12" l="1"/>
  <c r="W62" i="18"/>
  <c r="N13" i="11"/>
  <c r="W34" i="11"/>
  <c r="W36" i="11" s="1"/>
  <c r="W128" i="8" s="1"/>
  <c r="W125" i="8" s="1"/>
  <c r="W39" i="11" s="1"/>
  <c r="W42" i="11" s="1"/>
  <c r="W44" i="11" s="1"/>
  <c r="CI56" i="12"/>
  <c r="CI59" i="12" s="1"/>
  <c r="CH34" i="14"/>
  <c r="CP57" i="12"/>
  <c r="CP25" i="13"/>
  <c r="CP23" i="8"/>
  <c r="CQ22" i="8"/>
  <c r="CQ23" i="11" s="1"/>
  <c r="AV47" i="9"/>
  <c r="CO24" i="8"/>
  <c r="CO86" i="8"/>
  <c r="G21" i="16"/>
  <c r="W89" i="8"/>
  <c r="CU78" i="6"/>
  <c r="CW71" i="6"/>
  <c r="CW72" i="6" s="1"/>
  <c r="CP24" i="8" l="1"/>
  <c r="CP24" i="11"/>
  <c r="W126" i="8"/>
  <c r="CJ56" i="12"/>
  <c r="CJ59" i="12" s="1"/>
  <c r="CI34" i="14"/>
  <c r="CR22" i="8"/>
  <c r="CR23" i="11" s="1"/>
  <c r="CQ23" i="8"/>
  <c r="CQ57" i="12"/>
  <c r="CQ25" i="13"/>
  <c r="N25" i="13" s="1"/>
  <c r="W36" i="12"/>
  <c r="W37" i="12" s="1"/>
  <c r="W46" i="12" s="1"/>
  <c r="W48" i="12" s="1"/>
  <c r="W50" i="12" s="1"/>
  <c r="W58" i="12"/>
  <c r="W26" i="13"/>
  <c r="CP86" i="8"/>
  <c r="W28" i="14"/>
  <c r="X123" i="8"/>
  <c r="W27" i="14"/>
  <c r="W80" i="1" s="1"/>
  <c r="X85" i="8"/>
  <c r="W45" i="13"/>
  <c r="AW41" i="9"/>
  <c r="AV14" i="14"/>
  <c r="CW87" i="6"/>
  <c r="CX69" i="6"/>
  <c r="CW74" i="6"/>
  <c r="CU80" i="6"/>
  <c r="CU81" i="6" s="1"/>
  <c r="CQ24" i="8" l="1"/>
  <c r="CQ24" i="11"/>
  <c r="CJ34" i="14"/>
  <c r="CK56" i="12"/>
  <c r="CK59" i="12" s="1"/>
  <c r="W30" i="10"/>
  <c r="W39" i="12"/>
  <c r="W41" i="12" s="1"/>
  <c r="X35" i="12" s="1"/>
  <c r="W29" i="12"/>
  <c r="W31" i="12" s="1"/>
  <c r="X25" i="12" s="1"/>
  <c r="W46" i="11"/>
  <c r="W48" i="11" s="1"/>
  <c r="W70" i="12" s="1"/>
  <c r="W71" i="12" s="1"/>
  <c r="X138" i="8"/>
  <c r="X21" i="10" s="1"/>
  <c r="X40" i="11" s="1"/>
  <c r="X130" i="8"/>
  <c r="CQ86" i="8"/>
  <c r="X87" i="8"/>
  <c r="X59" i="18" s="1"/>
  <c r="X103" i="8"/>
  <c r="X108" i="8" s="1"/>
  <c r="X61" i="18" s="1"/>
  <c r="AW46" i="9"/>
  <c r="AW16" i="10" s="1"/>
  <c r="AW18" i="10" s="1"/>
  <c r="CR57" i="12"/>
  <c r="CR23" i="8"/>
  <c r="CS22" i="8"/>
  <c r="CS23" i="11" s="1"/>
  <c r="CU88" i="6"/>
  <c r="CU89" i="6" s="1"/>
  <c r="CV78" i="6"/>
  <c r="CU83" i="6"/>
  <c r="CX71" i="6"/>
  <c r="CX72" i="6" s="1"/>
  <c r="CR86" i="8" l="1"/>
  <c r="CR24" i="11"/>
  <c r="AW47" i="9"/>
  <c r="AX41" i="9" s="1"/>
  <c r="CR24" i="8"/>
  <c r="CL56" i="12"/>
  <c r="CL59" i="12" s="1"/>
  <c r="CK34" i="14"/>
  <c r="CS57" i="12"/>
  <c r="CS23" i="8"/>
  <c r="CT22" i="8"/>
  <c r="CT23" i="11" s="1"/>
  <c r="H22" i="16"/>
  <c r="X30" i="11"/>
  <c r="X20" i="10"/>
  <c r="X23" i="10" s="1"/>
  <c r="E22" i="16"/>
  <c r="X107" i="8"/>
  <c r="W27" i="13"/>
  <c r="W28" i="13" s="1"/>
  <c r="W32" i="10"/>
  <c r="W64" i="12" s="1"/>
  <c r="W65" i="12" s="1"/>
  <c r="W19" i="14"/>
  <c r="W21" i="14" s="1"/>
  <c r="X69" i="12"/>
  <c r="CX87" i="6"/>
  <c r="CX74" i="6"/>
  <c r="CY69" i="6"/>
  <c r="CV80" i="6"/>
  <c r="CV81" i="6" s="1"/>
  <c r="CR26" i="11" l="1"/>
  <c r="CS86" i="8"/>
  <c r="CS24" i="11"/>
  <c r="CS26" i="11" s="1"/>
  <c r="N23" i="11"/>
  <c r="AW14" i="14"/>
  <c r="CL34" i="14"/>
  <c r="CM56" i="12"/>
  <c r="CM59" i="12" s="1"/>
  <c r="X11" i="9"/>
  <c r="N22" i="8"/>
  <c r="CT57" i="12"/>
  <c r="N57" i="12" s="1"/>
  <c r="CT23" i="8"/>
  <c r="CT24" i="11" s="1"/>
  <c r="CT26" i="11" s="1"/>
  <c r="X29" i="11"/>
  <c r="X109" i="8"/>
  <c r="CS24" i="8"/>
  <c r="AX46" i="9"/>
  <c r="AX16" i="10" s="1"/>
  <c r="AX18" i="10" s="1"/>
  <c r="X63" i="12"/>
  <c r="W33" i="14"/>
  <c r="W36" i="14" s="1"/>
  <c r="W39" i="14" s="1"/>
  <c r="W41" i="14" s="1"/>
  <c r="W78" i="13"/>
  <c r="W36" i="1"/>
  <c r="W77" i="13"/>
  <c r="CV88" i="6"/>
  <c r="CV89" i="6" s="1"/>
  <c r="CV83" i="6"/>
  <c r="CW78" i="6"/>
  <c r="CY71" i="6"/>
  <c r="CY72" i="6" s="1"/>
  <c r="CT15" i="12" l="1"/>
  <c r="CT84" i="1"/>
  <c r="CT85" i="1" s="1"/>
  <c r="CS84" i="1"/>
  <c r="CS85" i="1" s="1"/>
  <c r="CS15" i="12"/>
  <c r="K16" i="18"/>
  <c r="X41" i="17"/>
  <c r="N24" i="11"/>
  <c r="CR15" i="12"/>
  <c r="CR84" i="1"/>
  <c r="CR85" i="1" s="1"/>
  <c r="CN56" i="12"/>
  <c r="CN59" i="12" s="1"/>
  <c r="CM34" i="14"/>
  <c r="CT86" i="8"/>
  <c r="N23" i="8"/>
  <c r="W45" i="1"/>
  <c r="W38" i="1"/>
  <c r="CT24" i="8"/>
  <c r="N24" i="8" s="1"/>
  <c r="AX47" i="9"/>
  <c r="X120" i="8"/>
  <c r="X121" i="8" s="1"/>
  <c r="X124" i="8" s="1"/>
  <c r="X16" i="12"/>
  <c r="X17" i="9"/>
  <c r="X22" i="9" s="1"/>
  <c r="X16" i="9"/>
  <c r="X21" i="9"/>
  <c r="CZ69" i="6"/>
  <c r="CY74" i="6"/>
  <c r="CY87" i="6"/>
  <c r="CW80" i="6"/>
  <c r="CW81" i="6" s="1"/>
  <c r="K17" i="18" l="1"/>
  <c r="K18" i="18" s="1"/>
  <c r="X42" i="17"/>
  <c r="X23" i="9"/>
  <c r="X27" i="9" s="1"/>
  <c r="X25" i="10" s="1"/>
  <c r="X27" i="10" s="1"/>
  <c r="X18" i="9"/>
  <c r="Y15" i="9" s="1"/>
  <c r="CO56" i="12"/>
  <c r="CO59" i="12" s="1"/>
  <c r="CN34" i="14"/>
  <c r="AX14" i="14"/>
  <c r="AY41" i="9"/>
  <c r="X38" i="11"/>
  <c r="N86" i="8"/>
  <c r="D21" i="16"/>
  <c r="D22" i="16"/>
  <c r="CW88" i="6"/>
  <c r="CW89" i="6" s="1"/>
  <c r="CW83" i="6"/>
  <c r="CX78" i="6"/>
  <c r="CZ71" i="6"/>
  <c r="CZ72" i="6" s="1"/>
  <c r="X43" i="17" l="1"/>
  <c r="Y41" i="17" s="1"/>
  <c r="X17" i="13"/>
  <c r="X19" i="13" s="1"/>
  <c r="X64" i="13" s="1"/>
  <c r="X27" i="7"/>
  <c r="X31" i="7" s="1"/>
  <c r="X34" i="7" s="1"/>
  <c r="X12" i="11"/>
  <c r="X15" i="11" s="1"/>
  <c r="X21" i="11" s="1"/>
  <c r="X26" i="11" s="1"/>
  <c r="D51" i="16"/>
  <c r="CO34" i="14"/>
  <c r="CP56" i="12"/>
  <c r="CP59" i="12" s="1"/>
  <c r="X28" i="10"/>
  <c r="X26" i="12"/>
  <c r="X27" i="12" s="1"/>
  <c r="X45" i="12" s="1"/>
  <c r="AY46" i="9"/>
  <c r="AY16" i="10" s="1"/>
  <c r="AY18" i="10" s="1"/>
  <c r="CZ87" i="6"/>
  <c r="CZ74" i="6"/>
  <c r="DA69" i="6"/>
  <c r="CX80" i="6"/>
  <c r="CX81" i="6" s="1"/>
  <c r="Y42" i="17" l="1"/>
  <c r="Y43" i="17" s="1"/>
  <c r="X32" i="11"/>
  <c r="X94" i="8" s="1"/>
  <c r="X95" i="8" s="1"/>
  <c r="X88" i="8" s="1"/>
  <c r="X60" i="18" s="1"/>
  <c r="X84" i="1"/>
  <c r="X13" i="15"/>
  <c r="X23" i="15" s="1"/>
  <c r="X25" i="15" s="1"/>
  <c r="X15" i="12"/>
  <c r="X19" i="12" s="1"/>
  <c r="CP34" i="14"/>
  <c r="CQ56" i="12"/>
  <c r="CQ59" i="12" s="1"/>
  <c r="AY47" i="9"/>
  <c r="CX88" i="6"/>
  <c r="CX89" i="6" s="1"/>
  <c r="CX83" i="6"/>
  <c r="CY78" i="6"/>
  <c r="DA71" i="6"/>
  <c r="DA72" i="6" s="1"/>
  <c r="X21" i="12" l="1"/>
  <c r="X62" i="18"/>
  <c r="X34" i="11"/>
  <c r="X36" i="11" s="1"/>
  <c r="X128" i="8" s="1"/>
  <c r="X125" i="8" s="1"/>
  <c r="X126" i="8" s="1"/>
  <c r="CQ34" i="14"/>
  <c r="CR56" i="12"/>
  <c r="CR59" i="12" s="1"/>
  <c r="CS56" i="12" s="1"/>
  <c r="CS59" i="12" s="1"/>
  <c r="CT56" i="12" s="1"/>
  <c r="CT59" i="12" s="1"/>
  <c r="AZ41" i="9"/>
  <c r="AY14" i="14"/>
  <c r="G22" i="16"/>
  <c r="X89" i="8"/>
  <c r="DA87" i="6"/>
  <c r="DA74" i="6"/>
  <c r="DB69" i="6"/>
  <c r="CY80" i="6"/>
  <c r="CY81" i="6" s="1"/>
  <c r="X39" i="11" l="1"/>
  <c r="X42" i="11" s="1"/>
  <c r="X44" i="11" s="1"/>
  <c r="X36" i="12" s="1"/>
  <c r="X37" i="12" s="1"/>
  <c r="X46" i="12" s="1"/>
  <c r="X48" i="12" s="1"/>
  <c r="X50" i="12" s="1"/>
  <c r="Y85" i="8"/>
  <c r="X27" i="14"/>
  <c r="X80" i="1" s="1"/>
  <c r="X45" i="13"/>
  <c r="Y123" i="8"/>
  <c r="X28" i="14"/>
  <c r="AZ46" i="9"/>
  <c r="CY88" i="6"/>
  <c r="CY89" i="6" s="1"/>
  <c r="CZ78" i="6"/>
  <c r="CY83" i="6"/>
  <c r="DB71" i="6"/>
  <c r="DB72" i="6" s="1"/>
  <c r="AZ16" i="10" l="1"/>
  <c r="Y138" i="8"/>
  <c r="Y21" i="10" s="1"/>
  <c r="Y40" i="11" s="1"/>
  <c r="Y130" i="8"/>
  <c r="Y87" i="8"/>
  <c r="Y59" i="18" s="1"/>
  <c r="Y103" i="8"/>
  <c r="Y108" i="8" s="1"/>
  <c r="Y61" i="18" s="1"/>
  <c r="X30" i="10"/>
  <c r="X39" i="12"/>
  <c r="X41" i="12" s="1"/>
  <c r="Y35" i="12" s="1"/>
  <c r="X29" i="12"/>
  <c r="X31" i="12" s="1"/>
  <c r="Y25" i="12" s="1"/>
  <c r="X46" i="11"/>
  <c r="X48" i="11" s="1"/>
  <c r="X70" i="12" s="1"/>
  <c r="X71" i="12" s="1"/>
  <c r="AZ47" i="9"/>
  <c r="X26" i="13"/>
  <c r="X58" i="12"/>
  <c r="DB74" i="6"/>
  <c r="DB87" i="6"/>
  <c r="DC69" i="6"/>
  <c r="CZ80" i="6"/>
  <c r="CZ81" i="6" s="1"/>
  <c r="H23" i="16" l="1"/>
  <c r="Y30" i="11"/>
  <c r="Y20" i="10"/>
  <c r="Y23" i="10" s="1"/>
  <c r="AZ14" i="14"/>
  <c r="BA41" i="9"/>
  <c r="Y107" i="8"/>
  <c r="E23" i="16"/>
  <c r="Y69" i="12"/>
  <c r="X19" i="14"/>
  <c r="X21" i="14" s="1"/>
  <c r="X27" i="13"/>
  <c r="X28" i="13" s="1"/>
  <c r="X32" i="10"/>
  <c r="X64" i="12" s="1"/>
  <c r="X65" i="12" s="1"/>
  <c r="AZ18" i="10"/>
  <c r="CZ88" i="6"/>
  <c r="CZ89" i="6" s="1"/>
  <c r="CZ83" i="6"/>
  <c r="DA78" i="6"/>
  <c r="DC71" i="6"/>
  <c r="DC72" i="6" s="1"/>
  <c r="BA46" i="9" l="1"/>
  <c r="Y109" i="8"/>
  <c r="Y29" i="11"/>
  <c r="Y63" i="12"/>
  <c r="X33" i="14"/>
  <c r="X36" i="14" s="1"/>
  <c r="X39" i="14" s="1"/>
  <c r="X41" i="14" s="1"/>
  <c r="Y11" i="9"/>
  <c r="X36" i="1"/>
  <c r="X77" i="13"/>
  <c r="X78" i="13"/>
  <c r="DC87" i="6"/>
  <c r="DC74" i="6"/>
  <c r="DD69" i="6"/>
  <c r="DA80" i="6"/>
  <c r="DA81" i="6" s="1"/>
  <c r="Y17" i="9" l="1"/>
  <c r="Y22" i="9" s="1"/>
  <c r="Y16" i="9"/>
  <c r="Y21" i="9"/>
  <c r="Y120" i="8"/>
  <c r="Y121" i="8" s="1"/>
  <c r="Y124" i="8" s="1"/>
  <c r="Y16" i="12"/>
  <c r="BA16" i="10"/>
  <c r="X38" i="1"/>
  <c r="X45" i="1"/>
  <c r="BA47" i="9"/>
  <c r="DA83" i="6"/>
  <c r="DA88" i="6"/>
  <c r="DA89" i="6" s="1"/>
  <c r="DB78" i="6"/>
  <c r="DD71" i="6"/>
  <c r="DD72" i="6" s="1"/>
  <c r="Y18" i="9" l="1"/>
  <c r="Z15" i="9" s="1"/>
  <c r="Y23" i="9"/>
  <c r="Y27" i="9" s="1"/>
  <c r="Y25" i="10" s="1"/>
  <c r="Y27" i="7" s="1"/>
  <c r="Y31" i="7" s="1"/>
  <c r="Y34" i="7" s="1"/>
  <c r="BA18" i="10"/>
  <c r="Y38" i="11"/>
  <c r="BB41" i="9"/>
  <c r="BA14" i="14"/>
  <c r="DD87" i="6"/>
  <c r="DD74" i="6"/>
  <c r="DE69" i="6"/>
  <c r="DB80" i="6"/>
  <c r="DB81" i="6" s="1"/>
  <c r="Y12" i="11" l="1"/>
  <c r="Y15" i="11" s="1"/>
  <c r="Y21" i="11" s="1"/>
  <c r="Y26" i="11" s="1"/>
  <c r="Y27" i="10"/>
  <c r="Y28" i="10" s="1"/>
  <c r="Y17" i="13"/>
  <c r="Y19" i="13" s="1"/>
  <c r="Y64" i="13" s="1"/>
  <c r="BB46" i="9"/>
  <c r="BB47" i="9" s="1"/>
  <c r="DB88" i="6"/>
  <c r="DB89" i="6" s="1"/>
  <c r="DB83" i="6"/>
  <c r="DC78" i="6"/>
  <c r="DE71" i="6"/>
  <c r="DE72" i="6" s="1"/>
  <c r="Y13" i="15" l="1"/>
  <c r="Y23" i="15" s="1"/>
  <c r="Y25" i="15" s="1"/>
  <c r="Y84" i="1"/>
  <c r="Y26" i="12"/>
  <c r="Y27" i="12" s="1"/>
  <c r="Y45" i="12" s="1"/>
  <c r="Y32" i="11"/>
  <c r="Y94" i="8" s="1"/>
  <c r="Y95" i="8" s="1"/>
  <c r="Y88" i="8" s="1"/>
  <c r="Y60" i="18" s="1"/>
  <c r="Y15" i="12"/>
  <c r="Y19" i="12" s="1"/>
  <c r="BB14" i="14"/>
  <c r="BC41" i="9"/>
  <c r="BB16" i="10"/>
  <c r="DE87" i="6"/>
  <c r="DE74" i="6"/>
  <c r="DF69" i="6"/>
  <c r="DC80" i="6"/>
  <c r="DC81" i="6" s="1"/>
  <c r="Y21" i="12" l="1"/>
  <c r="Y62" i="18"/>
  <c r="Y34" i="11"/>
  <c r="Y36" i="11" s="1"/>
  <c r="Y128" i="8" s="1"/>
  <c r="Y125" i="8" s="1"/>
  <c r="Y39" i="11" s="1"/>
  <c r="Y42" i="11" s="1"/>
  <c r="Y44" i="11" s="1"/>
  <c r="G23" i="16"/>
  <c r="Y89" i="8"/>
  <c r="BB18" i="10"/>
  <c r="BC46" i="9"/>
  <c r="BC47" i="9" s="1"/>
  <c r="DC88" i="6"/>
  <c r="DC89" i="6" s="1"/>
  <c r="DD78" i="6"/>
  <c r="DC83" i="6"/>
  <c r="DF71" i="6"/>
  <c r="DF72" i="6" s="1"/>
  <c r="Y126" i="8" l="1"/>
  <c r="Y28" i="14" s="1"/>
  <c r="BC14" i="14"/>
  <c r="BD41" i="9"/>
  <c r="BC16" i="10"/>
  <c r="Y36" i="12"/>
  <c r="Y37" i="12" s="1"/>
  <c r="Y46" i="12" s="1"/>
  <c r="Y48" i="12" s="1"/>
  <c r="Y50" i="12" s="1"/>
  <c r="Y26" i="13"/>
  <c r="Y58" i="12"/>
  <c r="Y27" i="14"/>
  <c r="Y80" i="1" s="1"/>
  <c r="Z85" i="8"/>
  <c r="Y45" i="13"/>
  <c r="DF87" i="6"/>
  <c r="DF74" i="6"/>
  <c r="DG69" i="6"/>
  <c r="DD80" i="6"/>
  <c r="DD81" i="6" s="1"/>
  <c r="Z123" i="8" l="1"/>
  <c r="Y39" i="12"/>
  <c r="Y41" i="12" s="1"/>
  <c r="Z35" i="12" s="1"/>
  <c r="Y29" i="12"/>
  <c r="Y31" i="12" s="1"/>
  <c r="Z25" i="12" s="1"/>
  <c r="Y30" i="10"/>
  <c r="Y46" i="11"/>
  <c r="Y48" i="11" s="1"/>
  <c r="Y70" i="12" s="1"/>
  <c r="Y71" i="12" s="1"/>
  <c r="Z87" i="8"/>
  <c r="Z59" i="18" s="1"/>
  <c r="Z103" i="8"/>
  <c r="Z108" i="8" s="1"/>
  <c r="Z61" i="18" s="1"/>
  <c r="BC18" i="10"/>
  <c r="BD46" i="9"/>
  <c r="BD16" i="10" s="1"/>
  <c r="BD18" i="10" s="1"/>
  <c r="Z130" i="8"/>
  <c r="Z138" i="8"/>
  <c r="Z21" i="10" s="1"/>
  <c r="Z40" i="11" s="1"/>
  <c r="DD88" i="6"/>
  <c r="DD89" i="6" s="1"/>
  <c r="DD83" i="6"/>
  <c r="DE78" i="6"/>
  <c r="DG71" i="6"/>
  <c r="DG72" i="6" s="1"/>
  <c r="Z107" i="8" l="1"/>
  <c r="E24" i="16"/>
  <c r="Z69" i="12"/>
  <c r="Y19" i="14"/>
  <c r="Y21" i="14" s="1"/>
  <c r="Y32" i="10"/>
  <c r="Y64" i="12" s="1"/>
  <c r="Y65" i="12" s="1"/>
  <c r="Y27" i="13"/>
  <c r="Y28" i="13" s="1"/>
  <c r="H24" i="16"/>
  <c r="Z20" i="10"/>
  <c r="Z23" i="10" s="1"/>
  <c r="Z11" i="9" s="1"/>
  <c r="Z30" i="11"/>
  <c r="BD47" i="9"/>
  <c r="DG87" i="6"/>
  <c r="DH69" i="6"/>
  <c r="DG74" i="6"/>
  <c r="DE80" i="6"/>
  <c r="DE81" i="6" s="1"/>
  <c r="Y36" i="1" l="1"/>
  <c r="Y77" i="13"/>
  <c r="Y78" i="13"/>
  <c r="Y33" i="14"/>
  <c r="Y36" i="14" s="1"/>
  <c r="Y39" i="14" s="1"/>
  <c r="Y41" i="14" s="1"/>
  <c r="Z63" i="12"/>
  <c r="BE41" i="9"/>
  <c r="BD14" i="14"/>
  <c r="Z29" i="11"/>
  <c r="Z109" i="8"/>
  <c r="Z16" i="9"/>
  <c r="Z17" i="9"/>
  <c r="Z22" i="9" s="1"/>
  <c r="Z21" i="9"/>
  <c r="DE88" i="6"/>
  <c r="DE89" i="6" s="1"/>
  <c r="DE83" i="6"/>
  <c r="DF78" i="6"/>
  <c r="DH71" i="6"/>
  <c r="DH72" i="6" s="1"/>
  <c r="Z23" i="9" l="1"/>
  <c r="Z27" i="9" s="1"/>
  <c r="Z25" i="10" s="1"/>
  <c r="Z27" i="10" s="1"/>
  <c r="Z18" i="9"/>
  <c r="AA15" i="9" s="1"/>
  <c r="BE46" i="9"/>
  <c r="BE16" i="10" s="1"/>
  <c r="BE18" i="10" s="1"/>
  <c r="Z120" i="8"/>
  <c r="Z121" i="8" s="1"/>
  <c r="Z124" i="8" s="1"/>
  <c r="Z16" i="12"/>
  <c r="Y45" i="1"/>
  <c r="Y38" i="1"/>
  <c r="DH87" i="6"/>
  <c r="DI69" i="6"/>
  <c r="DH74" i="6"/>
  <c r="DF80" i="6"/>
  <c r="DF81" i="6" s="1"/>
  <c r="Z12" i="11" l="1"/>
  <c r="Z15" i="11" s="1"/>
  <c r="Z21" i="11" s="1"/>
  <c r="Z26" i="11" s="1"/>
  <c r="Z84" i="1" s="1"/>
  <c r="Z17" i="13"/>
  <c r="Z19" i="13" s="1"/>
  <c r="Z64" i="13" s="1"/>
  <c r="Z27" i="7"/>
  <c r="Z31" i="7" s="1"/>
  <c r="Z34" i="7" s="1"/>
  <c r="BE47" i="9"/>
  <c r="BF41" i="9" s="1"/>
  <c r="Z26" i="12"/>
  <c r="Z27" i="12" s="1"/>
  <c r="Z45" i="12" s="1"/>
  <c r="Z28" i="10"/>
  <c r="Z38" i="11"/>
  <c r="DF88" i="6"/>
  <c r="DF89" i="6" s="1"/>
  <c r="DF83" i="6"/>
  <c r="DG78" i="6"/>
  <c r="DI71" i="6"/>
  <c r="DI72" i="6" s="1"/>
  <c r="BE14" i="14" l="1"/>
  <c r="Z13" i="15"/>
  <c r="Z23" i="15" s="1"/>
  <c r="Z25" i="15" s="1"/>
  <c r="Z32" i="11"/>
  <c r="Z94" i="8" s="1"/>
  <c r="Z95" i="8" s="1"/>
  <c r="Z34" i="11" s="1"/>
  <c r="Z36" i="11" s="1"/>
  <c r="Z128" i="8" s="1"/>
  <c r="Z125" i="8" s="1"/>
  <c r="Z15" i="12"/>
  <c r="Z19" i="12" s="1"/>
  <c r="BF46" i="9"/>
  <c r="BF16" i="10" s="1"/>
  <c r="BF18" i="10" s="1"/>
  <c r="DI74" i="6"/>
  <c r="DI87" i="6"/>
  <c r="DJ69" i="6"/>
  <c r="DG80" i="6"/>
  <c r="DG81" i="6" s="1"/>
  <c r="Z21" i="12" l="1"/>
  <c r="Z62" i="18"/>
  <c r="Z88" i="8"/>
  <c r="BF47" i="9"/>
  <c r="BG41" i="9" s="1"/>
  <c r="G24" i="16"/>
  <c r="Z39" i="11"/>
  <c r="Z42" i="11" s="1"/>
  <c r="Z44" i="11" s="1"/>
  <c r="Z126" i="8"/>
  <c r="BF14" i="14"/>
  <c r="DG88" i="6"/>
  <c r="DG89" i="6" s="1"/>
  <c r="DG83" i="6"/>
  <c r="DH78" i="6"/>
  <c r="DJ71" i="6"/>
  <c r="DJ72" i="6" s="1"/>
  <c r="Z89" i="8" l="1"/>
  <c r="AA85" i="8" s="1"/>
  <c r="Z60" i="18"/>
  <c r="BG46" i="9"/>
  <c r="BG16" i="10" s="1"/>
  <c r="BG18" i="10" s="1"/>
  <c r="AA123" i="8"/>
  <c r="Z28" i="14"/>
  <c r="Z36" i="12"/>
  <c r="Z37" i="12" s="1"/>
  <c r="Z46" i="12" s="1"/>
  <c r="Z48" i="12" s="1"/>
  <c r="Z50" i="12" s="1"/>
  <c r="Z58" i="12"/>
  <c r="Z26" i="13"/>
  <c r="Z27" i="14"/>
  <c r="Z80" i="1" s="1"/>
  <c r="DJ87" i="6"/>
  <c r="DJ74" i="6"/>
  <c r="DK69" i="6"/>
  <c r="DH80" i="6"/>
  <c r="DH81" i="6" s="1"/>
  <c r="Z45" i="13" l="1"/>
  <c r="Z29" i="12"/>
  <c r="Z31" i="12" s="1"/>
  <c r="AA25" i="12" s="1"/>
  <c r="Z30" i="10"/>
  <c r="Z46" i="11"/>
  <c r="Z48" i="11" s="1"/>
  <c r="Z70" i="12" s="1"/>
  <c r="Z71" i="12" s="1"/>
  <c r="Z39" i="12"/>
  <c r="Z41" i="12" s="1"/>
  <c r="AA35" i="12" s="1"/>
  <c r="AA138" i="8"/>
  <c r="AA21" i="10" s="1"/>
  <c r="AA40" i="11" s="1"/>
  <c r="AA130" i="8"/>
  <c r="BG47" i="9"/>
  <c r="AA103" i="8"/>
  <c r="AA108" i="8" s="1"/>
  <c r="AA61" i="18" s="1"/>
  <c r="AA87" i="8"/>
  <c r="AA59" i="18" s="1"/>
  <c r="DH88" i="6"/>
  <c r="DH89" i="6" s="1"/>
  <c r="DH83" i="6"/>
  <c r="DI78" i="6"/>
  <c r="DK71" i="6"/>
  <c r="DK72" i="6" s="1"/>
  <c r="BH41" i="9" l="1"/>
  <c r="BG14" i="14"/>
  <c r="AA69" i="12"/>
  <c r="Z19" i="14"/>
  <c r="Z21" i="14" s="1"/>
  <c r="E25" i="16"/>
  <c r="AA107" i="8"/>
  <c r="Z27" i="13"/>
  <c r="Z28" i="13" s="1"/>
  <c r="Z32" i="10"/>
  <c r="Z64" i="12" s="1"/>
  <c r="Z65" i="12" s="1"/>
  <c r="H25" i="16"/>
  <c r="AA30" i="11"/>
  <c r="AA20" i="10"/>
  <c r="AA23" i="10" s="1"/>
  <c r="DK87" i="6"/>
  <c r="DK74" i="6"/>
  <c r="DL69" i="6"/>
  <c r="DI80" i="6"/>
  <c r="DI81" i="6" s="1"/>
  <c r="Z36" i="1" l="1"/>
  <c r="Z77" i="13"/>
  <c r="Z78" i="13"/>
  <c r="AA63" i="12"/>
  <c r="Z33" i="14"/>
  <c r="Z36" i="14" s="1"/>
  <c r="Z39" i="14" s="1"/>
  <c r="Z41" i="14" s="1"/>
  <c r="AA29" i="11"/>
  <c r="AA109" i="8"/>
  <c r="AA11" i="9"/>
  <c r="BH46" i="9"/>
  <c r="BH16" i="10" s="1"/>
  <c r="BH18" i="10" s="1"/>
  <c r="DI83" i="6"/>
  <c r="DI88" i="6"/>
  <c r="DI89" i="6" s="1"/>
  <c r="DJ78" i="6"/>
  <c r="DL71" i="6"/>
  <c r="DL72" i="6" s="1"/>
  <c r="BH47" i="9" l="1"/>
  <c r="BH14" i="14" s="1"/>
  <c r="AA16" i="12"/>
  <c r="AA120" i="8"/>
  <c r="AA121" i="8" s="1"/>
  <c r="AA124" i="8" s="1"/>
  <c r="AA21" i="9"/>
  <c r="AA16" i="9"/>
  <c r="AA17" i="9"/>
  <c r="AA22" i="9" s="1"/>
  <c r="Z45" i="1"/>
  <c r="Z38" i="1"/>
  <c r="DL87" i="6"/>
  <c r="DL74" i="6"/>
  <c r="DM69" i="6"/>
  <c r="DJ80" i="6"/>
  <c r="DJ81" i="6" s="1"/>
  <c r="BI41" i="9" l="1"/>
  <c r="BI46" i="9" s="1"/>
  <c r="BI16" i="10" s="1"/>
  <c r="BI18" i="10" s="1"/>
  <c r="AA23" i="9"/>
  <c r="AA27" i="9" s="1"/>
  <c r="AA25" i="10" s="1"/>
  <c r="AA12" i="11" s="1"/>
  <c r="AA15" i="11" s="1"/>
  <c r="AA21" i="11" s="1"/>
  <c r="AA26" i="11" s="1"/>
  <c r="AA84" i="1" s="1"/>
  <c r="AA18" i="9"/>
  <c r="AB15" i="9" s="1"/>
  <c r="AA38" i="11"/>
  <c r="DJ83" i="6"/>
  <c r="DJ88" i="6"/>
  <c r="DJ89" i="6" s="1"/>
  <c r="DK78" i="6"/>
  <c r="DM71" i="6"/>
  <c r="DM72" i="6" s="1"/>
  <c r="AA27" i="10" l="1"/>
  <c r="AA26" i="12" s="1"/>
  <c r="AA27" i="12" s="1"/>
  <c r="AA45" i="12" s="1"/>
  <c r="AA17" i="13"/>
  <c r="AA19" i="13" s="1"/>
  <c r="AA64" i="13" s="1"/>
  <c r="AA27" i="7"/>
  <c r="AA31" i="7" s="1"/>
  <c r="AA34" i="7" s="1"/>
  <c r="BI47" i="9"/>
  <c r="AA13" i="15"/>
  <c r="AA23" i="15" s="1"/>
  <c r="AA25" i="15" s="1"/>
  <c r="AA32" i="11"/>
  <c r="AA94" i="8" s="1"/>
  <c r="AA95" i="8" s="1"/>
  <c r="AA15" i="12"/>
  <c r="AA19" i="12" s="1"/>
  <c r="DM87" i="6"/>
  <c r="DM74" i="6"/>
  <c r="DN69" i="6"/>
  <c r="DK80" i="6"/>
  <c r="DK81" i="6" s="1"/>
  <c r="AA21" i="12" l="1"/>
  <c r="AA62" i="18"/>
  <c r="AA28" i="10"/>
  <c r="AA34" i="11"/>
  <c r="AA36" i="11" s="1"/>
  <c r="AA128" i="8" s="1"/>
  <c r="AA125" i="8" s="1"/>
  <c r="AA88" i="8"/>
  <c r="AA60" i="18" s="1"/>
  <c r="BJ41" i="9"/>
  <c r="BI14" i="14"/>
  <c r="DK88" i="6"/>
  <c r="DK89" i="6" s="1"/>
  <c r="DL78" i="6"/>
  <c r="DK83" i="6"/>
  <c r="DN71" i="6"/>
  <c r="DN72" i="6" s="1"/>
  <c r="BJ46" i="9" l="1"/>
  <c r="BJ16" i="10" s="1"/>
  <c r="BJ18" i="10" s="1"/>
  <c r="G25" i="16"/>
  <c r="AA89" i="8"/>
  <c r="AA39" i="11"/>
  <c r="AA42" i="11" s="1"/>
  <c r="AA44" i="11" s="1"/>
  <c r="AA126" i="8"/>
  <c r="DN87" i="6"/>
  <c r="DN74" i="6"/>
  <c r="DO69" i="6"/>
  <c r="DL80" i="6"/>
  <c r="DL81" i="6" s="1"/>
  <c r="AB123" i="8" l="1"/>
  <c r="AA28" i="14"/>
  <c r="AA36" i="12"/>
  <c r="AA37" i="12" s="1"/>
  <c r="AA46" i="12" s="1"/>
  <c r="AA48" i="12" s="1"/>
  <c r="AA50" i="12" s="1"/>
  <c r="AA58" i="12"/>
  <c r="AA26" i="13"/>
  <c r="AA27" i="14"/>
  <c r="AA80" i="1" s="1"/>
  <c r="AB85" i="8"/>
  <c r="AA45" i="13"/>
  <c r="BJ47" i="9"/>
  <c r="DL88" i="6"/>
  <c r="DL89" i="6" s="1"/>
  <c r="DL83" i="6"/>
  <c r="DM78" i="6"/>
  <c r="DO71" i="6"/>
  <c r="DO72" i="6" s="1"/>
  <c r="AB87" i="8" l="1"/>
  <c r="AB59" i="18" s="1"/>
  <c r="AB103" i="8"/>
  <c r="AB108" i="8" s="1"/>
  <c r="AB61" i="18" s="1"/>
  <c r="AA39" i="12"/>
  <c r="AA41" i="12" s="1"/>
  <c r="AB35" i="12" s="1"/>
  <c r="AA30" i="10"/>
  <c r="AA46" i="11"/>
  <c r="AA48" i="11" s="1"/>
  <c r="AA70" i="12" s="1"/>
  <c r="AA71" i="12" s="1"/>
  <c r="AA29" i="12"/>
  <c r="AA31" i="12" s="1"/>
  <c r="AB25" i="12" s="1"/>
  <c r="BK41" i="9"/>
  <c r="BJ14" i="14"/>
  <c r="AB138" i="8"/>
  <c r="AB21" i="10" s="1"/>
  <c r="AB40" i="11" s="1"/>
  <c r="AB130" i="8"/>
  <c r="DO87" i="6"/>
  <c r="DP69" i="6"/>
  <c r="DO74" i="6"/>
  <c r="DM80" i="6"/>
  <c r="DM81" i="6" s="1"/>
  <c r="AA19" i="14" l="1"/>
  <c r="AA21" i="14" s="1"/>
  <c r="AB69" i="12"/>
  <c r="AA27" i="13"/>
  <c r="AA28" i="13" s="1"/>
  <c r="AA32" i="10"/>
  <c r="AA64" i="12" s="1"/>
  <c r="AA65" i="12" s="1"/>
  <c r="H26" i="16"/>
  <c r="AB30" i="11"/>
  <c r="AB20" i="10"/>
  <c r="AB23" i="10" s="1"/>
  <c r="BK46" i="9"/>
  <c r="BK16" i="10" s="1"/>
  <c r="BK18" i="10" s="1"/>
  <c r="E26" i="16"/>
  <c r="AB107" i="8"/>
  <c r="DM88" i="6"/>
  <c r="DM89" i="6" s="1"/>
  <c r="DM83" i="6"/>
  <c r="DN78" i="6"/>
  <c r="DP71" i="6"/>
  <c r="DP72" i="6" s="1"/>
  <c r="AB11" i="9" l="1"/>
  <c r="AB63" i="12"/>
  <c r="AA33" i="14"/>
  <c r="AA36" i="14" s="1"/>
  <c r="AA39" i="14" s="1"/>
  <c r="AA41" i="14" s="1"/>
  <c r="AB29" i="11"/>
  <c r="AB109" i="8"/>
  <c r="AA77" i="13"/>
  <c r="AA78" i="13"/>
  <c r="AA36" i="1"/>
  <c r="BK47" i="9"/>
  <c r="DP87" i="6"/>
  <c r="DQ69" i="6"/>
  <c r="DP74" i="6"/>
  <c r="DN80" i="6"/>
  <c r="DN81" i="6" s="1"/>
  <c r="AB16" i="12" l="1"/>
  <c r="AB120" i="8"/>
  <c r="AB121" i="8" s="1"/>
  <c r="AB124" i="8" s="1"/>
  <c r="BK14" i="14"/>
  <c r="BL41" i="9"/>
  <c r="AA38" i="1"/>
  <c r="AA45" i="1"/>
  <c r="AB16" i="9"/>
  <c r="AB17" i="9"/>
  <c r="AB22" i="9" s="1"/>
  <c r="AB21" i="9"/>
  <c r="DN88" i="6"/>
  <c r="DN89" i="6" s="1"/>
  <c r="DN83" i="6"/>
  <c r="DO78" i="6"/>
  <c r="DQ71" i="6"/>
  <c r="DQ72" i="6" s="1"/>
  <c r="AB23" i="9" l="1"/>
  <c r="AB27" i="9" s="1"/>
  <c r="AB25" i="10" s="1"/>
  <c r="AB12" i="11" s="1"/>
  <c r="AB15" i="11" s="1"/>
  <c r="AB21" i="11" s="1"/>
  <c r="AB26" i="11" s="1"/>
  <c r="AB84" i="1" s="1"/>
  <c r="AB18" i="9"/>
  <c r="AC15" i="9" s="1"/>
  <c r="AB27" i="10"/>
  <c r="BL46" i="9"/>
  <c r="BL16" i="10" s="1"/>
  <c r="BL18" i="10" s="1"/>
  <c r="AB38" i="11"/>
  <c r="DQ87" i="6"/>
  <c r="DQ74" i="6"/>
  <c r="DR69" i="6"/>
  <c r="DO80" i="6"/>
  <c r="DO81" i="6" s="1"/>
  <c r="AB17" i="13" l="1"/>
  <c r="AB19" i="13" s="1"/>
  <c r="AB64" i="13" s="1"/>
  <c r="AB27" i="7"/>
  <c r="AB31" i="7" s="1"/>
  <c r="AB34" i="7" s="1"/>
  <c r="BL47" i="9"/>
  <c r="BM41" i="9" s="1"/>
  <c r="AB26" i="12"/>
  <c r="AB27" i="12" s="1"/>
  <c r="AB45" i="12" s="1"/>
  <c r="AB28" i="10"/>
  <c r="AB15" i="12"/>
  <c r="AB19" i="12" s="1"/>
  <c r="AB13" i="15"/>
  <c r="AB23" i="15" s="1"/>
  <c r="AB25" i="15" s="1"/>
  <c r="AB32" i="11"/>
  <c r="AB94" i="8" s="1"/>
  <c r="AB95" i="8" s="1"/>
  <c r="DO88" i="6"/>
  <c r="DO89" i="6" s="1"/>
  <c r="DP78" i="6"/>
  <c r="DO83" i="6"/>
  <c r="DR71" i="6"/>
  <c r="DR72" i="6" s="1"/>
  <c r="AB21" i="12" l="1"/>
  <c r="AB62" i="18"/>
  <c r="BL14" i="14"/>
  <c r="AB34" i="11"/>
  <c r="AB36" i="11" s="1"/>
  <c r="AB128" i="8" s="1"/>
  <c r="AB125" i="8" s="1"/>
  <c r="AB88" i="8"/>
  <c r="AB60" i="18" s="1"/>
  <c r="BM46" i="9"/>
  <c r="BM16" i="10" s="1"/>
  <c r="BM18" i="10" s="1"/>
  <c r="DR74" i="6"/>
  <c r="DR87" i="6"/>
  <c r="DS69" i="6"/>
  <c r="DP80" i="6"/>
  <c r="DP81" i="6" s="1"/>
  <c r="BM47" i="9" l="1"/>
  <c r="BM14" i="14" s="1"/>
  <c r="G26" i="16"/>
  <c r="AB89" i="8"/>
  <c r="AB39" i="11"/>
  <c r="AB42" i="11" s="1"/>
  <c r="AB44" i="11" s="1"/>
  <c r="AB126" i="8"/>
  <c r="DP88" i="6"/>
  <c r="DP89" i="6" s="1"/>
  <c r="DQ78" i="6"/>
  <c r="DP83" i="6"/>
  <c r="DS71" i="6"/>
  <c r="DS72" i="6" s="1"/>
  <c r="BN41" i="9" l="1"/>
  <c r="BN46" i="9" s="1"/>
  <c r="BN16" i="10" s="1"/>
  <c r="BN18" i="10" s="1"/>
  <c r="AB36" i="12"/>
  <c r="AB37" i="12" s="1"/>
  <c r="AB46" i="12" s="1"/>
  <c r="AB48" i="12" s="1"/>
  <c r="AB50" i="12" s="1"/>
  <c r="AB58" i="12"/>
  <c r="AB26" i="13"/>
  <c r="AC123" i="8"/>
  <c r="AB28" i="14"/>
  <c r="AB45" i="13"/>
  <c r="AB27" i="14"/>
  <c r="AB80" i="1" s="1"/>
  <c r="AC85" i="8"/>
  <c r="DS87" i="6"/>
  <c r="DS74" i="6"/>
  <c r="DT69" i="6"/>
  <c r="DQ80" i="6"/>
  <c r="DQ81" i="6" s="1"/>
  <c r="AC138" i="8" l="1"/>
  <c r="AC21" i="10" s="1"/>
  <c r="AC40" i="11" s="1"/>
  <c r="AC130" i="8"/>
  <c r="AC103" i="8"/>
  <c r="AC108" i="8" s="1"/>
  <c r="AC61" i="18" s="1"/>
  <c r="AC87" i="8"/>
  <c r="AC59" i="18" s="1"/>
  <c r="BN47" i="9"/>
  <c r="AB30" i="10"/>
  <c r="AB39" i="12"/>
  <c r="AB41" i="12" s="1"/>
  <c r="AC35" i="12" s="1"/>
  <c r="AB29" i="12"/>
  <c r="AB31" i="12" s="1"/>
  <c r="AC25" i="12" s="1"/>
  <c r="AB46" i="11"/>
  <c r="AB48" i="11" s="1"/>
  <c r="AB70" i="12" s="1"/>
  <c r="AB71" i="12" s="1"/>
  <c r="DQ88" i="6"/>
  <c r="DQ89" i="6" s="1"/>
  <c r="DQ83" i="6"/>
  <c r="DR78" i="6"/>
  <c r="DT71" i="6"/>
  <c r="DT72" i="6" s="1"/>
  <c r="BN14" i="14" l="1"/>
  <c r="BO41" i="9"/>
  <c r="AB27" i="13"/>
  <c r="AB28" i="13" s="1"/>
  <c r="AB32" i="10"/>
  <c r="AB64" i="12" s="1"/>
  <c r="AB65" i="12" s="1"/>
  <c r="AC107" i="8"/>
  <c r="E27" i="16"/>
  <c r="H27" i="16"/>
  <c r="AC20" i="10"/>
  <c r="AC23" i="10" s="1"/>
  <c r="AC30" i="11"/>
  <c r="AC69" i="12"/>
  <c r="AB19" i="14"/>
  <c r="AB21" i="14" s="1"/>
  <c r="DR80" i="6"/>
  <c r="DR81" i="6" s="1"/>
  <c r="DT87" i="6"/>
  <c r="DT74" i="6"/>
  <c r="DU69" i="6"/>
  <c r="AC11" i="9" l="1"/>
  <c r="AC109" i="8"/>
  <c r="AC29" i="11"/>
  <c r="AC63" i="12"/>
  <c r="AB33" i="14"/>
  <c r="AB36" i="14" s="1"/>
  <c r="AB39" i="14" s="1"/>
  <c r="AB41" i="14" s="1"/>
  <c r="AB36" i="1"/>
  <c r="AB77" i="13"/>
  <c r="AB78" i="13"/>
  <c r="BO46" i="9"/>
  <c r="BO16" i="10" s="1"/>
  <c r="BO18" i="10" s="1"/>
  <c r="DR88" i="6"/>
  <c r="DR89" i="6" s="1"/>
  <c r="DR83" i="6"/>
  <c r="DS78" i="6"/>
  <c r="DU71" i="6"/>
  <c r="DU72" i="6" s="1"/>
  <c r="BO47" i="9" l="1"/>
  <c r="BP41" i="9" s="1"/>
  <c r="AB45" i="1"/>
  <c r="AB38" i="1"/>
  <c r="AC120" i="8"/>
  <c r="AC121" i="8" s="1"/>
  <c r="AC124" i="8" s="1"/>
  <c r="AC16" i="12"/>
  <c r="AC16" i="9"/>
  <c r="AC17" i="9"/>
  <c r="AC22" i="9" s="1"/>
  <c r="AC21" i="9"/>
  <c r="DU87" i="6"/>
  <c r="DU74" i="6"/>
  <c r="DV69" i="6"/>
  <c r="DS80" i="6"/>
  <c r="DS81" i="6" s="1"/>
  <c r="BO14" i="14" l="1"/>
  <c r="AC18" i="9"/>
  <c r="AD15" i="9" s="1"/>
  <c r="AC38" i="11"/>
  <c r="BP46" i="9"/>
  <c r="BP16" i="10" s="1"/>
  <c r="BP18" i="10" s="1"/>
  <c r="AC23" i="9"/>
  <c r="AC27" i="9" s="1"/>
  <c r="AC25" i="10" s="1"/>
  <c r="DS88" i="6"/>
  <c r="DS89" i="6" s="1"/>
  <c r="DT78" i="6"/>
  <c r="DS83" i="6"/>
  <c r="DV71" i="6"/>
  <c r="DV72" i="6" s="1"/>
  <c r="BP47" i="9" l="1"/>
  <c r="BP14" i="14" s="1"/>
  <c r="AC27" i="7"/>
  <c r="AC31" i="7" s="1"/>
  <c r="AC34" i="7" s="1"/>
  <c r="AC17" i="13"/>
  <c r="AC19" i="13" s="1"/>
  <c r="AC64" i="13" s="1"/>
  <c r="AC12" i="11"/>
  <c r="AC15" i="11" s="1"/>
  <c r="AC21" i="11" s="1"/>
  <c r="AC26" i="11" s="1"/>
  <c r="AC84" i="1" s="1"/>
  <c r="AC27" i="10"/>
  <c r="DV87" i="6"/>
  <c r="DV74" i="6"/>
  <c r="DW69" i="6"/>
  <c r="DT80" i="6"/>
  <c r="DT81" i="6" s="1"/>
  <c r="BQ41" i="9" l="1"/>
  <c r="BQ46" i="9" s="1"/>
  <c r="BQ16" i="10" s="1"/>
  <c r="BQ18" i="10" s="1"/>
  <c r="AC26" i="12"/>
  <c r="AC27" i="12" s="1"/>
  <c r="AC45" i="12" s="1"/>
  <c r="AC28" i="10"/>
  <c r="AC32" i="11"/>
  <c r="AC94" i="8" s="1"/>
  <c r="AC95" i="8" s="1"/>
  <c r="AC15" i="12"/>
  <c r="AC19" i="12" s="1"/>
  <c r="AC13" i="15"/>
  <c r="AC23" i="15" s="1"/>
  <c r="AC25" i="15" s="1"/>
  <c r="DT88" i="6"/>
  <c r="DT89" i="6" s="1"/>
  <c r="DT83" i="6"/>
  <c r="DU78" i="6"/>
  <c r="DW71" i="6"/>
  <c r="DW72" i="6" s="1"/>
  <c r="AC21" i="12" l="1"/>
  <c r="AC62" i="18"/>
  <c r="BQ47" i="9"/>
  <c r="BR41" i="9" s="1"/>
  <c r="AC34" i="11"/>
  <c r="AC36" i="11" s="1"/>
  <c r="AC128" i="8" s="1"/>
  <c r="AC125" i="8" s="1"/>
  <c r="AC88" i="8"/>
  <c r="AC60" i="18" s="1"/>
  <c r="DW87" i="6"/>
  <c r="DX69" i="6"/>
  <c r="DW74" i="6"/>
  <c r="DU80" i="6"/>
  <c r="DU81" i="6" s="1"/>
  <c r="BQ14" i="14" l="1"/>
  <c r="G27" i="16"/>
  <c r="AC89" i="8"/>
  <c r="AC39" i="11"/>
  <c r="AC42" i="11" s="1"/>
  <c r="AC44" i="11" s="1"/>
  <c r="AC126" i="8"/>
  <c r="BR46" i="9"/>
  <c r="BR16" i="10" s="1"/>
  <c r="BR18" i="10" s="1"/>
  <c r="DU88" i="6"/>
  <c r="DU89" i="6" s="1"/>
  <c r="DU83" i="6"/>
  <c r="DV78" i="6"/>
  <c r="DX71" i="6"/>
  <c r="DX72" i="6" s="1"/>
  <c r="BR47" i="9" l="1"/>
  <c r="BS41" i="9" s="1"/>
  <c r="AD123" i="8"/>
  <c r="AC28" i="14"/>
  <c r="AC36" i="12"/>
  <c r="AC37" i="12" s="1"/>
  <c r="AC46" i="12" s="1"/>
  <c r="AC48" i="12" s="1"/>
  <c r="AC50" i="12" s="1"/>
  <c r="AC26" i="13"/>
  <c r="AC58" i="12"/>
  <c r="AC27" i="14"/>
  <c r="AC80" i="1" s="1"/>
  <c r="AC45" i="13"/>
  <c r="AD85" i="8"/>
  <c r="DX87" i="6"/>
  <c r="DY69" i="6"/>
  <c r="DX74" i="6"/>
  <c r="DV80" i="6"/>
  <c r="DV81" i="6" s="1"/>
  <c r="BR14" i="14" l="1"/>
  <c r="AC30" i="10"/>
  <c r="AC29" i="12"/>
  <c r="AC31" i="12" s="1"/>
  <c r="AD25" i="12" s="1"/>
  <c r="AC46" i="11"/>
  <c r="AC48" i="11" s="1"/>
  <c r="AC70" i="12" s="1"/>
  <c r="AC71" i="12" s="1"/>
  <c r="AC39" i="12"/>
  <c r="AC41" i="12" s="1"/>
  <c r="AD35" i="12" s="1"/>
  <c r="AD130" i="8"/>
  <c r="AD138" i="8"/>
  <c r="AD21" i="10" s="1"/>
  <c r="AD40" i="11" s="1"/>
  <c r="AD87" i="8"/>
  <c r="AD59" i="18" s="1"/>
  <c r="AD103" i="8"/>
  <c r="AD108" i="8" s="1"/>
  <c r="AD61" i="18" s="1"/>
  <c r="BS46" i="9"/>
  <c r="BS16" i="10" s="1"/>
  <c r="BS18" i="10" s="1"/>
  <c r="DV88" i="6"/>
  <c r="DV89" i="6" s="1"/>
  <c r="DV83" i="6"/>
  <c r="DW78" i="6"/>
  <c r="DY71" i="6"/>
  <c r="DY72" i="6" s="1"/>
  <c r="BS47" i="9" l="1"/>
  <c r="BT41" i="9" s="1"/>
  <c r="E28" i="16"/>
  <c r="AD107" i="8"/>
  <c r="AD69" i="12"/>
  <c r="AC19" i="14"/>
  <c r="AC21" i="14" s="1"/>
  <c r="H28" i="16"/>
  <c r="AD20" i="10"/>
  <c r="AD23" i="10" s="1"/>
  <c r="AD30" i="11"/>
  <c r="AC27" i="13"/>
  <c r="AC28" i="13" s="1"/>
  <c r="AC32" i="10"/>
  <c r="AC64" i="12" s="1"/>
  <c r="AC65" i="12" s="1"/>
  <c r="DY87" i="6"/>
  <c r="DY74" i="6"/>
  <c r="DZ69" i="6"/>
  <c r="DW80" i="6"/>
  <c r="DW81" i="6" s="1"/>
  <c r="BS14" i="14" l="1"/>
  <c r="AD63" i="12"/>
  <c r="AC33" i="14"/>
  <c r="AC36" i="14" s="1"/>
  <c r="AC39" i="14" s="1"/>
  <c r="AC41" i="14" s="1"/>
  <c r="AC36" i="1"/>
  <c r="AC78" i="13"/>
  <c r="AC77" i="13"/>
  <c r="BT46" i="9"/>
  <c r="BT16" i="10" s="1"/>
  <c r="BT18" i="10" s="1"/>
  <c r="AD29" i="11"/>
  <c r="AD109" i="8"/>
  <c r="AD11" i="9"/>
  <c r="DW88" i="6"/>
  <c r="DW89" i="6" s="1"/>
  <c r="DW83" i="6"/>
  <c r="DX78" i="6"/>
  <c r="DZ71" i="6"/>
  <c r="DZ72" i="6" s="1"/>
  <c r="BT47" i="9" l="1"/>
  <c r="AC45" i="1"/>
  <c r="AC38" i="1"/>
  <c r="AD21" i="9"/>
  <c r="AD17" i="9"/>
  <c r="AD22" i="9" s="1"/>
  <c r="AD16" i="9"/>
  <c r="AD120" i="8"/>
  <c r="AD121" i="8" s="1"/>
  <c r="AD124" i="8" s="1"/>
  <c r="AD16" i="12"/>
  <c r="DZ87" i="6"/>
  <c r="DZ74" i="6"/>
  <c r="EA69" i="6"/>
  <c r="DX80" i="6"/>
  <c r="DX81" i="6" s="1"/>
  <c r="AD23" i="9" l="1"/>
  <c r="AD27" i="9" s="1"/>
  <c r="AD25" i="10" s="1"/>
  <c r="AD17" i="13" s="1"/>
  <c r="AD19" i="13" s="1"/>
  <c r="AD64" i="13" s="1"/>
  <c r="AD18" i="9"/>
  <c r="AE15" i="9" s="1"/>
  <c r="AD38" i="11"/>
  <c r="BU41" i="9"/>
  <c r="BT14" i="14"/>
  <c r="DX88" i="6"/>
  <c r="DX89" i="6" s="1"/>
  <c r="DY78" i="6"/>
  <c r="DX83" i="6"/>
  <c r="EA71" i="6"/>
  <c r="EA72" i="6" s="1"/>
  <c r="AD12" i="11" l="1"/>
  <c r="AD15" i="11" s="1"/>
  <c r="AD21" i="11" s="1"/>
  <c r="AD26" i="11" s="1"/>
  <c r="AD27" i="10"/>
  <c r="AD28" i="10" s="1"/>
  <c r="AD27" i="7"/>
  <c r="AD31" i="7" s="1"/>
  <c r="AD34" i="7" s="1"/>
  <c r="BU46" i="9"/>
  <c r="BU16" i="10" s="1"/>
  <c r="BU18" i="10" s="1"/>
  <c r="EA87" i="6"/>
  <c r="EA74" i="6"/>
  <c r="EB69" i="6"/>
  <c r="DY80" i="6"/>
  <c r="DY81" i="6" s="1"/>
  <c r="AD26" i="12" l="1"/>
  <c r="AD27" i="12" s="1"/>
  <c r="AD45" i="12" s="1"/>
  <c r="AD13" i="15"/>
  <c r="AD23" i="15" s="1"/>
  <c r="AD25" i="15" s="1"/>
  <c r="AD84" i="1"/>
  <c r="AD15" i="12"/>
  <c r="AD19" i="12" s="1"/>
  <c r="AD32" i="11"/>
  <c r="AD94" i="8" s="1"/>
  <c r="AD95" i="8" s="1"/>
  <c r="AD34" i="11" s="1"/>
  <c r="AD36" i="11" s="1"/>
  <c r="AD128" i="8" s="1"/>
  <c r="AD125" i="8" s="1"/>
  <c r="BU47" i="9"/>
  <c r="BV41" i="9" s="1"/>
  <c r="DY83" i="6"/>
  <c r="DZ78" i="6"/>
  <c r="DY88" i="6"/>
  <c r="DY89" i="6" s="1"/>
  <c r="EB71" i="6"/>
  <c r="EB72" i="6" s="1"/>
  <c r="AD21" i="12" l="1"/>
  <c r="AD62" i="18"/>
  <c r="AD88" i="8"/>
  <c r="BU14" i="14"/>
  <c r="BV46" i="9"/>
  <c r="BV16" i="10" s="1"/>
  <c r="BV18" i="10" s="1"/>
  <c r="AD39" i="11"/>
  <c r="AD42" i="11" s="1"/>
  <c r="AD44" i="11" s="1"/>
  <c r="AD126" i="8"/>
  <c r="EB87" i="6"/>
  <c r="EB74" i="6"/>
  <c r="EC69" i="6"/>
  <c r="DZ80" i="6"/>
  <c r="DZ81" i="6" s="1"/>
  <c r="G28" i="16" l="1"/>
  <c r="AD60" i="18"/>
  <c r="AD89" i="8"/>
  <c r="AD45" i="13" s="1"/>
  <c r="AE123" i="8"/>
  <c r="AD28" i="14"/>
  <c r="AD36" i="12"/>
  <c r="AD37" i="12" s="1"/>
  <c r="AD46" i="12" s="1"/>
  <c r="AD48" i="12" s="1"/>
  <c r="AD50" i="12" s="1"/>
  <c r="AD26" i="13"/>
  <c r="AD58" i="12"/>
  <c r="BV47" i="9"/>
  <c r="DZ88" i="6"/>
  <c r="DZ89" i="6" s="1"/>
  <c r="DZ83" i="6"/>
  <c r="EA78" i="6"/>
  <c r="EC71" i="6"/>
  <c r="EC72" i="6" s="1"/>
  <c r="AD27" i="14" l="1"/>
  <c r="AD80" i="1" s="1"/>
  <c r="AE85" i="8"/>
  <c r="AE103" i="8" s="1"/>
  <c r="AE108" i="8" s="1"/>
  <c r="AE61" i="18" s="1"/>
  <c r="AE87" i="8"/>
  <c r="AE59" i="18" s="1"/>
  <c r="AD39" i="12"/>
  <c r="AD41" i="12" s="1"/>
  <c r="AE35" i="12" s="1"/>
  <c r="AD29" i="12"/>
  <c r="AD31" i="12" s="1"/>
  <c r="AE25" i="12" s="1"/>
  <c r="AD46" i="11"/>
  <c r="AD48" i="11" s="1"/>
  <c r="AD70" i="12" s="1"/>
  <c r="AD71" i="12" s="1"/>
  <c r="AD30" i="10"/>
  <c r="BW41" i="9"/>
  <c r="BV14" i="14"/>
  <c r="AE130" i="8"/>
  <c r="AE138" i="8"/>
  <c r="AE21" i="10" s="1"/>
  <c r="AE40" i="11" s="1"/>
  <c r="EC87" i="6"/>
  <c r="EC74" i="6"/>
  <c r="ED69" i="6"/>
  <c r="EA80" i="6"/>
  <c r="EA81" i="6" s="1"/>
  <c r="BW46" i="9" l="1"/>
  <c r="BW16" i="10" s="1"/>
  <c r="BW18" i="10" s="1"/>
  <c r="AD19" i="14"/>
  <c r="AD21" i="14" s="1"/>
  <c r="AE69" i="12"/>
  <c r="AD27" i="13"/>
  <c r="AD28" i="13" s="1"/>
  <c r="AD32" i="10"/>
  <c r="AD64" i="12" s="1"/>
  <c r="AD65" i="12" s="1"/>
  <c r="E29" i="16"/>
  <c r="AE107" i="8"/>
  <c r="H29" i="16"/>
  <c r="AE20" i="10"/>
  <c r="AE23" i="10" s="1"/>
  <c r="AE30" i="11"/>
  <c r="EA88" i="6"/>
  <c r="EA89" i="6" s="1"/>
  <c r="EA83" i="6"/>
  <c r="EB78" i="6"/>
  <c r="ED71" i="6"/>
  <c r="ED72" i="6" s="1"/>
  <c r="AD33" i="14" l="1"/>
  <c r="AD36" i="14" s="1"/>
  <c r="AD39" i="14" s="1"/>
  <c r="AD41" i="14" s="1"/>
  <c r="AE63" i="12"/>
  <c r="AD36" i="1"/>
  <c r="AD77" i="13"/>
  <c r="AD78" i="13"/>
  <c r="AE11" i="9"/>
  <c r="BW47" i="9"/>
  <c r="AE109" i="8"/>
  <c r="AE29" i="11"/>
  <c r="ED87" i="6"/>
  <c r="ED74" i="6"/>
  <c r="EE69" i="6"/>
  <c r="EB80" i="6"/>
  <c r="EB81" i="6" s="1"/>
  <c r="AE16" i="12" l="1"/>
  <c r="AE120" i="8"/>
  <c r="AE121" i="8" s="1"/>
  <c r="AE124" i="8" s="1"/>
  <c r="BW14" i="14"/>
  <c r="BX41" i="9"/>
  <c r="AE21" i="9"/>
  <c r="AE16" i="9"/>
  <c r="AE17" i="9"/>
  <c r="AE22" i="9" s="1"/>
  <c r="AD45" i="1"/>
  <c r="AD38" i="1"/>
  <c r="EB88" i="6"/>
  <c r="EB89" i="6" s="1"/>
  <c r="EB83" i="6"/>
  <c r="EC78" i="6"/>
  <c r="EE71" i="6"/>
  <c r="EE72" i="6" s="1"/>
  <c r="AE23" i="9" l="1"/>
  <c r="AE27" i="9" s="1"/>
  <c r="AE25" i="10" s="1"/>
  <c r="AE27" i="7" s="1"/>
  <c r="AE31" i="7" s="1"/>
  <c r="AE34" i="7" s="1"/>
  <c r="AE18" i="9"/>
  <c r="AF15" i="9" s="1"/>
  <c r="BX46" i="9"/>
  <c r="BX16" i="10" s="1"/>
  <c r="BX18" i="10" s="1"/>
  <c r="AE38" i="11"/>
  <c r="EF69" i="6"/>
  <c r="EE87" i="6"/>
  <c r="EE74" i="6"/>
  <c r="EC80" i="6"/>
  <c r="EC81" i="6" s="1"/>
  <c r="AE27" i="10" l="1"/>
  <c r="AE26" i="12" s="1"/>
  <c r="AE27" i="12" s="1"/>
  <c r="AE45" i="12" s="1"/>
  <c r="AE12" i="11"/>
  <c r="AE15" i="11" s="1"/>
  <c r="AE21" i="11" s="1"/>
  <c r="AE26" i="11" s="1"/>
  <c r="AE17" i="13"/>
  <c r="AE19" i="13" s="1"/>
  <c r="AE64" i="13" s="1"/>
  <c r="BX47" i="9"/>
  <c r="BY41" i="9" s="1"/>
  <c r="EC88" i="6"/>
  <c r="EC89" i="6" s="1"/>
  <c r="EC83" i="6"/>
  <c r="ED78" i="6"/>
  <c r="EF71" i="6"/>
  <c r="EF72" i="6" s="1"/>
  <c r="AE15" i="12" l="1"/>
  <c r="AE19" i="12" s="1"/>
  <c r="AE84" i="1"/>
  <c r="AE28" i="10"/>
  <c r="AE32" i="11"/>
  <c r="AE94" i="8" s="1"/>
  <c r="AE95" i="8" s="1"/>
  <c r="AE34" i="11" s="1"/>
  <c r="AE36" i="11" s="1"/>
  <c r="AE128" i="8" s="1"/>
  <c r="AE125" i="8" s="1"/>
  <c r="AE13" i="15"/>
  <c r="AE23" i="15" s="1"/>
  <c r="AE25" i="15" s="1"/>
  <c r="BX14" i="14"/>
  <c r="BY46" i="9"/>
  <c r="BY16" i="10" s="1"/>
  <c r="BY18" i="10" s="1"/>
  <c r="EF87" i="6"/>
  <c r="EG69" i="6"/>
  <c r="EF74" i="6"/>
  <c r="ED80" i="6"/>
  <c r="ED81" i="6" s="1"/>
  <c r="AE21" i="12" l="1"/>
  <c r="AE62" i="18"/>
  <c r="AE88" i="8"/>
  <c r="BY47" i="9"/>
  <c r="BZ41" i="9" s="1"/>
  <c r="G29" i="16"/>
  <c r="AE39" i="11"/>
  <c r="AE42" i="11" s="1"/>
  <c r="AE44" i="11" s="1"/>
  <c r="AE126" i="8"/>
  <c r="ED88" i="6"/>
  <c r="ED89" i="6" s="1"/>
  <c r="ED83" i="6"/>
  <c r="EE78" i="6"/>
  <c r="EG71" i="6"/>
  <c r="EG72" i="6" s="1"/>
  <c r="AE89" i="8" l="1"/>
  <c r="AE27" i="14" s="1"/>
  <c r="AE80" i="1" s="1"/>
  <c r="AE60" i="18"/>
  <c r="BY14" i="14"/>
  <c r="AE28" i="14"/>
  <c r="AF123" i="8"/>
  <c r="AE36" i="12"/>
  <c r="AE37" i="12" s="1"/>
  <c r="AE46" i="12" s="1"/>
  <c r="AE48" i="12" s="1"/>
  <c r="AE50" i="12" s="1"/>
  <c r="AE58" i="12"/>
  <c r="AE26" i="13"/>
  <c r="AF85" i="8"/>
  <c r="BZ46" i="9"/>
  <c r="BZ16" i="10" s="1"/>
  <c r="BZ18" i="10" s="1"/>
  <c r="EG87" i="6"/>
  <c r="EG74" i="6"/>
  <c r="EH69" i="6"/>
  <c r="EE80" i="6"/>
  <c r="EE81" i="6" s="1"/>
  <c r="AE45" i="13" l="1"/>
  <c r="AF103" i="8"/>
  <c r="AF108" i="8" s="1"/>
  <c r="AF61" i="18" s="1"/>
  <c r="AF87" i="8"/>
  <c r="AF59" i="18" s="1"/>
  <c r="AE29" i="12"/>
  <c r="AE31" i="12" s="1"/>
  <c r="AF25" i="12" s="1"/>
  <c r="AE46" i="11"/>
  <c r="AE48" i="11" s="1"/>
  <c r="AE70" i="12" s="1"/>
  <c r="AE71" i="12" s="1"/>
  <c r="AE39" i="12"/>
  <c r="AE41" i="12" s="1"/>
  <c r="AF35" i="12" s="1"/>
  <c r="AE30" i="10"/>
  <c r="BZ47" i="9"/>
  <c r="AF138" i="8"/>
  <c r="AF21" i="10" s="1"/>
  <c r="AF40" i="11" s="1"/>
  <c r="AF130" i="8"/>
  <c r="EE88" i="6"/>
  <c r="EE89" i="6" s="1"/>
  <c r="EE83" i="6"/>
  <c r="EF78" i="6"/>
  <c r="EH71" i="6"/>
  <c r="EH72" i="6" s="1"/>
  <c r="AE27" i="13" l="1"/>
  <c r="AE28" i="13" s="1"/>
  <c r="AE32" i="10"/>
  <c r="AE64" i="12" s="1"/>
  <c r="AE65" i="12" s="1"/>
  <c r="AE19" i="14"/>
  <c r="AE21" i="14" s="1"/>
  <c r="AF69" i="12"/>
  <c r="CA41" i="9"/>
  <c r="BZ14" i="14"/>
  <c r="E30" i="16"/>
  <c r="AF107" i="8"/>
  <c r="H30" i="16"/>
  <c r="AF30" i="11"/>
  <c r="AF20" i="10"/>
  <c r="AF23" i="10" s="1"/>
  <c r="EH87" i="6"/>
  <c r="EH74" i="6"/>
  <c r="EI69" i="6"/>
  <c r="EF80" i="6"/>
  <c r="EF81" i="6" s="1"/>
  <c r="CA46" i="9" l="1"/>
  <c r="CA16" i="10" s="1"/>
  <c r="CA18" i="10" s="1"/>
  <c r="AF109" i="8"/>
  <c r="AF29" i="11"/>
  <c r="AF11" i="9"/>
  <c r="AE33" i="14"/>
  <c r="AE36" i="14" s="1"/>
  <c r="AE39" i="14" s="1"/>
  <c r="AE41" i="14" s="1"/>
  <c r="AF63" i="12"/>
  <c r="AE36" i="1"/>
  <c r="AE77" i="13"/>
  <c r="AE78" i="13"/>
  <c r="EF88" i="6"/>
  <c r="EF89" i="6" s="1"/>
  <c r="EF83" i="6"/>
  <c r="EG78" i="6"/>
  <c r="EI71" i="6"/>
  <c r="EI72" i="6" s="1"/>
  <c r="CA47" i="9" l="1"/>
  <c r="CB41" i="9" s="1"/>
  <c r="AF17" i="9"/>
  <c r="AF22" i="9" s="1"/>
  <c r="AF21" i="9"/>
  <c r="AF16" i="9"/>
  <c r="AF16" i="12"/>
  <c r="AF120" i="8"/>
  <c r="AF121" i="8" s="1"/>
  <c r="AF124" i="8" s="1"/>
  <c r="CA14" i="14"/>
  <c r="AE45" i="1"/>
  <c r="AE38" i="1"/>
  <c r="EI87" i="6"/>
  <c r="EI74" i="6"/>
  <c r="EJ69" i="6"/>
  <c r="EG80" i="6"/>
  <c r="EG81" i="6" s="1"/>
  <c r="AF18" i="9" l="1"/>
  <c r="AG15" i="9" s="1"/>
  <c r="AF23" i="9"/>
  <c r="AF27" i="9" s="1"/>
  <c r="AF25" i="10" s="1"/>
  <c r="AF12" i="11" s="1"/>
  <c r="AF15" i="11" s="1"/>
  <c r="AF21" i="11" s="1"/>
  <c r="AF26" i="11" s="1"/>
  <c r="AF84" i="1" s="1"/>
  <c r="CB46" i="9"/>
  <c r="CB16" i="10" s="1"/>
  <c r="CB18" i="10" s="1"/>
  <c r="AF38" i="11"/>
  <c r="EG83" i="6"/>
  <c r="EG88" i="6"/>
  <c r="EG89" i="6" s="1"/>
  <c r="EH78" i="6"/>
  <c r="EJ71" i="6"/>
  <c r="EJ72" i="6" s="1"/>
  <c r="AF27" i="10" l="1"/>
  <c r="AF26" i="12" s="1"/>
  <c r="AF27" i="12" s="1"/>
  <c r="AF45" i="12" s="1"/>
  <c r="AF17" i="13"/>
  <c r="AF19" i="13" s="1"/>
  <c r="AF64" i="13" s="1"/>
  <c r="AF27" i="7"/>
  <c r="AF31" i="7" s="1"/>
  <c r="AF34" i="7" s="1"/>
  <c r="CB47" i="9"/>
  <c r="CC41" i="9" s="1"/>
  <c r="AF15" i="12"/>
  <c r="AF19" i="12" s="1"/>
  <c r="AF32" i="11"/>
  <c r="AF94" i="8" s="1"/>
  <c r="AF95" i="8" s="1"/>
  <c r="AF13" i="15"/>
  <c r="AF23" i="15" s="1"/>
  <c r="AF25" i="15" s="1"/>
  <c r="EJ87" i="6"/>
  <c r="EJ74" i="6"/>
  <c r="EK69" i="6"/>
  <c r="EH80" i="6"/>
  <c r="EH81" i="6" s="1"/>
  <c r="CB14" i="14" l="1"/>
  <c r="AF21" i="12"/>
  <c r="AF62" i="18"/>
  <c r="AF28" i="10"/>
  <c r="CC46" i="9"/>
  <c r="CC16" i="10" s="1"/>
  <c r="CC18" i="10" s="1"/>
  <c r="AF88" i="8"/>
  <c r="AF60" i="18" s="1"/>
  <c r="AF34" i="11"/>
  <c r="AF36" i="11" s="1"/>
  <c r="AF128" i="8" s="1"/>
  <c r="AF125" i="8" s="1"/>
  <c r="EH88" i="6"/>
  <c r="EH89" i="6" s="1"/>
  <c r="EI78" i="6"/>
  <c r="EH83" i="6"/>
  <c r="EK71" i="6"/>
  <c r="EK72" i="6" s="1"/>
  <c r="AF39" i="11" l="1"/>
  <c r="AF42" i="11" s="1"/>
  <c r="AF44" i="11" s="1"/>
  <c r="AF126" i="8"/>
  <c r="G30" i="16"/>
  <c r="AF89" i="8"/>
  <c r="CC47" i="9"/>
  <c r="EK87" i="6"/>
  <c r="EK74" i="6"/>
  <c r="EL69" i="6"/>
  <c r="EI80" i="6"/>
  <c r="EI81" i="6" s="1"/>
  <c r="CD41" i="9" l="1"/>
  <c r="CC14" i="14"/>
  <c r="AF45" i="13"/>
  <c r="AF27" i="14"/>
  <c r="AF80" i="1" s="1"/>
  <c r="AG85" i="8"/>
  <c r="AF28" i="14"/>
  <c r="AG123" i="8"/>
  <c r="AF36" i="12"/>
  <c r="AF37" i="12" s="1"/>
  <c r="AF46" i="12" s="1"/>
  <c r="AF48" i="12" s="1"/>
  <c r="AF50" i="12" s="1"/>
  <c r="AF58" i="12"/>
  <c r="AF26" i="13"/>
  <c r="EI88" i="6"/>
  <c r="EI89" i="6" s="1"/>
  <c r="EI83" i="6"/>
  <c r="EJ78" i="6"/>
  <c r="EL71" i="6"/>
  <c r="EL72" i="6" s="1"/>
  <c r="AF46" i="11" l="1"/>
  <c r="AF48" i="11" s="1"/>
  <c r="AF70" i="12" s="1"/>
  <c r="AF71" i="12" s="1"/>
  <c r="AF30" i="10"/>
  <c r="AF39" i="12"/>
  <c r="AF41" i="12" s="1"/>
  <c r="AG35" i="12" s="1"/>
  <c r="AF29" i="12"/>
  <c r="AF31" i="12" s="1"/>
  <c r="AG25" i="12" s="1"/>
  <c r="AG138" i="8"/>
  <c r="AG21" i="10" s="1"/>
  <c r="AG40" i="11" s="1"/>
  <c r="AG130" i="8"/>
  <c r="AG87" i="8"/>
  <c r="AG59" i="18" s="1"/>
  <c r="AG103" i="8"/>
  <c r="AG108" i="8" s="1"/>
  <c r="AG61" i="18" s="1"/>
  <c r="CD46" i="9"/>
  <c r="CD16" i="10" s="1"/>
  <c r="CD18" i="10" s="1"/>
  <c r="EL87" i="6"/>
  <c r="EL74" i="6"/>
  <c r="EM69" i="6"/>
  <c r="EJ80" i="6"/>
  <c r="EJ81" i="6" s="1"/>
  <c r="E31" i="16" l="1"/>
  <c r="AG107" i="8"/>
  <c r="CD47" i="9"/>
  <c r="AF27" i="13"/>
  <c r="AF28" i="13" s="1"/>
  <c r="AF32" i="10"/>
  <c r="AF64" i="12" s="1"/>
  <c r="AF65" i="12" s="1"/>
  <c r="H31" i="16"/>
  <c r="AG30" i="11"/>
  <c r="AG20" i="10"/>
  <c r="AG23" i="10" s="1"/>
  <c r="AF19" i="14"/>
  <c r="AF21" i="14" s="1"/>
  <c r="AG69" i="12"/>
  <c r="EJ88" i="6"/>
  <c r="EJ89" i="6" s="1"/>
  <c r="EJ83" i="6"/>
  <c r="EK78" i="6"/>
  <c r="EM71" i="6"/>
  <c r="EM72" i="6" s="1"/>
  <c r="AF33" i="14" l="1"/>
  <c r="AF36" i="14" s="1"/>
  <c r="AF39" i="14" s="1"/>
  <c r="AF41" i="14" s="1"/>
  <c r="AG63" i="12"/>
  <c r="AF36" i="1"/>
  <c r="AF78" i="13"/>
  <c r="AF77" i="13"/>
  <c r="CD14" i="14"/>
  <c r="CE41" i="9"/>
  <c r="AG29" i="11"/>
  <c r="AG109" i="8"/>
  <c r="AG11" i="9"/>
  <c r="EM87" i="6"/>
  <c r="EM74" i="6"/>
  <c r="EN69" i="6"/>
  <c r="EK80" i="6"/>
  <c r="EK81" i="6" s="1"/>
  <c r="CE46" i="9" l="1"/>
  <c r="CE16" i="10" s="1"/>
  <c r="CE18" i="10" s="1"/>
  <c r="AF45" i="1"/>
  <c r="AF38" i="1"/>
  <c r="AG17" i="9"/>
  <c r="AG22" i="9" s="1"/>
  <c r="AG16" i="9"/>
  <c r="AG21" i="9"/>
  <c r="AG16" i="12"/>
  <c r="AG120" i="8"/>
  <c r="AG121" i="8" s="1"/>
  <c r="AG124" i="8" s="1"/>
  <c r="EK88" i="6"/>
  <c r="EK89" i="6" s="1"/>
  <c r="EK83" i="6"/>
  <c r="EL78" i="6"/>
  <c r="EN71" i="6"/>
  <c r="EN72" i="6" s="1"/>
  <c r="AG18" i="9" l="1"/>
  <c r="AH15" i="9" s="1"/>
  <c r="CE47" i="9"/>
  <c r="CF41" i="9" s="1"/>
  <c r="AG23" i="9"/>
  <c r="AG27" i="9" s="1"/>
  <c r="AG25" i="10" s="1"/>
  <c r="AG38" i="11"/>
  <c r="EN87" i="6"/>
  <c r="EN74" i="6"/>
  <c r="EO69" i="6"/>
  <c r="EL80" i="6"/>
  <c r="EL81" i="6" s="1"/>
  <c r="CE14" i="14" l="1"/>
  <c r="CF46" i="9"/>
  <c r="CF16" i="10" s="1"/>
  <c r="CF18" i="10" s="1"/>
  <c r="AG12" i="11"/>
  <c r="AG15" i="11" s="1"/>
  <c r="AG21" i="11" s="1"/>
  <c r="AG26" i="11" s="1"/>
  <c r="AG84" i="1" s="1"/>
  <c r="AG27" i="7"/>
  <c r="AG31" i="7" s="1"/>
  <c r="AG34" i="7" s="1"/>
  <c r="AG17" i="13"/>
  <c r="AG19" i="13" s="1"/>
  <c r="AG64" i="13" s="1"/>
  <c r="AG27" i="10"/>
  <c r="EL88" i="6"/>
  <c r="EL89" i="6" s="1"/>
  <c r="EL83" i="6"/>
  <c r="EM78" i="6"/>
  <c r="EO71" i="6"/>
  <c r="EO72" i="6" s="1"/>
  <c r="CF47" i="9" l="1"/>
  <c r="AG26" i="12"/>
  <c r="AG27" i="12" s="1"/>
  <c r="AG45" i="12" s="1"/>
  <c r="AG28" i="10"/>
  <c r="AG13" i="15"/>
  <c r="AG23" i="15" s="1"/>
  <c r="AG25" i="15" s="1"/>
  <c r="AG15" i="12"/>
  <c r="AG19" i="12" s="1"/>
  <c r="AG32" i="11"/>
  <c r="AG94" i="8" s="1"/>
  <c r="AG95" i="8" s="1"/>
  <c r="CG41" i="9"/>
  <c r="CF14" i="14"/>
  <c r="EO87" i="6"/>
  <c r="EP69" i="6"/>
  <c r="EO74" i="6"/>
  <c r="EM80" i="6"/>
  <c r="EM81" i="6" s="1"/>
  <c r="AG21" i="12" l="1"/>
  <c r="AG62" i="18"/>
  <c r="AG34" i="11"/>
  <c r="AG36" i="11" s="1"/>
  <c r="AG128" i="8" s="1"/>
  <c r="AG125" i="8" s="1"/>
  <c r="AG88" i="8"/>
  <c r="AG60" i="18" s="1"/>
  <c r="CG46" i="9"/>
  <c r="CG16" i="10" s="1"/>
  <c r="CG18" i="10" s="1"/>
  <c r="EM88" i="6"/>
  <c r="EM89" i="6" s="1"/>
  <c r="EM83" i="6"/>
  <c r="EN78" i="6"/>
  <c r="EP71" i="6"/>
  <c r="EP72" i="6" s="1"/>
  <c r="CG47" i="9" l="1"/>
  <c r="G31" i="16"/>
  <c r="AG89" i="8"/>
  <c r="AG39" i="11"/>
  <c r="AG42" i="11" s="1"/>
  <c r="AG44" i="11" s="1"/>
  <c r="AG126" i="8"/>
  <c r="EN80" i="6"/>
  <c r="EN81" i="6" s="1"/>
  <c r="EP87" i="6"/>
  <c r="EQ69" i="6"/>
  <c r="EP74" i="6"/>
  <c r="AG28" i="14" l="1"/>
  <c r="AH123" i="8"/>
  <c r="AG36" i="12"/>
  <c r="AG37" i="12" s="1"/>
  <c r="AG46" i="12" s="1"/>
  <c r="AG48" i="12" s="1"/>
  <c r="AG50" i="12" s="1"/>
  <c r="AG58" i="12"/>
  <c r="AG26" i="13"/>
  <c r="AG27" i="14"/>
  <c r="AG80" i="1" s="1"/>
  <c r="AH85" i="8"/>
  <c r="AG45" i="13"/>
  <c r="CH41" i="9"/>
  <c r="CG14" i="14"/>
  <c r="EN88" i="6"/>
  <c r="EN89" i="6" s="1"/>
  <c r="EN83" i="6"/>
  <c r="EO78" i="6"/>
  <c r="EQ71" i="6"/>
  <c r="EQ72" i="6" s="1"/>
  <c r="AH87" i="8" l="1"/>
  <c r="AH59" i="18" s="1"/>
  <c r="AH103" i="8"/>
  <c r="AH108" i="8" s="1"/>
  <c r="AH61" i="18" s="1"/>
  <c r="AG29" i="12"/>
  <c r="AG31" i="12" s="1"/>
  <c r="AH25" i="12" s="1"/>
  <c r="AG46" i="11"/>
  <c r="AG48" i="11" s="1"/>
  <c r="AG70" i="12" s="1"/>
  <c r="AG71" i="12" s="1"/>
  <c r="AG39" i="12"/>
  <c r="AG41" i="12" s="1"/>
  <c r="AH35" i="12" s="1"/>
  <c r="AG30" i="10"/>
  <c r="AH130" i="8"/>
  <c r="AH138" i="8"/>
  <c r="AH21" i="10" s="1"/>
  <c r="AH40" i="11" s="1"/>
  <c r="CH46" i="9"/>
  <c r="CH16" i="10" s="1"/>
  <c r="CH18" i="10" s="1"/>
  <c r="EQ87" i="6"/>
  <c r="EQ74" i="6"/>
  <c r="ER69" i="6"/>
  <c r="EO80" i="6"/>
  <c r="EO81" i="6" s="1"/>
  <c r="CH47" i="9" l="1"/>
  <c r="CH14" i="14" s="1"/>
  <c r="AG27" i="13"/>
  <c r="AG28" i="13" s="1"/>
  <c r="AG32" i="10"/>
  <c r="AG64" i="12" s="1"/>
  <c r="AG65" i="12" s="1"/>
  <c r="AG19" i="14"/>
  <c r="AG21" i="14" s="1"/>
  <c r="AH69" i="12"/>
  <c r="H32" i="16"/>
  <c r="AH30" i="11"/>
  <c r="AH20" i="10"/>
  <c r="AH23" i="10" s="1"/>
  <c r="E32" i="16"/>
  <c r="AH107" i="8"/>
  <c r="EO83" i="6"/>
  <c r="EO88" i="6"/>
  <c r="EO89" i="6" s="1"/>
  <c r="EP78" i="6"/>
  <c r="ER71" i="6"/>
  <c r="ER72" i="6" s="1"/>
  <c r="CI41" i="9" l="1"/>
  <c r="CI46" i="9" s="1"/>
  <c r="CI16" i="10" s="1"/>
  <c r="CI18" i="10" s="1"/>
  <c r="AH29" i="11"/>
  <c r="AH109" i="8"/>
  <c r="AG33" i="14"/>
  <c r="AG36" i="14" s="1"/>
  <c r="AG39" i="14" s="1"/>
  <c r="AG41" i="14" s="1"/>
  <c r="AH63" i="12"/>
  <c r="AH11" i="9"/>
  <c r="AG36" i="1"/>
  <c r="AG78" i="13"/>
  <c r="AG77" i="13"/>
  <c r="ER87" i="6"/>
  <c r="ES69" i="6"/>
  <c r="ER74" i="6"/>
  <c r="EP80" i="6"/>
  <c r="EP81" i="6" s="1"/>
  <c r="AH21" i="9" l="1"/>
  <c r="AH16" i="9"/>
  <c r="AH17" i="9"/>
  <c r="AH22" i="9" s="1"/>
  <c r="AH120" i="8"/>
  <c r="AH121" i="8" s="1"/>
  <c r="AH124" i="8" s="1"/>
  <c r="AH16" i="12"/>
  <c r="CI47" i="9"/>
  <c r="AG45" i="1"/>
  <c r="AG38" i="1"/>
  <c r="EP88" i="6"/>
  <c r="EP89" i="6" s="1"/>
  <c r="EQ78" i="6"/>
  <c r="EP83" i="6"/>
  <c r="ES71" i="6"/>
  <c r="ES72" i="6" s="1"/>
  <c r="CI14" i="14" l="1"/>
  <c r="CJ41" i="9"/>
  <c r="AH38" i="11"/>
  <c r="AH18" i="9"/>
  <c r="AI15" i="9" s="1"/>
  <c r="AH23" i="9"/>
  <c r="AH27" i="9" s="1"/>
  <c r="AH25" i="10" s="1"/>
  <c r="ES87" i="6"/>
  <c r="ES74" i="6"/>
  <c r="ET69" i="6"/>
  <c r="EQ80" i="6"/>
  <c r="EQ81" i="6" s="1"/>
  <c r="AH12" i="11" l="1"/>
  <c r="AH15" i="11" s="1"/>
  <c r="AH21" i="11" s="1"/>
  <c r="AH26" i="11" s="1"/>
  <c r="AH84" i="1" s="1"/>
  <c r="AH27" i="7"/>
  <c r="AH31" i="7" s="1"/>
  <c r="AH34" i="7" s="1"/>
  <c r="AH17" i="13"/>
  <c r="AH19" i="13" s="1"/>
  <c r="AH64" i="13" s="1"/>
  <c r="AH27" i="10"/>
  <c r="CJ46" i="9"/>
  <c r="CJ16" i="10" s="1"/>
  <c r="CJ18" i="10" s="1"/>
  <c r="ET71" i="6"/>
  <c r="ET72" i="6" s="1"/>
  <c r="EQ88" i="6"/>
  <c r="EQ89" i="6" s="1"/>
  <c r="EQ83" i="6"/>
  <c r="ER78" i="6"/>
  <c r="CJ47" i="9" l="1"/>
  <c r="CJ14" i="14" s="1"/>
  <c r="AH26" i="12"/>
  <c r="AH27" i="12" s="1"/>
  <c r="AH45" i="12" s="1"/>
  <c r="AH28" i="10"/>
  <c r="AH15" i="12"/>
  <c r="AH19" i="12" s="1"/>
  <c r="AH32" i="11"/>
  <c r="AH94" i="8" s="1"/>
  <c r="AH95" i="8" s="1"/>
  <c r="AH13" i="15"/>
  <c r="AH23" i="15" s="1"/>
  <c r="AH25" i="15" s="1"/>
  <c r="ET87" i="6"/>
  <c r="ET74" i="6"/>
  <c r="ER80" i="6"/>
  <c r="ER81" i="6" s="1"/>
  <c r="AH21" i="12" l="1"/>
  <c r="AH62" i="18"/>
  <c r="CK41" i="9"/>
  <c r="CK46" i="9" s="1"/>
  <c r="CK16" i="10" s="1"/>
  <c r="CK18" i="10" s="1"/>
  <c r="AH88" i="8"/>
  <c r="AH60" i="18" s="1"/>
  <c r="AH34" i="11"/>
  <c r="AH36" i="11" s="1"/>
  <c r="AH128" i="8" s="1"/>
  <c r="AH125" i="8" s="1"/>
  <c r="ER88" i="6"/>
  <c r="ER89" i="6" s="1"/>
  <c r="ER83" i="6"/>
  <c r="ES78" i="6"/>
  <c r="CK47" i="9" l="1"/>
  <c r="CK14" i="14" s="1"/>
  <c r="AH39" i="11"/>
  <c r="AH42" i="11" s="1"/>
  <c r="AH44" i="11" s="1"/>
  <c r="AH126" i="8"/>
  <c r="G32" i="16"/>
  <c r="AH89" i="8"/>
  <c r="ES80" i="6"/>
  <c r="ES81" i="6" s="1"/>
  <c r="CL41" i="9" l="1"/>
  <c r="CL46" i="9" s="1"/>
  <c r="CL16" i="10" s="1"/>
  <c r="CL18" i="10" s="1"/>
  <c r="AH27" i="14"/>
  <c r="AH80" i="1" s="1"/>
  <c r="AI85" i="8"/>
  <c r="AH45" i="13"/>
  <c r="AH28" i="14"/>
  <c r="AI123" i="8"/>
  <c r="AH36" i="12"/>
  <c r="AH37" i="12" s="1"/>
  <c r="AH46" i="12" s="1"/>
  <c r="AH48" i="12" s="1"/>
  <c r="AH50" i="12" s="1"/>
  <c r="AH58" i="12"/>
  <c r="AH26" i="13"/>
  <c r="ES88" i="6"/>
  <c r="ES89" i="6" s="1"/>
  <c r="ES83" i="6"/>
  <c r="ET78" i="6"/>
  <c r="CL47" i="9" l="1"/>
  <c r="CL14" i="14" s="1"/>
  <c r="AH46" i="11"/>
  <c r="AH48" i="11" s="1"/>
  <c r="AH70" i="12" s="1"/>
  <c r="AH71" i="12" s="1"/>
  <c r="AH30" i="10"/>
  <c r="AH39" i="12"/>
  <c r="AH41" i="12" s="1"/>
  <c r="AI35" i="12" s="1"/>
  <c r="AH29" i="12"/>
  <c r="AH31" i="12" s="1"/>
  <c r="AI25" i="12" s="1"/>
  <c r="AI130" i="8"/>
  <c r="AI138" i="8"/>
  <c r="AI21" i="10" s="1"/>
  <c r="AI40" i="11" s="1"/>
  <c r="CM41" i="9"/>
  <c r="AI87" i="8"/>
  <c r="AI59" i="18" s="1"/>
  <c r="AI103" i="8"/>
  <c r="AI108" i="8" s="1"/>
  <c r="AI61" i="18" s="1"/>
  <c r="ET80" i="6"/>
  <c r="ET81" i="6" s="1"/>
  <c r="H33" i="16" l="1"/>
  <c r="AI30" i="11"/>
  <c r="AI20" i="10"/>
  <c r="AI23" i="10" s="1"/>
  <c r="AI107" i="8"/>
  <c r="E33" i="16"/>
  <c r="AH27" i="13"/>
  <c r="AH28" i="13" s="1"/>
  <c r="AH32" i="10"/>
  <c r="AH64" i="12" s="1"/>
  <c r="AH65" i="12" s="1"/>
  <c r="CM46" i="9"/>
  <c r="CM16" i="10" s="1"/>
  <c r="CM18" i="10" s="1"/>
  <c r="AI69" i="12"/>
  <c r="AH19" i="14"/>
  <c r="AH21" i="14" s="1"/>
  <c r="ET88" i="6"/>
  <c r="ET89" i="6" s="1"/>
  <c r="ET83" i="6"/>
  <c r="CM47" i="9" l="1"/>
  <c r="CN41" i="9" s="1"/>
  <c r="AI63" i="12"/>
  <c r="AH33" i="14"/>
  <c r="AH36" i="14" s="1"/>
  <c r="AH39" i="14" s="1"/>
  <c r="AH41" i="14" s="1"/>
  <c r="AH36" i="1"/>
  <c r="AH77" i="13"/>
  <c r="AH78" i="13"/>
  <c r="AI109" i="8"/>
  <c r="AI29" i="11"/>
  <c r="AI11" i="9"/>
  <c r="CM14" i="14" l="1"/>
  <c r="AI16" i="9"/>
  <c r="AI21" i="9"/>
  <c r="AI17" i="9"/>
  <c r="AI22" i="9" s="1"/>
  <c r="AI16" i="12"/>
  <c r="AI120" i="8"/>
  <c r="AI121" i="8" s="1"/>
  <c r="AI124" i="8" s="1"/>
  <c r="AH38" i="1"/>
  <c r="AH45" i="1"/>
  <c r="CN46" i="9"/>
  <c r="CN16" i="10" s="1"/>
  <c r="CN18" i="10" s="1"/>
  <c r="AI23" i="9" l="1"/>
  <c r="AI27" i="9" s="1"/>
  <c r="AI25" i="10" s="1"/>
  <c r="AI27" i="7" s="1"/>
  <c r="AI31" i="7" s="1"/>
  <c r="AI34" i="7" s="1"/>
  <c r="CN47" i="9"/>
  <c r="CN14" i="14" s="1"/>
  <c r="AI18" i="9"/>
  <c r="AJ15" i="9" s="1"/>
  <c r="AI38" i="11"/>
  <c r="AI27" i="10" l="1"/>
  <c r="AI26" i="12" s="1"/>
  <c r="AI27" i="12" s="1"/>
  <c r="AI45" i="12" s="1"/>
  <c r="AI17" i="13"/>
  <c r="AI19" i="13" s="1"/>
  <c r="AI64" i="13" s="1"/>
  <c r="AI12" i="11"/>
  <c r="AI15" i="11" s="1"/>
  <c r="AI21" i="11" s="1"/>
  <c r="AI26" i="11" s="1"/>
  <c r="CO41" i="9"/>
  <c r="CO46" i="9" s="1"/>
  <c r="CO16" i="10" s="1"/>
  <c r="CO18" i="10" s="1"/>
  <c r="AI15" i="12" l="1"/>
  <c r="AI19" i="12" s="1"/>
  <c r="AI84" i="1"/>
  <c r="AI28" i="10"/>
  <c r="AI32" i="11"/>
  <c r="AI94" i="8" s="1"/>
  <c r="AI95" i="8" s="1"/>
  <c r="AI34" i="11" s="1"/>
  <c r="AI36" i="11" s="1"/>
  <c r="AI128" i="8" s="1"/>
  <c r="AI125" i="8" s="1"/>
  <c r="AI13" i="15"/>
  <c r="AI23" i="15" s="1"/>
  <c r="AI25" i="15" s="1"/>
  <c r="CO47" i="9"/>
  <c r="AI21" i="12" l="1"/>
  <c r="AI62" i="18"/>
  <c r="AI88" i="8"/>
  <c r="CP41" i="9"/>
  <c r="CO14" i="14"/>
  <c r="G33" i="16"/>
  <c r="AI39" i="11"/>
  <c r="AI42" i="11" s="1"/>
  <c r="AI44" i="11" s="1"/>
  <c r="AI126" i="8"/>
  <c r="AI89" i="8" l="1"/>
  <c r="AI60" i="18"/>
  <c r="AI36" i="12"/>
  <c r="AI37" i="12" s="1"/>
  <c r="AI46" i="12" s="1"/>
  <c r="AI48" i="12" s="1"/>
  <c r="AI50" i="12" s="1"/>
  <c r="AI58" i="12"/>
  <c r="AI26" i="13"/>
  <c r="AI27" i="14"/>
  <c r="AI80" i="1" s="1"/>
  <c r="AJ85" i="8"/>
  <c r="AI45" i="13"/>
  <c r="AI28" i="14"/>
  <c r="AJ123" i="8"/>
  <c r="CP46" i="9"/>
  <c r="CP16" i="10" s="1"/>
  <c r="CP18" i="10" s="1"/>
  <c r="CP47" i="9" l="1"/>
  <c r="CQ41" i="9" s="1"/>
  <c r="CQ46" i="9" s="1"/>
  <c r="AJ103" i="8"/>
  <c r="AJ108" i="8" s="1"/>
  <c r="AJ61" i="18" s="1"/>
  <c r="AJ87" i="8"/>
  <c r="AJ59" i="18" s="1"/>
  <c r="AJ130" i="8"/>
  <c r="AJ138" i="8"/>
  <c r="AJ21" i="10" s="1"/>
  <c r="AJ40" i="11" s="1"/>
  <c r="AI30" i="10"/>
  <c r="AI29" i="12"/>
  <c r="AI31" i="12" s="1"/>
  <c r="AJ25" i="12" s="1"/>
  <c r="AI46" i="11"/>
  <c r="AI48" i="11" s="1"/>
  <c r="AI70" i="12" s="1"/>
  <c r="AI71" i="12" s="1"/>
  <c r="AI39" i="12"/>
  <c r="AI41" i="12" s="1"/>
  <c r="AJ35" i="12" s="1"/>
  <c r="CP14" i="14" l="1"/>
  <c r="CQ47" i="9"/>
  <c r="CQ14" i="14" s="1"/>
  <c r="CQ16" i="10"/>
  <c r="N46" i="9"/>
  <c r="J46" i="9" s="1"/>
  <c r="K161" i="3" s="1"/>
  <c r="AI19" i="14"/>
  <c r="AI21" i="14" s="1"/>
  <c r="AJ69" i="12"/>
  <c r="AJ107" i="8"/>
  <c r="E34" i="16"/>
  <c r="AI27" i="13"/>
  <c r="AI28" i="13" s="1"/>
  <c r="AI32" i="10"/>
  <c r="AI64" i="12" s="1"/>
  <c r="AI65" i="12" s="1"/>
  <c r="H34" i="16"/>
  <c r="AJ30" i="11"/>
  <c r="AJ20" i="10"/>
  <c r="AJ23" i="10" s="1"/>
  <c r="AJ109" i="8" l="1"/>
  <c r="AJ29" i="11"/>
  <c r="CQ18" i="10"/>
  <c r="N18" i="10" s="1"/>
  <c r="N16" i="10"/>
  <c r="AI36" i="1"/>
  <c r="AI78" i="13"/>
  <c r="AI77" i="13"/>
  <c r="AJ11" i="9"/>
  <c r="AJ63" i="12"/>
  <c r="AI33" i="14"/>
  <c r="AI36" i="14" s="1"/>
  <c r="AI39" i="14" s="1"/>
  <c r="AI41" i="14" s="1"/>
  <c r="AJ21" i="9" l="1"/>
  <c r="AJ16" i="9"/>
  <c r="AJ17" i="9"/>
  <c r="AJ22" i="9" s="1"/>
  <c r="AI45" i="1"/>
  <c r="AI38" i="1"/>
  <c r="AJ120" i="8"/>
  <c r="AJ121" i="8" s="1"/>
  <c r="AJ124" i="8" s="1"/>
  <c r="AJ16" i="12"/>
  <c r="AJ23" i="9" l="1"/>
  <c r="AJ27" i="9" s="1"/>
  <c r="AJ25" i="10" s="1"/>
  <c r="AJ12" i="11" s="1"/>
  <c r="AJ15" i="11" s="1"/>
  <c r="AJ21" i="11" s="1"/>
  <c r="AJ26" i="11" s="1"/>
  <c r="AJ84" i="1" s="1"/>
  <c r="AJ38" i="11"/>
  <c r="AJ18" i="9"/>
  <c r="AK15" i="9" s="1"/>
  <c r="AJ27" i="10" l="1"/>
  <c r="AJ26" i="12" s="1"/>
  <c r="AJ27" i="12" s="1"/>
  <c r="AJ45" i="12" s="1"/>
  <c r="AJ27" i="7"/>
  <c r="AJ31" i="7" s="1"/>
  <c r="AJ34" i="7" s="1"/>
  <c r="AJ17" i="13"/>
  <c r="AJ19" i="13" s="1"/>
  <c r="AJ64" i="13" s="1"/>
  <c r="AJ13" i="15"/>
  <c r="AJ23" i="15" s="1"/>
  <c r="AJ25" i="15" s="1"/>
  <c r="AJ32" i="11"/>
  <c r="AJ94" i="8" s="1"/>
  <c r="AJ95" i="8" s="1"/>
  <c r="AJ15" i="12"/>
  <c r="AJ19" i="12" s="1"/>
  <c r="AJ21" i="12" l="1"/>
  <c r="AJ62" i="18"/>
  <c r="AJ28" i="10"/>
  <c r="AJ34" i="11"/>
  <c r="AJ36" i="11" s="1"/>
  <c r="AJ128" i="8" s="1"/>
  <c r="AJ125" i="8" s="1"/>
  <c r="AJ88" i="8"/>
  <c r="AJ60" i="18" s="1"/>
  <c r="G34" i="16" l="1"/>
  <c r="AJ89" i="8"/>
  <c r="AJ39" i="11"/>
  <c r="AJ42" i="11" s="1"/>
  <c r="AJ126" i="8"/>
  <c r="AJ44" i="11" l="1"/>
  <c r="AJ36" i="12" s="1"/>
  <c r="AJ37" i="12" s="1"/>
  <c r="AJ46" i="12" s="1"/>
  <c r="AJ48" i="12" s="1"/>
  <c r="AJ50" i="12" s="1"/>
  <c r="AJ28" i="14"/>
  <c r="AK123" i="8"/>
  <c r="AJ45" i="13"/>
  <c r="AJ27" i="14"/>
  <c r="AJ80" i="1" s="1"/>
  <c r="AK85" i="8"/>
  <c r="AK87" i="8" l="1"/>
  <c r="AK59" i="18" s="1"/>
  <c r="AK103" i="8"/>
  <c r="AK108" i="8" s="1"/>
  <c r="AK130" i="8"/>
  <c r="AK138" i="8"/>
  <c r="AK21" i="10" s="1"/>
  <c r="AK40" i="11" s="1"/>
  <c r="AJ29" i="12"/>
  <c r="AJ31" i="12" s="1"/>
  <c r="AK25" i="12" s="1"/>
  <c r="AJ39" i="12"/>
  <c r="AJ41" i="12" s="1"/>
  <c r="AK35" i="12" s="1"/>
  <c r="AJ46" i="11"/>
  <c r="AJ48" i="11" s="1"/>
  <c r="AJ70" i="12" s="1"/>
  <c r="AJ71" i="12" s="1"/>
  <c r="AJ30" i="10"/>
  <c r="AJ58" i="12"/>
  <c r="AJ26" i="13"/>
  <c r="AK30" i="11" l="1"/>
  <c r="AK61" i="18"/>
  <c r="AJ27" i="13"/>
  <c r="AJ28" i="13" s="1"/>
  <c r="AJ32" i="10"/>
  <c r="AJ64" i="12" s="1"/>
  <c r="AJ65" i="12" s="1"/>
  <c r="H35" i="16"/>
  <c r="AK20" i="10"/>
  <c r="AK23" i="10" s="1"/>
  <c r="AK69" i="12"/>
  <c r="AJ19" i="14"/>
  <c r="AJ21" i="14" s="1"/>
  <c r="E35" i="16"/>
  <c r="AK107" i="8"/>
  <c r="AK29" i="11" s="1"/>
  <c r="AK11" i="9" l="1"/>
  <c r="AK63" i="12"/>
  <c r="AJ33" i="14"/>
  <c r="AJ36" i="14" s="1"/>
  <c r="AJ39" i="14" s="1"/>
  <c r="AJ41" i="14" s="1"/>
  <c r="AK109" i="8"/>
  <c r="AJ36" i="1"/>
  <c r="AJ77" i="13"/>
  <c r="AJ78" i="13"/>
  <c r="AJ45" i="1" l="1"/>
  <c r="AJ38" i="1"/>
  <c r="AK16" i="12"/>
  <c r="AK120" i="8"/>
  <c r="AK121" i="8" s="1"/>
  <c r="AK124" i="8" s="1"/>
  <c r="AK38" i="11" s="1"/>
  <c r="AK21" i="9"/>
  <c r="AK17" i="9"/>
  <c r="AK22" i="9" s="1"/>
  <c r="AK16" i="9"/>
  <c r="AK23" i="9" l="1"/>
  <c r="AK27" i="9" s="1"/>
  <c r="AK25" i="10" s="1"/>
  <c r="AK18" i="9"/>
  <c r="AL15" i="9" s="1"/>
  <c r="AK17" i="13" l="1"/>
  <c r="AK19" i="13" s="1"/>
  <c r="AK64" i="13" s="1"/>
  <c r="AK12" i="11"/>
  <c r="AK15" i="11" s="1"/>
  <c r="AK21" i="11" s="1"/>
  <c r="AK26" i="11" s="1"/>
  <c r="AK32" i="11" s="1"/>
  <c r="AK27" i="10"/>
  <c r="AK26" i="12" s="1"/>
  <c r="AK27" i="12" s="1"/>
  <c r="AK45" i="12" s="1"/>
  <c r="AK27" i="7"/>
  <c r="AK31" i="7" s="1"/>
  <c r="AK34" i="7" s="1"/>
  <c r="AK28" i="10" l="1"/>
  <c r="AK13" i="15"/>
  <c r="AK23" i="15" s="1"/>
  <c r="AK25" i="15" s="1"/>
  <c r="AK84" i="1"/>
  <c r="AK15" i="12"/>
  <c r="AK19" i="12" s="1"/>
  <c r="AK94" i="8"/>
  <c r="AK95" i="8" s="1"/>
  <c r="AK34" i="11" l="1"/>
  <c r="AK36" i="11" s="1"/>
  <c r="AK21" i="12"/>
  <c r="AK62" i="18"/>
  <c r="AK88" i="8"/>
  <c r="G35" i="16" s="1"/>
  <c r="AK89" i="8" l="1"/>
  <c r="AK27" i="14" s="1"/>
  <c r="AK80" i="1" s="1"/>
  <c r="AK60" i="18"/>
  <c r="AK128" i="8"/>
  <c r="AK125" i="8" s="1"/>
  <c r="AK45" i="13"/>
  <c r="AL85" i="8" l="1"/>
  <c r="AL103" i="8" s="1"/>
  <c r="AL108" i="8" s="1"/>
  <c r="AK39" i="11"/>
  <c r="AK42" i="11" s="1"/>
  <c r="AK126" i="8"/>
  <c r="AL87" i="8" l="1"/>
  <c r="AL59" i="18" s="1"/>
  <c r="AL30" i="11"/>
  <c r="AL61" i="18"/>
  <c r="AK28" i="14"/>
  <c r="AL123" i="8"/>
  <c r="AK44" i="11"/>
  <c r="AL107" i="8"/>
  <c r="AL29" i="11" s="1"/>
  <c r="E36" i="16"/>
  <c r="H36" i="16"/>
  <c r="AL20" i="10"/>
  <c r="AK58" i="12" l="1"/>
  <c r="AK26" i="13"/>
  <c r="AL138" i="8"/>
  <c r="AL21" i="10" s="1"/>
  <c r="AL40" i="11" s="1"/>
  <c r="AL130" i="8"/>
  <c r="AK36" i="12"/>
  <c r="AK37" i="12" s="1"/>
  <c r="AK46" i="12" s="1"/>
  <c r="AK48" i="12" s="1"/>
  <c r="AK50" i="12" s="1"/>
  <c r="AL109" i="8"/>
  <c r="AK46" i="11" l="1"/>
  <c r="AK48" i="11" s="1"/>
  <c r="AK70" i="12" s="1"/>
  <c r="AK71" i="12" s="1"/>
  <c r="AK39" i="12"/>
  <c r="AK41" i="12" s="1"/>
  <c r="AL35" i="12" s="1"/>
  <c r="AK29" i="12"/>
  <c r="AK31" i="12" s="1"/>
  <c r="AL25" i="12" s="1"/>
  <c r="AK30" i="10"/>
  <c r="AL23" i="10"/>
  <c r="AL11" i="9" s="1"/>
  <c r="AL17" i="9" s="1"/>
  <c r="AL22" i="9" s="1"/>
  <c r="AL120" i="8"/>
  <c r="AL121" i="8" s="1"/>
  <c r="AL124" i="8" s="1"/>
  <c r="AL38" i="11" s="1"/>
  <c r="AL16" i="12"/>
  <c r="AL16" i="9" l="1"/>
  <c r="AL21" i="9"/>
  <c r="AK27" i="13"/>
  <c r="AK28" i="13" s="1"/>
  <c r="AK32" i="10"/>
  <c r="AK64" i="12" s="1"/>
  <c r="AK65" i="12" s="1"/>
  <c r="AL69" i="12"/>
  <c r="AK19" i="14"/>
  <c r="AK21" i="14" s="1"/>
  <c r="AL23" i="9"/>
  <c r="AL27" i="9" s="1"/>
  <c r="AL25" i="10" s="1"/>
  <c r="AL18" i="9"/>
  <c r="AM15" i="9" s="1"/>
  <c r="AL63" i="12" l="1"/>
  <c r="AK33" i="14"/>
  <c r="AK36" i="14" s="1"/>
  <c r="AK39" i="14" s="1"/>
  <c r="AK41" i="14" s="1"/>
  <c r="AL27" i="7"/>
  <c r="AL31" i="7" s="1"/>
  <c r="AL34" i="7" s="1"/>
  <c r="AL12" i="11"/>
  <c r="AL15" i="11" s="1"/>
  <c r="AL21" i="11" s="1"/>
  <c r="AL26" i="11" s="1"/>
  <c r="AL32" i="11" s="1"/>
  <c r="AK78" i="13"/>
  <c r="AK77" i="13"/>
  <c r="AK36" i="1"/>
  <c r="AL27" i="10"/>
  <c r="AL28" i="10" s="1"/>
  <c r="AL17" i="13"/>
  <c r="AL19" i="13" s="1"/>
  <c r="AL64" i="13" s="1"/>
  <c r="AK45" i="1" l="1"/>
  <c r="AK38" i="1"/>
  <c r="AL26" i="12"/>
  <c r="AL27" i="12" s="1"/>
  <c r="AL45" i="12" s="1"/>
  <c r="AL84" i="1"/>
  <c r="AL94" i="8"/>
  <c r="AL95" i="8" s="1"/>
  <c r="AL15" i="12"/>
  <c r="AL19" i="12" s="1"/>
  <c r="AL13" i="15"/>
  <c r="AL23" i="15" s="1"/>
  <c r="AL25" i="15" s="1"/>
  <c r="AL88" i="8" l="1"/>
  <c r="AL60" i="18" s="1"/>
  <c r="AL34" i="11"/>
  <c r="AL36" i="11" s="1"/>
  <c r="AL128" i="8" s="1"/>
  <c r="AL125" i="8" s="1"/>
  <c r="AL39" i="11" s="1"/>
  <c r="AL21" i="12"/>
  <c r="AL62" i="18"/>
  <c r="G36" i="16"/>
  <c r="AL89" i="8"/>
  <c r="AL42" i="11" l="1"/>
  <c r="AL126" i="8"/>
  <c r="AM123" i="8" s="1"/>
  <c r="AL45" i="13"/>
  <c r="AL27" i="14"/>
  <c r="AL80" i="1" s="1"/>
  <c r="AM85" i="8"/>
  <c r="AL28" i="14" l="1"/>
  <c r="AL44" i="11"/>
  <c r="AM103" i="8"/>
  <c r="AM108" i="8" s="1"/>
  <c r="AM87" i="8"/>
  <c r="AM59" i="18" s="1"/>
  <c r="AM130" i="8"/>
  <c r="AM138" i="8"/>
  <c r="AM21" i="10" s="1"/>
  <c r="AM40" i="11" s="1"/>
  <c r="AM30" i="11" l="1"/>
  <c r="AM61" i="18"/>
  <c r="AL58" i="12"/>
  <c r="AL26" i="13"/>
  <c r="AL36" i="12"/>
  <c r="AL37" i="12" s="1"/>
  <c r="AL46" i="12" s="1"/>
  <c r="AL48" i="12" s="1"/>
  <c r="AL50" i="12" s="1"/>
  <c r="AM107" i="8"/>
  <c r="AM29" i="11" s="1"/>
  <c r="E37" i="16"/>
  <c r="H37" i="16"/>
  <c r="AM20" i="10"/>
  <c r="AM23" i="10" s="1"/>
  <c r="AL46" i="11" l="1"/>
  <c r="AL48" i="11" s="1"/>
  <c r="AL70" i="12" s="1"/>
  <c r="AL71" i="12" s="1"/>
  <c r="AL30" i="10"/>
  <c r="AL29" i="12"/>
  <c r="AL31" i="12" s="1"/>
  <c r="AM25" i="12" s="1"/>
  <c r="AL39" i="12"/>
  <c r="AL41" i="12" s="1"/>
  <c r="AM35" i="12" s="1"/>
  <c r="AM109" i="8"/>
  <c r="AM11" i="9"/>
  <c r="AL27" i="13" l="1"/>
  <c r="AL28" i="13" s="1"/>
  <c r="AL32" i="10"/>
  <c r="AL64" i="12" s="1"/>
  <c r="AL65" i="12" s="1"/>
  <c r="AL19" i="14"/>
  <c r="AL21" i="14" s="1"/>
  <c r="AM69" i="12"/>
  <c r="AM120" i="8"/>
  <c r="AM121" i="8" s="1"/>
  <c r="AM124" i="8" s="1"/>
  <c r="AM38" i="11" s="1"/>
  <c r="AM16" i="12"/>
  <c r="AM21" i="9"/>
  <c r="AM17" i="9"/>
  <c r="AM22" i="9" s="1"/>
  <c r="AM16" i="9"/>
  <c r="AM63" i="12" l="1"/>
  <c r="AL33" i="14"/>
  <c r="AL36" i="14" s="1"/>
  <c r="AL39" i="14" s="1"/>
  <c r="AL41" i="14" s="1"/>
  <c r="AL77" i="13"/>
  <c r="AL36" i="1"/>
  <c r="AL78" i="13"/>
  <c r="AM18" i="9"/>
  <c r="AN15" i="9" s="1"/>
  <c r="AM23" i="9"/>
  <c r="AM27" i="9" s="1"/>
  <c r="AM25" i="10" s="1"/>
  <c r="AM12" i="11" s="1"/>
  <c r="AM15" i="11" s="1"/>
  <c r="AM21" i="11" s="1"/>
  <c r="AM26" i="11" s="1"/>
  <c r="AM32" i="11" s="1"/>
  <c r="AL45" i="1" l="1"/>
  <c r="AL38" i="1"/>
  <c r="AM84" i="1"/>
  <c r="AM17" i="13"/>
  <c r="AM19" i="13" s="1"/>
  <c r="AM64" i="13" s="1"/>
  <c r="AM27" i="7"/>
  <c r="AM31" i="7" s="1"/>
  <c r="AM34" i="7" s="1"/>
  <c r="AM27" i="10"/>
  <c r="AM28" i="10" l="1"/>
  <c r="AM26" i="12"/>
  <c r="AM27" i="12" s="1"/>
  <c r="AM45" i="12" s="1"/>
  <c r="AM13" i="15"/>
  <c r="AM23" i="15" s="1"/>
  <c r="AM25" i="15" s="1"/>
  <c r="AM94" i="8"/>
  <c r="AM95" i="8" s="1"/>
  <c r="AM34" i="11" s="1"/>
  <c r="AM36" i="11" s="1"/>
  <c r="AM15" i="12"/>
  <c r="AM19" i="12" s="1"/>
  <c r="AM21" i="12" l="1"/>
  <c r="AM62" i="18"/>
  <c r="AM88" i="8"/>
  <c r="AM60" i="18" s="1"/>
  <c r="AM128" i="8"/>
  <c r="AM125" i="8" s="1"/>
  <c r="AM39" i="11" s="1"/>
  <c r="AM42" i="11" s="1"/>
  <c r="AM44" i="11" l="1"/>
  <c r="AM126" i="8"/>
  <c r="G37" i="16"/>
  <c r="AM89" i="8"/>
  <c r="AN85" i="8" l="1"/>
  <c r="AM27" i="14"/>
  <c r="AM80" i="1" s="1"/>
  <c r="AM45" i="13"/>
  <c r="AN123" i="8"/>
  <c r="AM28" i="14"/>
  <c r="AM36" i="12"/>
  <c r="AM37" i="12" s="1"/>
  <c r="AM46" i="12" s="1"/>
  <c r="AM48" i="12" s="1"/>
  <c r="AM50" i="12" s="1"/>
  <c r="AM46" i="11" s="1"/>
  <c r="AM48" i="11" s="1"/>
  <c r="AM58" i="12"/>
  <c r="AM26" i="13"/>
  <c r="AN130" i="8" l="1"/>
  <c r="AN138" i="8"/>
  <c r="AN21" i="10" s="1"/>
  <c r="AN40" i="11" s="1"/>
  <c r="AM29" i="12"/>
  <c r="AM31" i="12" s="1"/>
  <c r="AN25" i="12" s="1"/>
  <c r="AM39" i="12"/>
  <c r="AM41" i="12" s="1"/>
  <c r="AN35" i="12" s="1"/>
  <c r="AM30" i="10"/>
  <c r="AM70" i="12"/>
  <c r="AM71" i="12" s="1"/>
  <c r="AN103" i="8"/>
  <c r="AN108" i="8" s="1"/>
  <c r="AN87" i="8"/>
  <c r="AN59" i="18" s="1"/>
  <c r="AN30" i="11" l="1"/>
  <c r="AN61" i="18"/>
  <c r="AM27" i="13"/>
  <c r="AM28" i="13" s="1"/>
  <c r="AM32" i="10"/>
  <c r="AM64" i="12" s="1"/>
  <c r="AM65" i="12" s="1"/>
  <c r="AN69" i="12"/>
  <c r="AM19" i="14"/>
  <c r="AM21" i="14" s="1"/>
  <c r="H38" i="16"/>
  <c r="AN20" i="10"/>
  <c r="AN23" i="10" s="1"/>
  <c r="AN107" i="8"/>
  <c r="AN29" i="11" s="1"/>
  <c r="E38" i="16"/>
  <c r="AN11" i="9" l="1"/>
  <c r="AM33" i="14"/>
  <c r="AM36" i="14" s="1"/>
  <c r="AM39" i="14" s="1"/>
  <c r="AM41" i="14" s="1"/>
  <c r="AN63" i="12"/>
  <c r="AM36" i="1"/>
  <c r="AM77" i="13"/>
  <c r="AM78" i="13"/>
  <c r="AN109" i="8"/>
  <c r="AM45" i="1" l="1"/>
  <c r="AM38" i="1"/>
  <c r="AN120" i="8"/>
  <c r="AN121" i="8" s="1"/>
  <c r="AN124" i="8" s="1"/>
  <c r="AN38" i="11" s="1"/>
  <c r="AN16" i="12"/>
  <c r="AN21" i="9"/>
  <c r="AN16" i="9"/>
  <c r="AN17" i="9"/>
  <c r="AN22" i="9" s="1"/>
  <c r="AN18" i="9" l="1"/>
  <c r="AO15" i="9" s="1"/>
  <c r="AN23" i="9"/>
  <c r="AN27" i="9" s="1"/>
  <c r="AN25" i="10" s="1"/>
  <c r="AN12" i="11" s="1"/>
  <c r="AN15" i="11" s="1"/>
  <c r="AN21" i="11" s="1"/>
  <c r="AN26" i="11" s="1"/>
  <c r="AN32" i="11" s="1"/>
  <c r="AN27" i="7" l="1"/>
  <c r="AN31" i="7" s="1"/>
  <c r="AN34" i="7" s="1"/>
  <c r="AN17" i="13"/>
  <c r="AN19" i="13" s="1"/>
  <c r="AN64" i="13" s="1"/>
  <c r="AN84" i="1"/>
  <c r="AN27" i="10"/>
  <c r="AN28" i="10" l="1"/>
  <c r="AN26" i="12"/>
  <c r="AN27" i="12" s="1"/>
  <c r="AN45" i="12" s="1"/>
  <c r="AN15" i="12"/>
  <c r="AN19" i="12" s="1"/>
  <c r="AN94" i="8"/>
  <c r="AN95" i="8" s="1"/>
  <c r="AN34" i="11" s="1"/>
  <c r="AN36" i="11" s="1"/>
  <c r="AN13" i="15"/>
  <c r="AN23" i="15" s="1"/>
  <c r="AN25" i="15" s="1"/>
  <c r="AN21" i="12" l="1"/>
  <c r="AN62" i="18"/>
  <c r="AN128" i="8"/>
  <c r="AN125" i="8" s="1"/>
  <c r="AN39" i="11" s="1"/>
  <c r="AN42" i="11" s="1"/>
  <c r="AN88" i="8"/>
  <c r="AN60" i="18" s="1"/>
  <c r="AN44" i="11" l="1"/>
  <c r="G38" i="16"/>
  <c r="AN89" i="8"/>
  <c r="AN126" i="8"/>
  <c r="AN36" i="12" l="1"/>
  <c r="AN37" i="12" s="1"/>
  <c r="AN46" i="12" s="1"/>
  <c r="AN48" i="12" s="1"/>
  <c r="AN50" i="12" s="1"/>
  <c r="AN46" i="11" s="1"/>
  <c r="AN48" i="11" s="1"/>
  <c r="AN58" i="12"/>
  <c r="AN26" i="13"/>
  <c r="AO123" i="8"/>
  <c r="AN28" i="14"/>
  <c r="AN27" i="14"/>
  <c r="AN80" i="1" s="1"/>
  <c r="AN45" i="13"/>
  <c r="AO85" i="8"/>
  <c r="AO87" i="8" l="1"/>
  <c r="AO59" i="18" s="1"/>
  <c r="AO103" i="8"/>
  <c r="AO108" i="8" s="1"/>
  <c r="AO130" i="8"/>
  <c r="AO138" i="8"/>
  <c r="AO21" i="10" s="1"/>
  <c r="AO40" i="11" s="1"/>
  <c r="AN30" i="10"/>
  <c r="AN29" i="12"/>
  <c r="AN31" i="12" s="1"/>
  <c r="AO25" i="12" s="1"/>
  <c r="AN39" i="12"/>
  <c r="AN41" i="12" s="1"/>
  <c r="AO35" i="12" s="1"/>
  <c r="AN70" i="12"/>
  <c r="AN71" i="12" s="1"/>
  <c r="AO30" i="11" l="1"/>
  <c r="AO61" i="18"/>
  <c r="AN27" i="13"/>
  <c r="AN28" i="13" s="1"/>
  <c r="AN32" i="10"/>
  <c r="AN64" i="12" s="1"/>
  <c r="AN65" i="12" s="1"/>
  <c r="AN19" i="14"/>
  <c r="AN21" i="14" s="1"/>
  <c r="AO69" i="12"/>
  <c r="H39" i="16"/>
  <c r="AO20" i="10"/>
  <c r="AO23" i="10" s="1"/>
  <c r="AO107" i="8"/>
  <c r="AO29" i="11" s="1"/>
  <c r="E39" i="16"/>
  <c r="AO11" i="9" l="1"/>
  <c r="AO63" i="12"/>
  <c r="AN33" i="14"/>
  <c r="AN36" i="14" s="1"/>
  <c r="AN39" i="14" s="1"/>
  <c r="AN41" i="14" s="1"/>
  <c r="AN36" i="1"/>
  <c r="AN77" i="13"/>
  <c r="AN78" i="13"/>
  <c r="AO109" i="8"/>
  <c r="AN45" i="1" l="1"/>
  <c r="AN38" i="1"/>
  <c r="AO16" i="12"/>
  <c r="AO120" i="8"/>
  <c r="AO121" i="8" s="1"/>
  <c r="AO124" i="8" s="1"/>
  <c r="AO38" i="11" s="1"/>
  <c r="AO17" i="9"/>
  <c r="AO22" i="9" s="1"/>
  <c r="AO16" i="9"/>
  <c r="AO21" i="9"/>
  <c r="AO18" i="9" l="1"/>
  <c r="AP15" i="9" s="1"/>
  <c r="AO23" i="9"/>
  <c r="AO27" i="9" s="1"/>
  <c r="AO25" i="10" s="1"/>
  <c r="AO17" i="13" l="1"/>
  <c r="AO19" i="13" s="1"/>
  <c r="AO64" i="13" s="1"/>
  <c r="AO12" i="11"/>
  <c r="AO15" i="11" s="1"/>
  <c r="AO21" i="11" s="1"/>
  <c r="AO26" i="11" s="1"/>
  <c r="AO32" i="11" s="1"/>
  <c r="AO27" i="10"/>
  <c r="AO26" i="12" s="1"/>
  <c r="AO27" i="12" s="1"/>
  <c r="AO45" i="12" s="1"/>
  <c r="AO27" i="7"/>
  <c r="AO31" i="7" s="1"/>
  <c r="AO34" i="7" s="1"/>
  <c r="AO15" i="12" l="1"/>
  <c r="AO19" i="12" s="1"/>
  <c r="AO84" i="1"/>
  <c r="AO28" i="10"/>
  <c r="AO94" i="8"/>
  <c r="AO95" i="8" s="1"/>
  <c r="AO13" i="15"/>
  <c r="AO23" i="15" s="1"/>
  <c r="AO25" i="15" s="1"/>
  <c r="AO88" i="8" l="1"/>
  <c r="AO60" i="18" s="1"/>
  <c r="AO34" i="11"/>
  <c r="AO36" i="11" s="1"/>
  <c r="AO21" i="12"/>
  <c r="AO62" i="18"/>
  <c r="G39" i="16"/>
  <c r="AO89" i="8"/>
  <c r="AO128" i="8" l="1"/>
  <c r="AO125" i="8" s="1"/>
  <c r="AP85" i="8"/>
  <c r="AO27" i="14"/>
  <c r="AO80" i="1" s="1"/>
  <c r="AO45" i="13"/>
  <c r="AO126" i="8" l="1"/>
  <c r="AO39" i="11"/>
  <c r="AO42" i="11" s="1"/>
  <c r="AP103" i="8"/>
  <c r="AP108" i="8" s="1"/>
  <c r="AP87" i="8"/>
  <c r="AP59" i="18" s="1"/>
  <c r="AO44" i="11" l="1"/>
  <c r="AO36" i="12" s="1"/>
  <c r="AO37" i="12" s="1"/>
  <c r="AO46" i="12" s="1"/>
  <c r="AO48" i="12" s="1"/>
  <c r="AO50" i="12" s="1"/>
  <c r="AP30" i="11"/>
  <c r="AP61" i="18"/>
  <c r="AO28" i="14"/>
  <c r="AP123" i="8"/>
  <c r="E40" i="16"/>
  <c r="AP107" i="8"/>
  <c r="AP29" i="11" s="1"/>
  <c r="H40" i="16"/>
  <c r="AP20" i="10"/>
  <c r="AO46" i="11" l="1"/>
  <c r="AO30" i="10"/>
  <c r="AO29" i="12"/>
  <c r="AO31" i="12" s="1"/>
  <c r="AP25" i="12" s="1"/>
  <c r="AO39" i="12"/>
  <c r="AO41" i="12" s="1"/>
  <c r="AP35" i="12" s="1"/>
  <c r="AP130" i="8"/>
  <c r="AP138" i="8"/>
  <c r="AP21" i="10" s="1"/>
  <c r="AP40" i="11" s="1"/>
  <c r="AO26" i="13"/>
  <c r="AO58" i="12"/>
  <c r="AO48" i="11"/>
  <c r="AO70" i="12" s="1"/>
  <c r="AO71" i="12" s="1"/>
  <c r="AP109" i="8"/>
  <c r="AP23" i="10" l="1"/>
  <c r="AP11" i="9" s="1"/>
  <c r="AP17" i="9" s="1"/>
  <c r="AP22" i="9" s="1"/>
  <c r="AO32" i="10"/>
  <c r="AO64" i="12" s="1"/>
  <c r="AO65" i="12" s="1"/>
  <c r="AO27" i="13"/>
  <c r="AO28" i="13" s="1"/>
  <c r="AO19" i="14"/>
  <c r="AO21" i="14" s="1"/>
  <c r="AP69" i="12"/>
  <c r="AP120" i="8"/>
  <c r="AP121" i="8" s="1"/>
  <c r="AP124" i="8" s="1"/>
  <c r="AP38" i="11" s="1"/>
  <c r="AP16" i="12"/>
  <c r="AP16" i="9"/>
  <c r="AP21" i="9"/>
  <c r="AO77" i="13" l="1"/>
  <c r="AO78" i="13"/>
  <c r="AO36" i="1"/>
  <c r="AO33" i="14"/>
  <c r="AO36" i="14" s="1"/>
  <c r="AO39" i="14" s="1"/>
  <c r="AO41" i="14" s="1"/>
  <c r="AP63" i="12"/>
  <c r="AP23" i="9"/>
  <c r="AP27" i="9" s="1"/>
  <c r="AP25" i="10" s="1"/>
  <c r="AP12" i="11" s="1"/>
  <c r="AP15" i="11" s="1"/>
  <c r="AP21" i="11" s="1"/>
  <c r="AP26" i="11" s="1"/>
  <c r="AP32" i="11" s="1"/>
  <c r="AP18" i="9"/>
  <c r="AQ15" i="9" s="1"/>
  <c r="AO38" i="1" l="1"/>
  <c r="AO45" i="1"/>
  <c r="AP17" i="13"/>
  <c r="AP19" i="13" s="1"/>
  <c r="AP64" i="13" s="1"/>
  <c r="AP84" i="1"/>
  <c r="AP27" i="7"/>
  <c r="AP31" i="7" s="1"/>
  <c r="AP34" i="7" s="1"/>
  <c r="AP27" i="10"/>
  <c r="AP28" i="10" l="1"/>
  <c r="AP26" i="12"/>
  <c r="AP27" i="12" s="1"/>
  <c r="AP45" i="12" s="1"/>
  <c r="AP15" i="12"/>
  <c r="AP19" i="12" s="1"/>
  <c r="AP13" i="15"/>
  <c r="AP23" i="15" s="1"/>
  <c r="AP25" i="15" s="1"/>
  <c r="AP94" i="8"/>
  <c r="AP95" i="8" s="1"/>
  <c r="AP34" i="11" s="1"/>
  <c r="AP36" i="11" s="1"/>
  <c r="AP21" i="12" l="1"/>
  <c r="AP62" i="18"/>
  <c r="AP128" i="8"/>
  <c r="AP125" i="8" s="1"/>
  <c r="AP39" i="11" s="1"/>
  <c r="AP42" i="11" s="1"/>
  <c r="AP88" i="8"/>
  <c r="AP60" i="18" s="1"/>
  <c r="AP44" i="11" l="1"/>
  <c r="G40" i="16"/>
  <c r="AP89" i="8"/>
  <c r="AP126" i="8"/>
  <c r="AQ123" i="8" l="1"/>
  <c r="AP28" i="14"/>
  <c r="AP36" i="12"/>
  <c r="AP37" i="12" s="1"/>
  <c r="AP46" i="12" s="1"/>
  <c r="AP48" i="12" s="1"/>
  <c r="AP50" i="12" s="1"/>
  <c r="AP46" i="11" s="1"/>
  <c r="AP48" i="11" s="1"/>
  <c r="AP27" i="14"/>
  <c r="AP80" i="1" s="1"/>
  <c r="AQ85" i="8"/>
  <c r="AP45" i="13"/>
  <c r="AP26" i="13" l="1"/>
  <c r="AP58" i="12"/>
  <c r="AQ87" i="8"/>
  <c r="AQ59" i="18" s="1"/>
  <c r="AQ103" i="8"/>
  <c r="AQ108" i="8" s="1"/>
  <c r="AP30" i="10"/>
  <c r="AP70" i="12"/>
  <c r="AP71" i="12" s="1"/>
  <c r="AP39" i="12"/>
  <c r="AP41" i="12" s="1"/>
  <c r="AQ35" i="12" s="1"/>
  <c r="AP29" i="12"/>
  <c r="AP31" i="12" s="1"/>
  <c r="AQ25" i="12" s="1"/>
  <c r="AQ138" i="8"/>
  <c r="AQ21" i="10" s="1"/>
  <c r="AQ40" i="11" s="1"/>
  <c r="AQ130" i="8"/>
  <c r="AQ30" i="11" l="1"/>
  <c r="AQ61" i="18"/>
  <c r="AP27" i="13"/>
  <c r="AP28" i="13" s="1"/>
  <c r="AP32" i="10"/>
  <c r="AP64" i="12" s="1"/>
  <c r="AP65" i="12" s="1"/>
  <c r="H41" i="16"/>
  <c r="AQ20" i="10"/>
  <c r="AQ23" i="10" s="1"/>
  <c r="AQ107" i="8"/>
  <c r="AQ29" i="11" s="1"/>
  <c r="E41" i="16"/>
  <c r="AP19" i="14"/>
  <c r="AP21" i="14" s="1"/>
  <c r="AQ69" i="12"/>
  <c r="AQ109" i="8" l="1"/>
  <c r="AQ11" i="9"/>
  <c r="AQ63" i="12"/>
  <c r="AP33" i="14"/>
  <c r="AP36" i="14" s="1"/>
  <c r="AP39" i="14" s="1"/>
  <c r="AP41" i="14" s="1"/>
  <c r="AP36" i="1"/>
  <c r="AP77" i="13"/>
  <c r="AP78" i="13"/>
  <c r="AP38" i="1" l="1"/>
  <c r="AP45" i="1"/>
  <c r="AQ21" i="9"/>
  <c r="AQ16" i="9"/>
  <c r="AQ17" i="9"/>
  <c r="AQ22" i="9" s="1"/>
  <c r="AQ23" i="9" s="1"/>
  <c r="AQ27" i="9" s="1"/>
  <c r="AQ25" i="10" s="1"/>
  <c r="AQ12" i="11" s="1"/>
  <c r="AQ15" i="11" s="1"/>
  <c r="AQ21" i="11" s="1"/>
  <c r="AQ26" i="11" s="1"/>
  <c r="AQ32" i="11" s="1"/>
  <c r="AQ120" i="8"/>
  <c r="AQ121" i="8" s="1"/>
  <c r="AQ124" i="8" s="1"/>
  <c r="AQ38" i="11" s="1"/>
  <c r="AQ16" i="12"/>
  <c r="AQ17" i="13" l="1"/>
  <c r="AQ19" i="13" s="1"/>
  <c r="AQ64" i="13" s="1"/>
  <c r="AQ27" i="7"/>
  <c r="AQ31" i="7" s="1"/>
  <c r="AQ34" i="7" s="1"/>
  <c r="AQ84" i="1"/>
  <c r="AQ27" i="10"/>
  <c r="AQ18" i="9"/>
  <c r="AR15" i="9" s="1"/>
  <c r="AQ26" i="12" l="1"/>
  <c r="AQ27" i="12" s="1"/>
  <c r="AQ45" i="12" s="1"/>
  <c r="AQ28" i="10"/>
  <c r="AQ15" i="12"/>
  <c r="AQ19" i="12" s="1"/>
  <c r="AQ94" i="8"/>
  <c r="AQ95" i="8" s="1"/>
  <c r="AQ34" i="11" s="1"/>
  <c r="AQ36" i="11" s="1"/>
  <c r="AQ13" i="15"/>
  <c r="AQ23" i="15" s="1"/>
  <c r="AQ25" i="15" s="1"/>
  <c r="AQ21" i="12" l="1"/>
  <c r="AQ62" i="18"/>
  <c r="AQ88" i="8"/>
  <c r="AQ60" i="18" s="1"/>
  <c r="AQ128" i="8"/>
  <c r="AQ125" i="8" s="1"/>
  <c r="AQ39" i="11" s="1"/>
  <c r="AQ42" i="11" s="1"/>
  <c r="AQ44" i="11" l="1"/>
  <c r="AQ126" i="8"/>
  <c r="G41" i="16"/>
  <c r="AQ89" i="8"/>
  <c r="AR85" i="8" l="1"/>
  <c r="AQ27" i="14"/>
  <c r="AQ80" i="1" s="1"/>
  <c r="AQ45" i="13"/>
  <c r="AQ28" i="14"/>
  <c r="AR123" i="8"/>
  <c r="AQ36" i="12"/>
  <c r="AQ37" i="12" s="1"/>
  <c r="AQ46" i="12" s="1"/>
  <c r="AQ48" i="12" s="1"/>
  <c r="AQ50" i="12" s="1"/>
  <c r="AQ46" i="11" s="1"/>
  <c r="AQ48" i="11" s="1"/>
  <c r="AQ58" i="12"/>
  <c r="AQ26" i="13"/>
  <c r="AR130" i="8" l="1"/>
  <c r="AR138" i="8"/>
  <c r="AR21" i="10" s="1"/>
  <c r="AR40" i="11" s="1"/>
  <c r="AQ39" i="12"/>
  <c r="AQ41" i="12" s="1"/>
  <c r="AR35" i="12" s="1"/>
  <c r="AQ70" i="12"/>
  <c r="AQ71" i="12" s="1"/>
  <c r="AQ29" i="12"/>
  <c r="AQ31" i="12" s="1"/>
  <c r="AR25" i="12" s="1"/>
  <c r="AQ30" i="10"/>
  <c r="AR87" i="8"/>
  <c r="AR59" i="18" s="1"/>
  <c r="AR103" i="8"/>
  <c r="AR108" i="8" s="1"/>
  <c r="AR30" i="11" l="1"/>
  <c r="AR61" i="18"/>
  <c r="AQ27" i="13"/>
  <c r="AQ28" i="13" s="1"/>
  <c r="AQ32" i="10"/>
  <c r="AQ64" i="12" s="1"/>
  <c r="AQ65" i="12" s="1"/>
  <c r="E42" i="16"/>
  <c r="AR107" i="8"/>
  <c r="AR29" i="11" s="1"/>
  <c r="AQ19" i="14"/>
  <c r="AQ21" i="14" s="1"/>
  <c r="AR69" i="12"/>
  <c r="H42" i="16"/>
  <c r="AR20" i="10"/>
  <c r="AR23" i="10" s="1"/>
  <c r="AR11" i="9" s="1"/>
  <c r="AR109" i="8" l="1"/>
  <c r="AR17" i="9"/>
  <c r="AR22" i="9" s="1"/>
  <c r="AR16" i="9"/>
  <c r="AR21" i="9"/>
  <c r="AQ33" i="14"/>
  <c r="AQ36" i="14" s="1"/>
  <c r="AQ39" i="14" s="1"/>
  <c r="AQ41" i="14" s="1"/>
  <c r="AR63" i="12"/>
  <c r="AQ36" i="1"/>
  <c r="AQ77" i="13"/>
  <c r="AQ78" i="13"/>
  <c r="AR18" i="9" l="1"/>
  <c r="AS15" i="9" s="1"/>
  <c r="AR23" i="9"/>
  <c r="AR27" i="9" s="1"/>
  <c r="AR25" i="10" s="1"/>
  <c r="AQ38" i="1"/>
  <c r="AQ45" i="1"/>
  <c r="AR120" i="8"/>
  <c r="AR121" i="8" s="1"/>
  <c r="AR124" i="8" s="1"/>
  <c r="AR38" i="11" s="1"/>
  <c r="AR16" i="12"/>
  <c r="AR27" i="10" l="1"/>
  <c r="AR28" i="10" s="1"/>
  <c r="AR12" i="11"/>
  <c r="AR15" i="11" s="1"/>
  <c r="AR21" i="11" s="1"/>
  <c r="AR26" i="11" s="1"/>
  <c r="AR32" i="11" s="1"/>
  <c r="AR17" i="13"/>
  <c r="AR19" i="13" s="1"/>
  <c r="AR64" i="13" s="1"/>
  <c r="AR27" i="7"/>
  <c r="AR31" i="7" s="1"/>
  <c r="AR34" i="7" s="1"/>
  <c r="AR26" i="12"/>
  <c r="AR27" i="12" s="1"/>
  <c r="AR45" i="12" s="1"/>
  <c r="AR15" i="12" l="1"/>
  <c r="AR19" i="12" s="1"/>
  <c r="AR84" i="1"/>
  <c r="AR94" i="8"/>
  <c r="AR95" i="8" s="1"/>
  <c r="AR13" i="15"/>
  <c r="AR23" i="15" s="1"/>
  <c r="AR25" i="15" s="1"/>
  <c r="AR34" i="11" l="1"/>
  <c r="AR36" i="11" s="1"/>
  <c r="AR21" i="12"/>
  <c r="AR62" i="18"/>
  <c r="AR88" i="8"/>
  <c r="G42" i="16" l="1"/>
  <c r="AR60" i="18"/>
  <c r="AR128" i="8"/>
  <c r="AR125" i="8" s="1"/>
  <c r="AR89" i="8"/>
  <c r="AR45" i="13" s="1"/>
  <c r="AR39" i="11" l="1"/>
  <c r="AR42" i="11" s="1"/>
  <c r="AR126" i="8"/>
  <c r="AR27" i="14"/>
  <c r="AR80" i="1" s="1"/>
  <c r="AS85" i="8"/>
  <c r="AS87" i="8" s="1"/>
  <c r="AS59" i="18" s="1"/>
  <c r="AR28" i="14" l="1"/>
  <c r="AS123" i="8"/>
  <c r="AR44" i="11"/>
  <c r="AR36" i="12" s="1"/>
  <c r="AR37" i="12" s="1"/>
  <c r="AR46" i="12" s="1"/>
  <c r="AR48" i="12" s="1"/>
  <c r="AR50" i="12" s="1"/>
  <c r="AS103" i="8"/>
  <c r="AS108" i="8" s="1"/>
  <c r="E43" i="16"/>
  <c r="AS107" i="8"/>
  <c r="AS29" i="11" s="1"/>
  <c r="AR46" i="11" l="1"/>
  <c r="AR39" i="12"/>
  <c r="AR41" i="12" s="1"/>
  <c r="AS35" i="12" s="1"/>
  <c r="AR30" i="10"/>
  <c r="AR29" i="12"/>
  <c r="AR31" i="12" s="1"/>
  <c r="AS25" i="12" s="1"/>
  <c r="AS20" i="10"/>
  <c r="AS23" i="10" s="1"/>
  <c r="AS11" i="9" s="1"/>
  <c r="AS30" i="11"/>
  <c r="AS61" i="18"/>
  <c r="AR26" i="13"/>
  <c r="AR58" i="12"/>
  <c r="AR48" i="11"/>
  <c r="AR70" i="12" s="1"/>
  <c r="AR71" i="12" s="1"/>
  <c r="AS138" i="8"/>
  <c r="AS21" i="10" s="1"/>
  <c r="AS40" i="11" s="1"/>
  <c r="AS130" i="8"/>
  <c r="H43" i="16"/>
  <c r="AS109" i="8"/>
  <c r="AR32" i="10" l="1"/>
  <c r="AR64" i="12" s="1"/>
  <c r="AR65" i="12" s="1"/>
  <c r="AR27" i="13"/>
  <c r="AR28" i="13" s="1"/>
  <c r="AR19" i="14"/>
  <c r="AR21" i="14" s="1"/>
  <c r="AS69" i="12"/>
  <c r="AS120" i="8"/>
  <c r="AS121" i="8" s="1"/>
  <c r="AS124" i="8" s="1"/>
  <c r="AS38" i="11" s="1"/>
  <c r="AS16" i="12"/>
  <c r="AS21" i="9"/>
  <c r="AS17" i="9"/>
  <c r="AS22" i="9" s="1"/>
  <c r="AS16" i="9"/>
  <c r="AR77" i="13" l="1"/>
  <c r="AR36" i="1"/>
  <c r="AR78" i="13"/>
  <c r="AS63" i="12"/>
  <c r="AR33" i="14"/>
  <c r="AR36" i="14" s="1"/>
  <c r="AR39" i="14" s="1"/>
  <c r="AR41" i="14" s="1"/>
  <c r="AS23" i="9"/>
  <c r="AS27" i="9" s="1"/>
  <c r="AS25" i="10" s="1"/>
  <c r="AS18" i="9"/>
  <c r="AT15" i="9" s="1"/>
  <c r="AS12" i="11" l="1"/>
  <c r="AS15" i="11" s="1"/>
  <c r="AS21" i="11" s="1"/>
  <c r="AS26" i="11" s="1"/>
  <c r="AS32" i="11" s="1"/>
  <c r="AR38" i="1"/>
  <c r="AR45" i="1"/>
  <c r="AS27" i="10"/>
  <c r="AS26" i="12" s="1"/>
  <c r="AS27" i="12" s="1"/>
  <c r="AS45" i="12" s="1"/>
  <c r="AS17" i="13"/>
  <c r="AS19" i="13" s="1"/>
  <c r="AS64" i="13" s="1"/>
  <c r="AS27" i="7"/>
  <c r="AS31" i="7" s="1"/>
  <c r="AS34" i="7" s="1"/>
  <c r="AS15" i="12" l="1"/>
  <c r="AS19" i="12" s="1"/>
  <c r="AS13" i="15"/>
  <c r="AS23" i="15" s="1"/>
  <c r="AS25" i="15" s="1"/>
  <c r="AS94" i="8"/>
  <c r="AS95" i="8" s="1"/>
  <c r="AS34" i="11" s="1"/>
  <c r="AS36" i="11" s="1"/>
  <c r="AS84" i="1"/>
  <c r="AS28" i="10"/>
  <c r="AS128" i="8" l="1"/>
  <c r="AS125" i="8" s="1"/>
  <c r="AS39" i="11" s="1"/>
  <c r="AS42" i="11" s="1"/>
  <c r="AS88" i="8"/>
  <c r="AS60" i="18" s="1"/>
  <c r="AS21" i="12"/>
  <c r="AS62" i="18"/>
  <c r="G43" i="16"/>
  <c r="AS89" i="8" l="1"/>
  <c r="AS27" i="14" s="1"/>
  <c r="AS80" i="1" s="1"/>
  <c r="AS126" i="8"/>
  <c r="AS28" i="14" s="1"/>
  <c r="AS44" i="11"/>
  <c r="AS36" i="12" s="1"/>
  <c r="AS37" i="12" s="1"/>
  <c r="AS46" i="12" s="1"/>
  <c r="AS48" i="12" s="1"/>
  <c r="AS50" i="12" s="1"/>
  <c r="AS46" i="11" s="1"/>
  <c r="AS48" i="11" s="1"/>
  <c r="AT85" i="8"/>
  <c r="AS45" i="13"/>
  <c r="AT123" i="8"/>
  <c r="AS70" i="12" l="1"/>
  <c r="AS71" i="12" s="1"/>
  <c r="AS29" i="12"/>
  <c r="AS31" i="12" s="1"/>
  <c r="AT25" i="12" s="1"/>
  <c r="AS30" i="10"/>
  <c r="AS39" i="12"/>
  <c r="AS41" i="12" s="1"/>
  <c r="AT35" i="12" s="1"/>
  <c r="AS58" i="12"/>
  <c r="AS26" i="13"/>
  <c r="AT87" i="8"/>
  <c r="AT59" i="18" s="1"/>
  <c r="AT103" i="8"/>
  <c r="AT108" i="8" s="1"/>
  <c r="AT138" i="8"/>
  <c r="AT21" i="10" s="1"/>
  <c r="AT40" i="11" s="1"/>
  <c r="AT130" i="8"/>
  <c r="AT30" i="11" l="1"/>
  <c r="AT61" i="18"/>
  <c r="AT107" i="8"/>
  <c r="AT29" i="11" s="1"/>
  <c r="E44" i="16"/>
  <c r="H44" i="16"/>
  <c r="AT20" i="10"/>
  <c r="AT23" i="10" s="1"/>
  <c r="AS27" i="13"/>
  <c r="AS28" i="13" s="1"/>
  <c r="AS32" i="10"/>
  <c r="AS64" i="12" s="1"/>
  <c r="AS65" i="12" s="1"/>
  <c r="AS19" i="14"/>
  <c r="AS21" i="14" s="1"/>
  <c r="AT69" i="12"/>
  <c r="AT11" i="9" l="1"/>
  <c r="AT63" i="12"/>
  <c r="AS33" i="14"/>
  <c r="AS36" i="14" s="1"/>
  <c r="AS39" i="14" s="1"/>
  <c r="AS41" i="14" s="1"/>
  <c r="AS36" i="1"/>
  <c r="AS78" i="13"/>
  <c r="AS77" i="13"/>
  <c r="AT109" i="8"/>
  <c r="AS45" i="1" l="1"/>
  <c r="AS38" i="1"/>
  <c r="AT16" i="12"/>
  <c r="AT120" i="8"/>
  <c r="AT121" i="8" s="1"/>
  <c r="AT124" i="8" s="1"/>
  <c r="AT38" i="11" s="1"/>
  <c r="AT21" i="9"/>
  <c r="AT16" i="9"/>
  <c r="AT17" i="9"/>
  <c r="AT22" i="9" s="1"/>
  <c r="AT23" i="9" s="1"/>
  <c r="AT27" i="9" s="1"/>
  <c r="AT25" i="10" s="1"/>
  <c r="AT12" i="11" s="1"/>
  <c r="AT15" i="11" s="1"/>
  <c r="AT21" i="11" s="1"/>
  <c r="AT26" i="11" s="1"/>
  <c r="AT32" i="11" s="1"/>
  <c r="AT18" i="9" l="1"/>
  <c r="AU15" i="9" s="1"/>
  <c r="AT84" i="1"/>
  <c r="AT27" i="7"/>
  <c r="AT31" i="7" s="1"/>
  <c r="AT34" i="7" s="1"/>
  <c r="AT17" i="13"/>
  <c r="AT19" i="13" s="1"/>
  <c r="AT64" i="13" s="1"/>
  <c r="AT27" i="10"/>
  <c r="AT26" i="12" l="1"/>
  <c r="AT27" i="12" s="1"/>
  <c r="AT45" i="12" s="1"/>
  <c r="AT28" i="10"/>
  <c r="AT94" i="8"/>
  <c r="AT95" i="8" s="1"/>
  <c r="AT34" i="11" s="1"/>
  <c r="AT36" i="11" s="1"/>
  <c r="AT15" i="12"/>
  <c r="AT19" i="12" s="1"/>
  <c r="AT13" i="15"/>
  <c r="AT23" i="15" s="1"/>
  <c r="AT25" i="15" s="1"/>
  <c r="AT21" i="12" l="1"/>
  <c r="AT62" i="18"/>
  <c r="AT88" i="8"/>
  <c r="AT60" i="18" s="1"/>
  <c r="AT128" i="8"/>
  <c r="AT125" i="8" s="1"/>
  <c r="AT39" i="11" s="1"/>
  <c r="AT42" i="11" s="1"/>
  <c r="AT44" i="11" l="1"/>
  <c r="AT126" i="8"/>
  <c r="G44" i="16"/>
  <c r="AT89" i="8"/>
  <c r="AU123" i="8" l="1"/>
  <c r="AT28" i="14"/>
  <c r="AT45" i="13"/>
  <c r="AU85" i="8"/>
  <c r="AT27" i="14"/>
  <c r="AT80" i="1" s="1"/>
  <c r="AT36" i="12"/>
  <c r="AT37" i="12" s="1"/>
  <c r="AT46" i="12" s="1"/>
  <c r="AT48" i="12" s="1"/>
  <c r="AT50" i="12" s="1"/>
  <c r="AT46" i="11" s="1"/>
  <c r="AT48" i="11" s="1"/>
  <c r="AT26" i="13"/>
  <c r="AT58" i="12"/>
  <c r="AT29" i="12" l="1"/>
  <c r="AT31" i="12" s="1"/>
  <c r="AU25" i="12" s="1"/>
  <c r="AT30" i="10"/>
  <c r="AT70" i="12"/>
  <c r="AT71" i="12" s="1"/>
  <c r="AT39" i="12"/>
  <c r="AT41" i="12" s="1"/>
  <c r="AU35" i="12" s="1"/>
  <c r="AU103" i="8"/>
  <c r="AU108" i="8" s="1"/>
  <c r="AU87" i="8"/>
  <c r="AU59" i="18" s="1"/>
  <c r="AU138" i="8"/>
  <c r="AU21" i="10" s="1"/>
  <c r="AU40" i="11" s="1"/>
  <c r="AU130" i="8"/>
  <c r="AU30" i="11" l="1"/>
  <c r="AU61" i="18"/>
  <c r="E45" i="16"/>
  <c r="AU107" i="8"/>
  <c r="AU29" i="11" s="1"/>
  <c r="H45" i="16"/>
  <c r="AU20" i="10"/>
  <c r="AU23" i="10" s="1"/>
  <c r="AU69" i="12"/>
  <c r="AT19" i="14"/>
  <c r="AT21" i="14" s="1"/>
  <c r="AT27" i="13"/>
  <c r="AT28" i="13" s="1"/>
  <c r="AT32" i="10"/>
  <c r="AT64" i="12" s="1"/>
  <c r="AT65" i="12" s="1"/>
  <c r="AU11" i="9" l="1"/>
  <c r="AU109" i="8"/>
  <c r="AT33" i="14"/>
  <c r="AT36" i="14" s="1"/>
  <c r="AT39" i="14" s="1"/>
  <c r="AT41" i="14" s="1"/>
  <c r="AU63" i="12"/>
  <c r="AT36" i="1"/>
  <c r="AT78" i="13"/>
  <c r="AT77" i="13"/>
  <c r="AU16" i="12" l="1"/>
  <c r="AU120" i="8"/>
  <c r="AU121" i="8" s="1"/>
  <c r="AU124" i="8" s="1"/>
  <c r="AU38" i="11" s="1"/>
  <c r="AT45" i="1"/>
  <c r="AT38" i="1"/>
  <c r="AU21" i="9"/>
  <c r="AU16" i="9"/>
  <c r="AU17" i="9"/>
  <c r="AU22" i="9" s="1"/>
  <c r="AU23" i="9" s="1"/>
  <c r="AU27" i="9" s="1"/>
  <c r="AU25" i="10" s="1"/>
  <c r="AU12" i="11" s="1"/>
  <c r="AU15" i="11" s="1"/>
  <c r="AU21" i="11" s="1"/>
  <c r="AU26" i="11" s="1"/>
  <c r="AU32" i="11" s="1"/>
  <c r="AU17" i="13" l="1"/>
  <c r="AU19" i="13" s="1"/>
  <c r="AU64" i="13" s="1"/>
  <c r="AU27" i="7"/>
  <c r="AU31" i="7" s="1"/>
  <c r="AU34" i="7" s="1"/>
  <c r="AU84" i="1"/>
  <c r="AU27" i="10"/>
  <c r="AU18" i="9"/>
  <c r="AV15" i="9" s="1"/>
  <c r="AU28" i="10" l="1"/>
  <c r="AU26" i="12"/>
  <c r="AU27" i="12" s="1"/>
  <c r="AU45" i="12" s="1"/>
  <c r="AU94" i="8"/>
  <c r="AU95" i="8" s="1"/>
  <c r="AU34" i="11" s="1"/>
  <c r="AU36" i="11" s="1"/>
  <c r="AU15" i="12"/>
  <c r="AU19" i="12" s="1"/>
  <c r="AU13" i="15"/>
  <c r="AU23" i="15" s="1"/>
  <c r="AU25" i="15" s="1"/>
  <c r="AU21" i="12" l="1"/>
  <c r="AU62" i="18"/>
  <c r="AU88" i="8"/>
  <c r="AU60" i="18" s="1"/>
  <c r="AU128" i="8"/>
  <c r="AU125" i="8" s="1"/>
  <c r="AU39" i="11" s="1"/>
  <c r="AU42" i="11" s="1"/>
  <c r="AU44" i="11" l="1"/>
  <c r="AU126" i="8"/>
  <c r="G45" i="16"/>
  <c r="AU89" i="8"/>
  <c r="AV85" i="8" l="1"/>
  <c r="AU45" i="13"/>
  <c r="AU27" i="14"/>
  <c r="AU80" i="1" s="1"/>
  <c r="AV123" i="8"/>
  <c r="AU28" i="14"/>
  <c r="AU36" i="12"/>
  <c r="AU37" i="12" s="1"/>
  <c r="AU46" i="12" s="1"/>
  <c r="AU48" i="12" s="1"/>
  <c r="AU50" i="12" s="1"/>
  <c r="AU46" i="11" s="1"/>
  <c r="AU48" i="11" s="1"/>
  <c r="AU58" i="12"/>
  <c r="AU26" i="13"/>
  <c r="AU29" i="12" l="1"/>
  <c r="AU31" i="12" s="1"/>
  <c r="AV25" i="12" s="1"/>
  <c r="AU70" i="12"/>
  <c r="AU71" i="12" s="1"/>
  <c r="AU30" i="10"/>
  <c r="AU39" i="12"/>
  <c r="AU41" i="12" s="1"/>
  <c r="AV35" i="12" s="1"/>
  <c r="AV138" i="8"/>
  <c r="AV21" i="10" s="1"/>
  <c r="AV40" i="11" s="1"/>
  <c r="AV130" i="8"/>
  <c r="AV87" i="8"/>
  <c r="AV59" i="18" s="1"/>
  <c r="AV103" i="8"/>
  <c r="AV108" i="8" s="1"/>
  <c r="AV30" i="11" l="1"/>
  <c r="AV61" i="18"/>
  <c r="AU27" i="13"/>
  <c r="AU28" i="13" s="1"/>
  <c r="AU32" i="10"/>
  <c r="AU64" i="12" s="1"/>
  <c r="AU65" i="12" s="1"/>
  <c r="E46" i="16"/>
  <c r="AV107" i="8"/>
  <c r="AV29" i="11" s="1"/>
  <c r="AV69" i="12"/>
  <c r="AU19" i="14"/>
  <c r="AU21" i="14" s="1"/>
  <c r="H46" i="16"/>
  <c r="AV20" i="10"/>
  <c r="AV23" i="10" s="1"/>
  <c r="AV109" i="8" l="1"/>
  <c r="AV11" i="9"/>
  <c r="AU33" i="14"/>
  <c r="AU36" i="14" s="1"/>
  <c r="AU39" i="14" s="1"/>
  <c r="AU41" i="14" s="1"/>
  <c r="AV63" i="12"/>
  <c r="AU36" i="1"/>
  <c r="AU77" i="13"/>
  <c r="AU78" i="13"/>
  <c r="AV17" i="9" l="1"/>
  <c r="AV22" i="9" s="1"/>
  <c r="AV21" i="9"/>
  <c r="AV16" i="9"/>
  <c r="AV120" i="8"/>
  <c r="AV121" i="8" s="1"/>
  <c r="AV124" i="8" s="1"/>
  <c r="AV38" i="11" s="1"/>
  <c r="AV16" i="12"/>
  <c r="AU45" i="1"/>
  <c r="AU38" i="1"/>
  <c r="AV18" i="9" l="1"/>
  <c r="AW15" i="9" s="1"/>
  <c r="AV23" i="9"/>
  <c r="AV27" i="9" s="1"/>
  <c r="AV25" i="10" s="1"/>
  <c r="AV12" i="11" s="1"/>
  <c r="AV15" i="11" s="1"/>
  <c r="AV21" i="11" s="1"/>
  <c r="AV26" i="11" s="1"/>
  <c r="AV32" i="11" s="1"/>
  <c r="AV27" i="7" l="1"/>
  <c r="AV31" i="7" s="1"/>
  <c r="AV34" i="7" s="1"/>
  <c r="AV17" i="13"/>
  <c r="AV19" i="13" s="1"/>
  <c r="AV64" i="13" s="1"/>
  <c r="AV84" i="1"/>
  <c r="AV27" i="10"/>
  <c r="AV28" i="10" l="1"/>
  <c r="AV26" i="12"/>
  <c r="AV27" i="12" s="1"/>
  <c r="AV45" i="12" s="1"/>
  <c r="AV15" i="12"/>
  <c r="AV19" i="12" s="1"/>
  <c r="AV13" i="15"/>
  <c r="AV23" i="15" s="1"/>
  <c r="AV25" i="15" s="1"/>
  <c r="AV94" i="8"/>
  <c r="AV95" i="8" s="1"/>
  <c r="AV34" i="11" s="1"/>
  <c r="AV36" i="11" s="1"/>
  <c r="AV21" i="12" l="1"/>
  <c r="AV62" i="18"/>
  <c r="AV128" i="8"/>
  <c r="AV125" i="8" s="1"/>
  <c r="AV39" i="11" s="1"/>
  <c r="AV42" i="11" s="1"/>
  <c r="AV88" i="8"/>
  <c r="AV60" i="18" s="1"/>
  <c r="AV44" i="11" l="1"/>
  <c r="G46" i="16"/>
  <c r="AV89" i="8"/>
  <c r="AV126" i="8"/>
  <c r="AW123" i="8" l="1"/>
  <c r="AV28" i="14"/>
  <c r="AV36" i="12"/>
  <c r="AV37" i="12" s="1"/>
  <c r="AV46" i="12" s="1"/>
  <c r="AV48" i="12" s="1"/>
  <c r="AV50" i="12" s="1"/>
  <c r="AV46" i="11" s="1"/>
  <c r="AV48" i="11" s="1"/>
  <c r="AV58" i="12"/>
  <c r="AV26" i="13"/>
  <c r="AW85" i="8"/>
  <c r="AV27" i="14"/>
  <c r="AV80" i="1" s="1"/>
  <c r="AV45" i="13"/>
  <c r="AV29" i="12" l="1"/>
  <c r="AV31" i="12" s="1"/>
  <c r="AW25" i="12" s="1"/>
  <c r="AV39" i="12"/>
  <c r="AV41" i="12" s="1"/>
  <c r="AW35" i="12" s="1"/>
  <c r="AV70" i="12"/>
  <c r="AV71" i="12" s="1"/>
  <c r="AV30" i="10"/>
  <c r="AW103" i="8"/>
  <c r="AW108" i="8" s="1"/>
  <c r="AW87" i="8"/>
  <c r="AW59" i="18" s="1"/>
  <c r="AW130" i="8"/>
  <c r="AW138" i="8"/>
  <c r="AW21" i="10" s="1"/>
  <c r="AW40" i="11" s="1"/>
  <c r="AW30" i="11" l="1"/>
  <c r="AW61" i="18"/>
  <c r="H47" i="16"/>
  <c r="AW20" i="10"/>
  <c r="AW23" i="10" s="1"/>
  <c r="AV27" i="13"/>
  <c r="AV28" i="13" s="1"/>
  <c r="AV32" i="10"/>
  <c r="AV64" i="12" s="1"/>
  <c r="AV65" i="12" s="1"/>
  <c r="AV19" i="14"/>
  <c r="AV21" i="14" s="1"/>
  <c r="AW69" i="12"/>
  <c r="AW107" i="8"/>
  <c r="AW29" i="11" s="1"/>
  <c r="E47" i="16"/>
  <c r="AV36" i="1" l="1"/>
  <c r="AV77" i="13"/>
  <c r="AV78" i="13"/>
  <c r="AW11" i="9"/>
  <c r="AV33" i="14"/>
  <c r="AV36" i="14" s="1"/>
  <c r="AV39" i="14" s="1"/>
  <c r="AV41" i="14" s="1"/>
  <c r="AW63" i="12"/>
  <c r="AW109" i="8"/>
  <c r="AW17" i="9" l="1"/>
  <c r="AW22" i="9" s="1"/>
  <c r="AW21" i="9"/>
  <c r="AW16" i="9"/>
  <c r="AW16" i="12"/>
  <c r="AW120" i="8"/>
  <c r="AW121" i="8" s="1"/>
  <c r="AW124" i="8" s="1"/>
  <c r="AW38" i="11" s="1"/>
  <c r="AV45" i="1"/>
  <c r="AV38" i="1"/>
  <c r="AW18" i="9" l="1"/>
  <c r="AX15" i="9" s="1"/>
  <c r="AW23" i="9"/>
  <c r="AW27" i="9" s="1"/>
  <c r="AW25" i="10" s="1"/>
  <c r="AW12" i="11" l="1"/>
  <c r="AW15" i="11" s="1"/>
  <c r="AW21" i="11" s="1"/>
  <c r="AW26" i="11" s="1"/>
  <c r="AW32" i="11" s="1"/>
  <c r="AW94" i="8" s="1"/>
  <c r="AW95" i="8" s="1"/>
  <c r="AW34" i="11" s="1"/>
  <c r="AW27" i="10"/>
  <c r="AW28" i="10" s="1"/>
  <c r="AW17" i="13"/>
  <c r="AW19" i="13" s="1"/>
  <c r="AW64" i="13" s="1"/>
  <c r="AW27" i="7"/>
  <c r="AW31" i="7" s="1"/>
  <c r="AW34" i="7" s="1"/>
  <c r="AW13" i="15" l="1"/>
  <c r="AW23" i="15" s="1"/>
  <c r="AW25" i="15" s="1"/>
  <c r="AW15" i="12"/>
  <c r="AW19" i="12" s="1"/>
  <c r="AW36" i="11"/>
  <c r="AW128" i="8" s="1"/>
  <c r="AW125" i="8" s="1"/>
  <c r="AW39" i="11" s="1"/>
  <c r="AW84" i="1"/>
  <c r="AW26" i="12"/>
  <c r="AW27" i="12" s="1"/>
  <c r="AW45" i="12" s="1"/>
  <c r="AW88" i="8"/>
  <c r="AW60" i="18" s="1"/>
  <c r="AW42" i="11" l="1"/>
  <c r="AW21" i="12"/>
  <c r="AW62" i="18"/>
  <c r="AW126" i="8"/>
  <c r="G47" i="16"/>
  <c r="AW89" i="8"/>
  <c r="AW44" i="11" l="1"/>
  <c r="AW36" i="12" s="1"/>
  <c r="AW37" i="12" s="1"/>
  <c r="AW46" i="12" s="1"/>
  <c r="AW48" i="12" s="1"/>
  <c r="AW50" i="12" s="1"/>
  <c r="AW46" i="11" s="1"/>
  <c r="AX85" i="8"/>
  <c r="AW45" i="13"/>
  <c r="AW27" i="14"/>
  <c r="AW80" i="1" s="1"/>
  <c r="AX123" i="8"/>
  <c r="AW28" i="14"/>
  <c r="AW48" i="11" l="1"/>
  <c r="AW70" i="12" s="1"/>
  <c r="AW71" i="12" s="1"/>
  <c r="AW39" i="12"/>
  <c r="AW41" i="12" s="1"/>
  <c r="AX35" i="12" s="1"/>
  <c r="AW29" i="12"/>
  <c r="AW31" i="12" s="1"/>
  <c r="AX25" i="12" s="1"/>
  <c r="AW30" i="10"/>
  <c r="AX138" i="8"/>
  <c r="AX21" i="10" s="1"/>
  <c r="AX40" i="11" s="1"/>
  <c r="AX130" i="8"/>
  <c r="AW58" i="12"/>
  <c r="AW26" i="13"/>
  <c r="AX103" i="8"/>
  <c r="AX108" i="8" s="1"/>
  <c r="AX87" i="8"/>
  <c r="AX59" i="18" s="1"/>
  <c r="AX30" i="11" l="1"/>
  <c r="AX61" i="18"/>
  <c r="AW27" i="13"/>
  <c r="AW28" i="13" s="1"/>
  <c r="AW32" i="10"/>
  <c r="AW64" i="12" s="1"/>
  <c r="AW65" i="12" s="1"/>
  <c r="E48" i="16"/>
  <c r="AX107" i="8"/>
  <c r="AX29" i="11" s="1"/>
  <c r="H48" i="16"/>
  <c r="AX20" i="10"/>
  <c r="AX23" i="10" s="1"/>
  <c r="AX69" i="12"/>
  <c r="AW19" i="14"/>
  <c r="AW21" i="14" s="1"/>
  <c r="AX11" i="9" l="1"/>
  <c r="AX109" i="8"/>
  <c r="AW36" i="1"/>
  <c r="AW77" i="13"/>
  <c r="AW78" i="13"/>
  <c r="AW33" i="14"/>
  <c r="AW36" i="14" s="1"/>
  <c r="AW39" i="14" s="1"/>
  <c r="AW41" i="14" s="1"/>
  <c r="AX63" i="12"/>
  <c r="AW45" i="1" l="1"/>
  <c r="AW38" i="1"/>
  <c r="AX120" i="8"/>
  <c r="AX121" i="8" s="1"/>
  <c r="AX124" i="8" s="1"/>
  <c r="AX38" i="11" s="1"/>
  <c r="AX16" i="12"/>
  <c r="AX21" i="9"/>
  <c r="AX17" i="9"/>
  <c r="AX22" i="9" s="1"/>
  <c r="AX16" i="9"/>
  <c r="AX23" i="9" l="1"/>
  <c r="AX27" i="9" s="1"/>
  <c r="AX25" i="10" s="1"/>
  <c r="AX18" i="9"/>
  <c r="AY15" i="9" s="1"/>
  <c r="AX12" i="11" l="1"/>
  <c r="AX15" i="11" s="1"/>
  <c r="AX21" i="11" s="1"/>
  <c r="AX26" i="11" s="1"/>
  <c r="AX32" i="11" s="1"/>
  <c r="AX94" i="8" s="1"/>
  <c r="AX95" i="8" s="1"/>
  <c r="AX34" i="11" s="1"/>
  <c r="AX27" i="10"/>
  <c r="AX26" i="12" s="1"/>
  <c r="AX27" i="12" s="1"/>
  <c r="AX45" i="12" s="1"/>
  <c r="AX17" i="13"/>
  <c r="AX19" i="13" s="1"/>
  <c r="AX64" i="13" s="1"/>
  <c r="AX27" i="7"/>
  <c r="AX31" i="7" s="1"/>
  <c r="AX34" i="7" s="1"/>
  <c r="AX15" i="12" l="1"/>
  <c r="AX19" i="12" s="1"/>
  <c r="AX36" i="11"/>
  <c r="AX128" i="8" s="1"/>
  <c r="AX125" i="8" s="1"/>
  <c r="AX39" i="11" s="1"/>
  <c r="AX13" i="15"/>
  <c r="AX23" i="15" s="1"/>
  <c r="AX25" i="15" s="1"/>
  <c r="AX28" i="10"/>
  <c r="AX84" i="1"/>
  <c r="AX88" i="8"/>
  <c r="AX60" i="18" s="1"/>
  <c r="AX42" i="11" l="1"/>
  <c r="AX21" i="12"/>
  <c r="AX62" i="18"/>
  <c r="AX126" i="8"/>
  <c r="G48" i="16"/>
  <c r="AX89" i="8"/>
  <c r="AX44" i="11" l="1"/>
  <c r="AY85" i="8"/>
  <c r="AX27" i="14"/>
  <c r="AX80" i="1" s="1"/>
  <c r="AX45" i="13"/>
  <c r="AY123" i="8"/>
  <c r="AX28" i="14"/>
  <c r="AX58" i="12" l="1"/>
  <c r="AX26" i="13"/>
  <c r="AX36" i="12"/>
  <c r="AX37" i="12" s="1"/>
  <c r="AX46" i="12" s="1"/>
  <c r="AX48" i="12" s="1"/>
  <c r="AX50" i="12" s="1"/>
  <c r="AX46" i="11" s="1"/>
  <c r="AX48" i="11" s="1"/>
  <c r="AY138" i="8"/>
  <c r="AY21" i="10" s="1"/>
  <c r="AY40" i="11" s="1"/>
  <c r="AY130" i="8"/>
  <c r="AY103" i="8"/>
  <c r="AY108" i="8" s="1"/>
  <c r="AY87" i="8"/>
  <c r="AY59" i="18" s="1"/>
  <c r="AY30" i="11" l="1"/>
  <c r="AY61" i="18"/>
  <c r="H49" i="16"/>
  <c r="AY20" i="10"/>
  <c r="AY23" i="10" s="1"/>
  <c r="AX70" i="12"/>
  <c r="AX71" i="12" s="1"/>
  <c r="AX30" i="10"/>
  <c r="AX29" i="12"/>
  <c r="AX31" i="12" s="1"/>
  <c r="AY25" i="12" s="1"/>
  <c r="AX39" i="12"/>
  <c r="AX41" i="12" s="1"/>
  <c r="AY35" i="12" s="1"/>
  <c r="E49" i="16"/>
  <c r="AY107" i="8"/>
  <c r="AY29" i="11" s="1"/>
  <c r="AX19" i="14" l="1"/>
  <c r="AX21" i="14" s="1"/>
  <c r="AY69" i="12"/>
  <c r="AX27" i="13"/>
  <c r="AX28" i="13" s="1"/>
  <c r="AX32" i="10"/>
  <c r="AX64" i="12" s="1"/>
  <c r="AX65" i="12" s="1"/>
  <c r="AY11" i="9"/>
  <c r="AY109" i="8"/>
  <c r="AY16" i="9" l="1"/>
  <c r="AY17" i="9"/>
  <c r="AY22" i="9" s="1"/>
  <c r="AY21" i="9"/>
  <c r="AX33" i="14"/>
  <c r="AX36" i="14" s="1"/>
  <c r="AX39" i="14" s="1"/>
  <c r="AX41" i="14" s="1"/>
  <c r="AY63" i="12"/>
  <c r="AY120" i="8"/>
  <c r="AY121" i="8" s="1"/>
  <c r="AY124" i="8" s="1"/>
  <c r="AY38" i="11" s="1"/>
  <c r="AY16" i="12"/>
  <c r="AX36" i="1"/>
  <c r="AX78" i="13"/>
  <c r="AX77" i="13"/>
  <c r="AY18" i="9" l="1"/>
  <c r="AZ15" i="9" s="1"/>
  <c r="AX38" i="1"/>
  <c r="AX45" i="1"/>
  <c r="AY23" i="9"/>
  <c r="AY27" i="9" s="1"/>
  <c r="AY25" i="10" s="1"/>
  <c r="AY12" i="11" s="1"/>
  <c r="AY15" i="11" s="1"/>
  <c r="AY21" i="11" s="1"/>
  <c r="AY26" i="11" s="1"/>
  <c r="AY32" i="11" s="1"/>
  <c r="AY84" i="1" l="1"/>
  <c r="AY17" i="13"/>
  <c r="AY19" i="13" s="1"/>
  <c r="AY64" i="13" s="1"/>
  <c r="AY27" i="7"/>
  <c r="AY31" i="7" s="1"/>
  <c r="AY34" i="7" s="1"/>
  <c r="AY27" i="10"/>
  <c r="AY26" i="12" l="1"/>
  <c r="AY27" i="12" s="1"/>
  <c r="AY45" i="12" s="1"/>
  <c r="AY28" i="10"/>
  <c r="AY94" i="8"/>
  <c r="AY95" i="8" s="1"/>
  <c r="AY34" i="11" s="1"/>
  <c r="AY36" i="11" s="1"/>
  <c r="AY13" i="15"/>
  <c r="AY23" i="15" s="1"/>
  <c r="AY25" i="15" s="1"/>
  <c r="AY15" i="12"/>
  <c r="AY19" i="12" s="1"/>
  <c r="AY21" i="12" l="1"/>
  <c r="AY62" i="18"/>
  <c r="AY128" i="8"/>
  <c r="AY125" i="8" s="1"/>
  <c r="AY39" i="11" s="1"/>
  <c r="AY42" i="11" s="1"/>
  <c r="AY88" i="8"/>
  <c r="AY60" i="18" s="1"/>
  <c r="AY44" i="11" l="1"/>
  <c r="G49" i="16"/>
  <c r="AY89" i="8"/>
  <c r="AY126" i="8"/>
  <c r="AY36" i="12" l="1"/>
  <c r="AY37" i="12" s="1"/>
  <c r="AY46" i="12" s="1"/>
  <c r="AY48" i="12" s="1"/>
  <c r="AY50" i="12" s="1"/>
  <c r="AY46" i="11" s="1"/>
  <c r="AY48" i="11" s="1"/>
  <c r="AY58" i="12"/>
  <c r="AY26" i="13"/>
  <c r="AZ123" i="8"/>
  <c r="AY28" i="14"/>
  <c r="AZ85" i="8"/>
  <c r="AY27" i="14"/>
  <c r="AY80" i="1" s="1"/>
  <c r="AY45" i="13"/>
  <c r="AZ103" i="8" l="1"/>
  <c r="AZ108" i="8" s="1"/>
  <c r="AZ87" i="8"/>
  <c r="AZ59" i="18" s="1"/>
  <c r="AZ130" i="8"/>
  <c r="AZ138" i="8"/>
  <c r="AZ21" i="10" s="1"/>
  <c r="AZ40" i="11" s="1"/>
  <c r="AY29" i="12"/>
  <c r="AY31" i="12" s="1"/>
  <c r="AZ25" i="12" s="1"/>
  <c r="AY70" i="12"/>
  <c r="AY71" i="12" s="1"/>
  <c r="AY30" i="10"/>
  <c r="AY39" i="12"/>
  <c r="AY41" i="12" s="1"/>
  <c r="AZ35" i="12" s="1"/>
  <c r="AZ30" i="11" l="1"/>
  <c r="AZ61" i="18"/>
  <c r="AZ69" i="12"/>
  <c r="AY19" i="14"/>
  <c r="AY21" i="14" s="1"/>
  <c r="AZ107" i="8"/>
  <c r="AZ29" i="11" s="1"/>
  <c r="E50" i="16"/>
  <c r="AY27" i="13"/>
  <c r="AY28" i="13" s="1"/>
  <c r="AY32" i="10"/>
  <c r="AY64" i="12" s="1"/>
  <c r="AY65" i="12" s="1"/>
  <c r="H50" i="16"/>
  <c r="H51" i="16" s="1"/>
  <c r="AZ20" i="10"/>
  <c r="AZ23" i="10" s="1"/>
  <c r="AY33" i="14" l="1"/>
  <c r="AY36" i="14" s="1"/>
  <c r="AY39" i="14" s="1"/>
  <c r="AY41" i="14" s="1"/>
  <c r="AZ63" i="12"/>
  <c r="AY36" i="1"/>
  <c r="AY77" i="13"/>
  <c r="AY78" i="13"/>
  <c r="E51" i="16"/>
  <c r="AZ109" i="8"/>
  <c r="AZ11" i="9"/>
  <c r="F18" i="16" l="1"/>
  <c r="F26" i="16"/>
  <c r="F34" i="16"/>
  <c r="F42" i="16"/>
  <c r="F28" i="16"/>
  <c r="F44" i="16"/>
  <c r="F15" i="16"/>
  <c r="F39" i="16"/>
  <c r="F24" i="16"/>
  <c r="F25" i="16"/>
  <c r="F19" i="16"/>
  <c r="F27" i="16"/>
  <c r="F35" i="16"/>
  <c r="F43" i="16"/>
  <c r="F20" i="16"/>
  <c r="F36" i="16"/>
  <c r="F31" i="16"/>
  <c r="F40" i="16"/>
  <c r="F41" i="16"/>
  <c r="F21" i="16"/>
  <c r="F29" i="16"/>
  <c r="F37" i="16"/>
  <c r="F45" i="16"/>
  <c r="F30" i="16"/>
  <c r="F23" i="16"/>
  <c r="F17" i="16"/>
  <c r="F14" i="16"/>
  <c r="F22" i="16"/>
  <c r="F38" i="16"/>
  <c r="F32" i="16"/>
  <c r="F33" i="16"/>
  <c r="F16" i="16"/>
  <c r="F46" i="16"/>
  <c r="F47" i="16"/>
  <c r="F48" i="16"/>
  <c r="F49" i="16"/>
  <c r="AY45" i="1"/>
  <c r="AY38" i="1"/>
  <c r="AZ120" i="8"/>
  <c r="AZ121" i="8" s="1"/>
  <c r="AZ124" i="8" s="1"/>
  <c r="AZ38" i="11" s="1"/>
  <c r="AZ16" i="12"/>
  <c r="F50" i="16"/>
  <c r="AZ16" i="9"/>
  <c r="AZ21" i="9"/>
  <c r="AZ17" i="9"/>
  <c r="AZ22" i="9" s="1"/>
  <c r="AZ23" i="9" l="1"/>
  <c r="AZ27" i="9" s="1"/>
  <c r="AZ25" i="10" s="1"/>
  <c r="AZ18" i="9"/>
  <c r="BA15" i="9" s="1"/>
  <c r="AZ17" i="13" l="1"/>
  <c r="AZ19" i="13" s="1"/>
  <c r="AZ64" i="13" s="1"/>
  <c r="AZ12" i="11"/>
  <c r="AZ15" i="11" s="1"/>
  <c r="AZ21" i="11" s="1"/>
  <c r="AZ26" i="11" s="1"/>
  <c r="AZ32" i="11" s="1"/>
  <c r="AZ27" i="10"/>
  <c r="AZ28" i="10" s="1"/>
  <c r="AZ27" i="7"/>
  <c r="AZ31" i="7" s="1"/>
  <c r="AZ34" i="7" s="1"/>
  <c r="AZ26" i="12" l="1"/>
  <c r="AZ27" i="12" s="1"/>
  <c r="AZ45" i="12" s="1"/>
  <c r="AZ84" i="1"/>
  <c r="AZ13" i="15"/>
  <c r="AZ23" i="15" s="1"/>
  <c r="AZ25" i="15" s="1"/>
  <c r="AZ15" i="12"/>
  <c r="AZ19" i="12" s="1"/>
  <c r="AZ94" i="8"/>
  <c r="AZ95" i="8" s="1"/>
  <c r="AZ34" i="11" l="1"/>
  <c r="AZ36" i="11" s="1"/>
  <c r="AZ21" i="12"/>
  <c r="AZ62" i="18"/>
  <c r="AZ88" i="8"/>
  <c r="AZ89" i="8" l="1"/>
  <c r="AZ45" i="13" s="1"/>
  <c r="AZ60" i="18"/>
  <c r="AZ128" i="8"/>
  <c r="AZ125" i="8" s="1"/>
  <c r="G50" i="16"/>
  <c r="G51" i="16" s="1"/>
  <c r="AZ27" i="14"/>
  <c r="AZ80" i="1" s="1"/>
  <c r="BA85" i="8"/>
  <c r="AZ39" i="11" l="1"/>
  <c r="AZ42" i="11" s="1"/>
  <c r="AZ126" i="8"/>
  <c r="BA87" i="8"/>
  <c r="BA103" i="8"/>
  <c r="BA108" i="8" s="1"/>
  <c r="BA107" i="8" l="1"/>
  <c r="BA29" i="11" s="1"/>
  <c r="BA59" i="18"/>
  <c r="BA30" i="11"/>
  <c r="BA61" i="18"/>
  <c r="BA123" i="8"/>
  <c r="AZ28" i="14"/>
  <c r="AZ44" i="11"/>
  <c r="AZ36" i="12" s="1"/>
  <c r="AZ37" i="12" s="1"/>
  <c r="AZ46" i="12" s="1"/>
  <c r="AZ48" i="12" s="1"/>
  <c r="AZ50" i="12" s="1"/>
  <c r="BA20" i="10"/>
  <c r="AZ46" i="11" l="1"/>
  <c r="AZ29" i="12"/>
  <c r="AZ31" i="12" s="1"/>
  <c r="BA25" i="12" s="1"/>
  <c r="AZ30" i="10"/>
  <c r="AZ39" i="12"/>
  <c r="AZ41" i="12" s="1"/>
  <c r="BA35" i="12" s="1"/>
  <c r="AZ26" i="13"/>
  <c r="AZ58" i="12"/>
  <c r="AZ48" i="11"/>
  <c r="AZ70" i="12" s="1"/>
  <c r="AZ71" i="12" s="1"/>
  <c r="BA130" i="8"/>
  <c r="BA138" i="8"/>
  <c r="BA21" i="10" s="1"/>
  <c r="BA40" i="11" s="1"/>
  <c r="BA109" i="8"/>
  <c r="BA120" i="8" s="1"/>
  <c r="BA121" i="8" s="1"/>
  <c r="BA124" i="8" s="1"/>
  <c r="BA38" i="11" s="1"/>
  <c r="BA23" i="10" l="1"/>
  <c r="BA11" i="9" s="1"/>
  <c r="BA17" i="9" s="1"/>
  <c r="BA22" i="9" s="1"/>
  <c r="AZ32" i="10"/>
  <c r="AZ64" i="12" s="1"/>
  <c r="AZ65" i="12" s="1"/>
  <c r="AZ27" i="13"/>
  <c r="AZ28" i="13" s="1"/>
  <c r="BA16" i="12"/>
  <c r="BA69" i="12"/>
  <c r="AZ19" i="14"/>
  <c r="AZ21" i="14" s="1"/>
  <c r="BA21" i="9" l="1"/>
  <c r="BA16" i="9"/>
  <c r="BA18" i="9" s="1"/>
  <c r="BB15" i="9" s="1"/>
  <c r="AZ77" i="13"/>
  <c r="AZ78" i="13"/>
  <c r="AZ36" i="1"/>
  <c r="AZ33" i="14"/>
  <c r="AZ36" i="14" s="1"/>
  <c r="AZ39" i="14" s="1"/>
  <c r="AZ41" i="14" s="1"/>
  <c r="BA63" i="12"/>
  <c r="BA23" i="9"/>
  <c r="BA27" i="9" s="1"/>
  <c r="BA25" i="10" s="1"/>
  <c r="BA17" i="13" l="1"/>
  <c r="BA19" i="13" s="1"/>
  <c r="BA64" i="13" s="1"/>
  <c r="BA12" i="11"/>
  <c r="BA15" i="11" s="1"/>
  <c r="BA21" i="11" s="1"/>
  <c r="BA26" i="11" s="1"/>
  <c r="BA32" i="11" s="1"/>
  <c r="AZ45" i="1"/>
  <c r="AZ38" i="1"/>
  <c r="BA27" i="10"/>
  <c r="BA28" i="10" s="1"/>
  <c r="BA27" i="7"/>
  <c r="BA31" i="7" s="1"/>
  <c r="BA34" i="7" s="1"/>
  <c r="BA15" i="12" l="1"/>
  <c r="BA19" i="12" s="1"/>
  <c r="BA84" i="1"/>
  <c r="BA26" i="12"/>
  <c r="BA27" i="12" s="1"/>
  <c r="BA45" i="12" s="1"/>
  <c r="BA94" i="8"/>
  <c r="BA95" i="8" s="1"/>
  <c r="BA13" i="15"/>
  <c r="BA23" i="15" s="1"/>
  <c r="BA25" i="15" s="1"/>
  <c r="BA21" i="12" l="1"/>
  <c r="BA62" i="18"/>
  <c r="BA34" i="11"/>
  <c r="BA36" i="11" s="1"/>
  <c r="BA88" i="8"/>
  <c r="BA128" i="8" l="1"/>
  <c r="BA125" i="8" s="1"/>
  <c r="BA89" i="8"/>
  <c r="BB85" i="8" s="1"/>
  <c r="BB103" i="8" s="1"/>
  <c r="BB108" i="8" s="1"/>
  <c r="BA60" i="18"/>
  <c r="BA45" i="13" l="1"/>
  <c r="BB87" i="8"/>
  <c r="BB59" i="18" s="1"/>
  <c r="BA27" i="14"/>
  <c r="BA80" i="1" s="1"/>
  <c r="BB30" i="11"/>
  <c r="BB61" i="18"/>
  <c r="BA39" i="11"/>
  <c r="BA42" i="11" s="1"/>
  <c r="BA126" i="8"/>
  <c r="BB107" i="8"/>
  <c r="BB29" i="11" s="1"/>
  <c r="BB20" i="10"/>
  <c r="BB109" i="8" l="1"/>
  <c r="BB16" i="12" s="1"/>
  <c r="BA28" i="14"/>
  <c r="BB123" i="8"/>
  <c r="BA44" i="11"/>
  <c r="BB120" i="8" l="1"/>
  <c r="BB121" i="8" s="1"/>
  <c r="BB124" i="8" s="1"/>
  <c r="BB38" i="11" s="1"/>
  <c r="BA58" i="12"/>
  <c r="BA26" i="13"/>
  <c r="BB138" i="8"/>
  <c r="BB21" i="10" s="1"/>
  <c r="BB130" i="8"/>
  <c r="BA36" i="12"/>
  <c r="BA37" i="12" s="1"/>
  <c r="BA46" i="12" s="1"/>
  <c r="BA48" i="12" s="1"/>
  <c r="BA50" i="12" s="1"/>
  <c r="BA46" i="11" l="1"/>
  <c r="BA48" i="11" s="1"/>
  <c r="BA70" i="12" s="1"/>
  <c r="BA71" i="12" s="1"/>
  <c r="BA29" i="12"/>
  <c r="BA31" i="12" s="1"/>
  <c r="BB25" i="12" s="1"/>
  <c r="BA39" i="12"/>
  <c r="BA41" i="12" s="1"/>
  <c r="BB35" i="12" s="1"/>
  <c r="BA30" i="10"/>
  <c r="BB40" i="11"/>
  <c r="BB23" i="10"/>
  <c r="BB11" i="9" s="1"/>
  <c r="BB21" i="9" s="1"/>
  <c r="BA27" i="13" l="1"/>
  <c r="BA28" i="13" s="1"/>
  <c r="BA32" i="10"/>
  <c r="BA64" i="12" s="1"/>
  <c r="BA65" i="12" s="1"/>
  <c r="BB16" i="9"/>
  <c r="BB17" i="9"/>
  <c r="BB22" i="9" s="1"/>
  <c r="BB23" i="9" s="1"/>
  <c r="BB27" i="9" s="1"/>
  <c r="BB25" i="10" s="1"/>
  <c r="BA19" i="14"/>
  <c r="BA21" i="14" s="1"/>
  <c r="BB69" i="12"/>
  <c r="BB27" i="7" l="1"/>
  <c r="BB31" i="7" s="1"/>
  <c r="BB34" i="7" s="1"/>
  <c r="BB12" i="11"/>
  <c r="BB15" i="11" s="1"/>
  <c r="BB21" i="11" s="1"/>
  <c r="BB26" i="11" s="1"/>
  <c r="BB32" i="11" s="1"/>
  <c r="BA33" i="14"/>
  <c r="BA36" i="14" s="1"/>
  <c r="BA39" i="14" s="1"/>
  <c r="BA41" i="14" s="1"/>
  <c r="BB63" i="12"/>
  <c r="BB18" i="9"/>
  <c r="BC15" i="9" s="1"/>
  <c r="BA78" i="13"/>
  <c r="BA77" i="13"/>
  <c r="BA36" i="1"/>
  <c r="BB27" i="10"/>
  <c r="BB26" i="12" s="1"/>
  <c r="BB27" i="12" s="1"/>
  <c r="BB45" i="12" s="1"/>
  <c r="BB17" i="13"/>
  <c r="BB19" i="13" s="1"/>
  <c r="BB64" i="13" s="1"/>
  <c r="BA38" i="1" l="1"/>
  <c r="BA45" i="1"/>
  <c r="BB28" i="10"/>
  <c r="BB94" i="8"/>
  <c r="BB95" i="8" s="1"/>
  <c r="BB84" i="1"/>
  <c r="BB13" i="15"/>
  <c r="BB23" i="15" s="1"/>
  <c r="BB25" i="15" s="1"/>
  <c r="BB15" i="12"/>
  <c r="BB19" i="12" s="1"/>
  <c r="BB21" i="12" l="1"/>
  <c r="BB62" i="18"/>
  <c r="BB88" i="8"/>
  <c r="BB34" i="11"/>
  <c r="BB36" i="11" s="1"/>
  <c r="BB128" i="8" l="1"/>
  <c r="BB125" i="8" s="1"/>
  <c r="BB39" i="11" s="1"/>
  <c r="BB42" i="11" s="1"/>
  <c r="BB89" i="8"/>
  <c r="BB60" i="18"/>
  <c r="BB126" i="8" l="1"/>
  <c r="BC123" i="8" s="1"/>
  <c r="BB44" i="11"/>
  <c r="BB36" i="12" s="1"/>
  <c r="BB37" i="12" s="1"/>
  <c r="BB46" i="12" s="1"/>
  <c r="BB48" i="12" s="1"/>
  <c r="BB50" i="12" s="1"/>
  <c r="BB46" i="11" s="1"/>
  <c r="BB48" i="11" s="1"/>
  <c r="BC85" i="8"/>
  <c r="BB27" i="14"/>
  <c r="BB80" i="1" s="1"/>
  <c r="BB45" i="13"/>
  <c r="BB28" i="14"/>
  <c r="BC130" i="8"/>
  <c r="BC138" i="8"/>
  <c r="BC21" i="10" s="1"/>
  <c r="BC40" i="11" s="1"/>
  <c r="BB26" i="13" l="1"/>
  <c r="BB58" i="12"/>
  <c r="BC103" i="8"/>
  <c r="BC108" i="8" s="1"/>
  <c r="BC87" i="8"/>
  <c r="BB30" i="10"/>
  <c r="BB39" i="12"/>
  <c r="BB41" i="12" s="1"/>
  <c r="BC35" i="12" s="1"/>
  <c r="BB29" i="12"/>
  <c r="BB31" i="12" s="1"/>
  <c r="BC25" i="12" s="1"/>
  <c r="BB70" i="12"/>
  <c r="BB71" i="12" s="1"/>
  <c r="BC107" i="8" l="1"/>
  <c r="BC59" i="18"/>
  <c r="BC30" i="11"/>
  <c r="BC61" i="18"/>
  <c r="BC20" i="10"/>
  <c r="BC23" i="10" s="1"/>
  <c r="BC11" i="9" s="1"/>
  <c r="BC21" i="9" s="1"/>
  <c r="BB19" i="14"/>
  <c r="BB21" i="14" s="1"/>
  <c r="BC69" i="12"/>
  <c r="BB27" i="13"/>
  <c r="BB28" i="13" s="1"/>
  <c r="BB32" i="10"/>
  <c r="BB64" i="12" s="1"/>
  <c r="BB65" i="12" s="1"/>
  <c r="BC17" i="9" l="1"/>
  <c r="BC22" i="9" s="1"/>
  <c r="BC23" i="9" s="1"/>
  <c r="BC27" i="9" s="1"/>
  <c r="BC25" i="10" s="1"/>
  <c r="BC16" i="9"/>
  <c r="BC29" i="11"/>
  <c r="BC109" i="8"/>
  <c r="BB36" i="1"/>
  <c r="BB78" i="13"/>
  <c r="BB77" i="13"/>
  <c r="BC63" i="12"/>
  <c r="BB33" i="14"/>
  <c r="BB36" i="14" s="1"/>
  <c r="BB39" i="14" s="1"/>
  <c r="BB41" i="14" s="1"/>
  <c r="BC18" i="9" l="1"/>
  <c r="BD15" i="9" s="1"/>
  <c r="BC16" i="12"/>
  <c r="BC120" i="8"/>
  <c r="BC121" i="8" s="1"/>
  <c r="BC124" i="8" s="1"/>
  <c r="BC38" i="11" s="1"/>
  <c r="BC17" i="13"/>
  <c r="BC19" i="13" s="1"/>
  <c r="BC64" i="13" s="1"/>
  <c r="BC12" i="11"/>
  <c r="BC15" i="11" s="1"/>
  <c r="BC21" i="11" s="1"/>
  <c r="BC26" i="11" s="1"/>
  <c r="BC32" i="11" s="1"/>
  <c r="BC27" i="10"/>
  <c r="BC28" i="10" s="1"/>
  <c r="BC27" i="7"/>
  <c r="BC31" i="7" s="1"/>
  <c r="BC34" i="7" s="1"/>
  <c r="BB38" i="1"/>
  <c r="BB45" i="1"/>
  <c r="BC13" i="15" l="1"/>
  <c r="BC23" i="15" s="1"/>
  <c r="BC25" i="15" s="1"/>
  <c r="BC84" i="1"/>
  <c r="BC26" i="12"/>
  <c r="BC27" i="12" s="1"/>
  <c r="BC45" i="12" s="1"/>
  <c r="BC15" i="12"/>
  <c r="BC19" i="12" s="1"/>
  <c r="BC94" i="8"/>
  <c r="BC95" i="8" s="1"/>
  <c r="BC34" i="11" l="1"/>
  <c r="BC36" i="11" s="1"/>
  <c r="BC21" i="12"/>
  <c r="BC62" i="18"/>
  <c r="BC88" i="8"/>
  <c r="BC89" i="8" l="1"/>
  <c r="BC27" i="14" s="1"/>
  <c r="BC80" i="1" s="1"/>
  <c r="BC60" i="18"/>
  <c r="BC128" i="8"/>
  <c r="BC125" i="8" s="1"/>
  <c r="BD85" i="8" l="1"/>
  <c r="BD87" i="8" s="1"/>
  <c r="BD107" i="8" s="1"/>
  <c r="BD29" i="11" s="1"/>
  <c r="BC45" i="13"/>
  <c r="BC39" i="11"/>
  <c r="BC42" i="11" s="1"/>
  <c r="BC126" i="8"/>
  <c r="BD59" i="18"/>
  <c r="BD103" i="8"/>
  <c r="BD108" i="8" s="1"/>
  <c r="BD109" i="8" l="1"/>
  <c r="BD30" i="11"/>
  <c r="BD61" i="18"/>
  <c r="BD123" i="8"/>
  <c r="BC28" i="14"/>
  <c r="BC44" i="11"/>
  <c r="BD20" i="10"/>
  <c r="BD16" i="12"/>
  <c r="BD120" i="8"/>
  <c r="BD121" i="8" s="1"/>
  <c r="BD124" i="8" l="1"/>
  <c r="BD38" i="11" s="1"/>
  <c r="BC58" i="12"/>
  <c r="BC26" i="13"/>
  <c r="BC36" i="12"/>
  <c r="BC37" i="12" s="1"/>
  <c r="BC46" i="12" s="1"/>
  <c r="BC48" i="12" s="1"/>
  <c r="BC50" i="12" s="1"/>
  <c r="BD130" i="8"/>
  <c r="BD138" i="8"/>
  <c r="BD21" i="10" s="1"/>
  <c r="BD40" i="11" s="1"/>
  <c r="BD23" i="10" l="1"/>
  <c r="BD11" i="9" s="1"/>
  <c r="BD16" i="9" s="1"/>
  <c r="BC46" i="11"/>
  <c r="BC48" i="11" s="1"/>
  <c r="BC70" i="12" s="1"/>
  <c r="BC71" i="12" s="1"/>
  <c r="BC30" i="10"/>
  <c r="BC29" i="12"/>
  <c r="BC31" i="12" s="1"/>
  <c r="BD25" i="12" s="1"/>
  <c r="BC39" i="12"/>
  <c r="BC41" i="12" s="1"/>
  <c r="BD35" i="12" s="1"/>
  <c r="BD17" i="9" l="1"/>
  <c r="BD21" i="9"/>
  <c r="BC32" i="10"/>
  <c r="BC64" i="12" s="1"/>
  <c r="BC65" i="12" s="1"/>
  <c r="BC27" i="13"/>
  <c r="BC28" i="13" s="1"/>
  <c r="BC19" i="14"/>
  <c r="BC21" i="14" s="1"/>
  <c r="BD69" i="12"/>
  <c r="BD22" i="9" l="1"/>
  <c r="BD23" i="9" s="1"/>
  <c r="BD27" i="9" s="1"/>
  <c r="BD25" i="10" s="1"/>
  <c r="BD18" i="9"/>
  <c r="BE15" i="9" s="1"/>
  <c r="BC33" i="14"/>
  <c r="BC36" i="14" s="1"/>
  <c r="BC39" i="14" s="1"/>
  <c r="BC41" i="14" s="1"/>
  <c r="BD63" i="12"/>
  <c r="BC77" i="13"/>
  <c r="BC78" i="13"/>
  <c r="BC36" i="1"/>
  <c r="BD12" i="11" l="1"/>
  <c r="BD15" i="11" s="1"/>
  <c r="BD21" i="11" s="1"/>
  <c r="BD26" i="11" s="1"/>
  <c r="BD27" i="7"/>
  <c r="BD31" i="7" s="1"/>
  <c r="BD34" i="7" s="1"/>
  <c r="BD27" i="10"/>
  <c r="BD17" i="13"/>
  <c r="BD19" i="13" s="1"/>
  <c r="BD64" i="13" s="1"/>
  <c r="BC45" i="1"/>
  <c r="BC38" i="1"/>
  <c r="BD26" i="12" l="1"/>
  <c r="BD27" i="12" s="1"/>
  <c r="BD45" i="12" s="1"/>
  <c r="BD28" i="10"/>
  <c r="BD32" i="11"/>
  <c r="BD94" i="8" s="1"/>
  <c r="BD95" i="8" s="1"/>
  <c r="BD84" i="1"/>
  <c r="BD15" i="12"/>
  <c r="BD19" i="12" s="1"/>
  <c r="BD13" i="15"/>
  <c r="BD23" i="15" s="1"/>
  <c r="BD25" i="15" s="1"/>
  <c r="BD34" i="11" l="1"/>
  <c r="BD36" i="11" s="1"/>
  <c r="BD128" i="8" s="1"/>
  <c r="BD125" i="8" s="1"/>
  <c r="BD88" i="8"/>
  <c r="BD21" i="12"/>
  <c r="BD62" i="18"/>
  <c r="BD60" i="18" l="1"/>
  <c r="BD89" i="8"/>
  <c r="BD39" i="11"/>
  <c r="BD42" i="11" s="1"/>
  <c r="BD126" i="8"/>
  <c r="BD28" i="14" l="1"/>
  <c r="BE123" i="8"/>
  <c r="BD44" i="11"/>
  <c r="BD36" i="12" s="1"/>
  <c r="BD37" i="12" s="1"/>
  <c r="BD46" i="12" s="1"/>
  <c r="BD48" i="12" s="1"/>
  <c r="BD50" i="12" s="1"/>
  <c r="BD27" i="14"/>
  <c r="BD80" i="1" s="1"/>
  <c r="BD45" i="13"/>
  <c r="BE85" i="8"/>
  <c r="BE87" i="8" l="1"/>
  <c r="BE103" i="8"/>
  <c r="BE108" i="8" s="1"/>
  <c r="BD46" i="11"/>
  <c r="BD48" i="11" s="1"/>
  <c r="BD70" i="12" s="1"/>
  <c r="BD71" i="12" s="1"/>
  <c r="BD39" i="12"/>
  <c r="BD41" i="12" s="1"/>
  <c r="BE35" i="12" s="1"/>
  <c r="BD30" i="10"/>
  <c r="BD29" i="12"/>
  <c r="BD31" i="12" s="1"/>
  <c r="BE25" i="12" s="1"/>
  <c r="BE130" i="8"/>
  <c r="BE138" i="8"/>
  <c r="BE21" i="10" s="1"/>
  <c r="BE40" i="11" s="1"/>
  <c r="BD58" i="12"/>
  <c r="BD26" i="13"/>
  <c r="BE69" i="12" l="1"/>
  <c r="BD19" i="14"/>
  <c r="BD21" i="14" s="1"/>
  <c r="BE30" i="11"/>
  <c r="BE20" i="10"/>
  <c r="BE23" i="10" s="1"/>
  <c r="BE11" i="9" s="1"/>
  <c r="BE61" i="18"/>
  <c r="BD27" i="13"/>
  <c r="BD28" i="13" s="1"/>
  <c r="BD32" i="10"/>
  <c r="BD64" i="12" s="1"/>
  <c r="BD65" i="12" s="1"/>
  <c r="BE107" i="8"/>
  <c r="BE59" i="18"/>
  <c r="BE17" i="9" l="1"/>
  <c r="BE22" i="9" s="1"/>
  <c r="BE21" i="9"/>
  <c r="BE16" i="9"/>
  <c r="BE18" i="9" s="1"/>
  <c r="BF15" i="9" s="1"/>
  <c r="BD77" i="13"/>
  <c r="BD36" i="1"/>
  <c r="BD78" i="13"/>
  <c r="BE63" i="12"/>
  <c r="BD33" i="14"/>
  <c r="BD36" i="14" s="1"/>
  <c r="BD39" i="14" s="1"/>
  <c r="BD41" i="14" s="1"/>
  <c r="BE29" i="11"/>
  <c r="BE109" i="8"/>
  <c r="BD45" i="1" l="1"/>
  <c r="BD38" i="1"/>
  <c r="BE16" i="12"/>
  <c r="BE120" i="8"/>
  <c r="BE121" i="8" s="1"/>
  <c r="BE124" i="8" s="1"/>
  <c r="BE38" i="11" s="1"/>
  <c r="BE23" i="9"/>
  <c r="BE27" i="9" s="1"/>
  <c r="BE25" i="10" s="1"/>
  <c r="BE12" i="11" l="1"/>
  <c r="BE15" i="11" s="1"/>
  <c r="BE21" i="11" s="1"/>
  <c r="BE26" i="11" s="1"/>
  <c r="BE27" i="7"/>
  <c r="BE31" i="7" s="1"/>
  <c r="BE34" i="7" s="1"/>
  <c r="BE17" i="13"/>
  <c r="BE19" i="13" s="1"/>
  <c r="BE64" i="13" s="1"/>
  <c r="BE27" i="10"/>
  <c r="BE26" i="12" l="1"/>
  <c r="BE27" i="12" s="1"/>
  <c r="BE45" i="12" s="1"/>
  <c r="BE28" i="10"/>
  <c r="BE32" i="11"/>
  <c r="BE94" i="8" s="1"/>
  <c r="BE95" i="8" s="1"/>
  <c r="BE84" i="1"/>
  <c r="BE15" i="12"/>
  <c r="BE19" i="12" s="1"/>
  <c r="BE13" i="15"/>
  <c r="BE23" i="15" s="1"/>
  <c r="BE25" i="15" s="1"/>
  <c r="BE21" i="12" l="1"/>
  <c r="BE62" i="18"/>
  <c r="BE34" i="11"/>
  <c r="BE36" i="11" s="1"/>
  <c r="BE128" i="8" s="1"/>
  <c r="BE125" i="8" s="1"/>
  <c r="BE88" i="8"/>
  <c r="BE89" i="8" l="1"/>
  <c r="BE60" i="18"/>
  <c r="BE39" i="11"/>
  <c r="BE42" i="11" s="1"/>
  <c r="BE126" i="8"/>
  <c r="BE44" i="11" l="1"/>
  <c r="BE36" i="12" s="1"/>
  <c r="BE37" i="12" s="1"/>
  <c r="BE46" i="12" s="1"/>
  <c r="BE48" i="12" s="1"/>
  <c r="BE50" i="12" s="1"/>
  <c r="BF123" i="8"/>
  <c r="BE28" i="14"/>
  <c r="BF85" i="8"/>
  <c r="BE27" i="14"/>
  <c r="BE80" i="1" s="1"/>
  <c r="BE45" i="13"/>
  <c r="BF103" i="8" l="1"/>
  <c r="BF108" i="8" s="1"/>
  <c r="BF87" i="8"/>
  <c r="BF138" i="8"/>
  <c r="BF21" i="10" s="1"/>
  <c r="BF40" i="11" s="1"/>
  <c r="BF130" i="8"/>
  <c r="BE46" i="11"/>
  <c r="BE48" i="11" s="1"/>
  <c r="BE70" i="12" s="1"/>
  <c r="BE71" i="12" s="1"/>
  <c r="BE39" i="12"/>
  <c r="BE41" i="12" s="1"/>
  <c r="BF35" i="12" s="1"/>
  <c r="BE29" i="12"/>
  <c r="BE31" i="12" s="1"/>
  <c r="BF25" i="12" s="1"/>
  <c r="BE30" i="10"/>
  <c r="BE26" i="13"/>
  <c r="BE58" i="12"/>
  <c r="BE32" i="10" l="1"/>
  <c r="BE64" i="12" s="1"/>
  <c r="BE65" i="12" s="1"/>
  <c r="BE27" i="13"/>
  <c r="BE28" i="13" s="1"/>
  <c r="BE19" i="14"/>
  <c r="BE21" i="14" s="1"/>
  <c r="BF69" i="12"/>
  <c r="BF107" i="8"/>
  <c r="BF59" i="18"/>
  <c r="BF30" i="11"/>
  <c r="BF61" i="18"/>
  <c r="BF20" i="10"/>
  <c r="BF23" i="10" s="1"/>
  <c r="BF11" i="9" s="1"/>
  <c r="BF29" i="11" l="1"/>
  <c r="BF109" i="8"/>
  <c r="BE36" i="1"/>
  <c r="BE78" i="13"/>
  <c r="BE77" i="13"/>
  <c r="BF17" i="9"/>
  <c r="BF22" i="9" s="1"/>
  <c r="BF21" i="9"/>
  <c r="BF16" i="9"/>
  <c r="BF63" i="12"/>
  <c r="BE33" i="14"/>
  <c r="BE36" i="14" s="1"/>
  <c r="BE39" i="14" s="1"/>
  <c r="BE41" i="14" s="1"/>
  <c r="BF18" i="9" l="1"/>
  <c r="BG15" i="9" s="1"/>
  <c r="BF23" i="9"/>
  <c r="BF27" i="9" s="1"/>
  <c r="BF25" i="10" s="1"/>
  <c r="BF12" i="11" s="1"/>
  <c r="BF15" i="11" s="1"/>
  <c r="BF21" i="11" s="1"/>
  <c r="BF26" i="11" s="1"/>
  <c r="BF32" i="11" s="1"/>
  <c r="BF94" i="8" s="1"/>
  <c r="BF95" i="8" s="1"/>
  <c r="BF34" i="11" s="1"/>
  <c r="BF36" i="11" s="1"/>
  <c r="BE45" i="1"/>
  <c r="BE38" i="1"/>
  <c r="BF120" i="8"/>
  <c r="BF121" i="8" s="1"/>
  <c r="BF124" i="8" s="1"/>
  <c r="BF38" i="11" s="1"/>
  <c r="BF16" i="12"/>
  <c r="BF13" i="15" l="1"/>
  <c r="BF23" i="15" s="1"/>
  <c r="BF25" i="15" s="1"/>
  <c r="BF84" i="1"/>
  <c r="BF27" i="7"/>
  <c r="BF31" i="7" s="1"/>
  <c r="BF34" i="7" s="1"/>
  <c r="BF17" i="13"/>
  <c r="BF19" i="13" s="1"/>
  <c r="BF64" i="13" s="1"/>
  <c r="BF15" i="12"/>
  <c r="BF19" i="12" s="1"/>
  <c r="BF21" i="12" s="1"/>
  <c r="BF27" i="10"/>
  <c r="BF88" i="8"/>
  <c r="BF128" i="8"/>
  <c r="BF125" i="8" s="1"/>
  <c r="BF39" i="11" s="1"/>
  <c r="BF42" i="11" s="1"/>
  <c r="BF26" i="12" l="1"/>
  <c r="BF27" i="12" s="1"/>
  <c r="BF45" i="12" s="1"/>
  <c r="BF28" i="10"/>
  <c r="BF62" i="18"/>
  <c r="BF44" i="11"/>
  <c r="BF89" i="8"/>
  <c r="BF45" i="13" s="1"/>
  <c r="BF60" i="18"/>
  <c r="BF126" i="8"/>
  <c r="BF27" i="14" l="1"/>
  <c r="BF80" i="1" s="1"/>
  <c r="BG85" i="8"/>
  <c r="BG103" i="8" s="1"/>
  <c r="BG108" i="8" s="1"/>
  <c r="BG87" i="8"/>
  <c r="BF28" i="14"/>
  <c r="BG123" i="8"/>
  <c r="BF36" i="12"/>
  <c r="BF37" i="12" s="1"/>
  <c r="BF46" i="12" s="1"/>
  <c r="BF48" i="12" s="1"/>
  <c r="BF50" i="12" s="1"/>
  <c r="BF46" i="11" s="1"/>
  <c r="BF48" i="11" s="1"/>
  <c r="BF58" i="12"/>
  <c r="BF26" i="13"/>
  <c r="BG107" i="8" l="1"/>
  <c r="BG29" i="11" s="1"/>
  <c r="BG59" i="18"/>
  <c r="BG61" i="18"/>
  <c r="BG30" i="11"/>
  <c r="BG20" i="10"/>
  <c r="BF70" i="12"/>
  <c r="BF71" i="12" s="1"/>
  <c r="BF29" i="12"/>
  <c r="BF31" i="12" s="1"/>
  <c r="BG25" i="12" s="1"/>
  <c r="BF30" i="10"/>
  <c r="BF39" i="12"/>
  <c r="BF41" i="12" s="1"/>
  <c r="BG35" i="12" s="1"/>
  <c r="BG138" i="8"/>
  <c r="BG21" i="10" s="1"/>
  <c r="BG40" i="11" s="1"/>
  <c r="BG130" i="8"/>
  <c r="BG109" i="8"/>
  <c r="BF19" i="14" l="1"/>
  <c r="BF21" i="14" s="1"/>
  <c r="BG69" i="12"/>
  <c r="BG23" i="10"/>
  <c r="BF32" i="10"/>
  <c r="BF64" i="12" s="1"/>
  <c r="BF65" i="12" s="1"/>
  <c r="BF27" i="13"/>
  <c r="BF28" i="13" s="1"/>
  <c r="BG16" i="12"/>
  <c r="BG120" i="8"/>
  <c r="BG121" i="8" s="1"/>
  <c r="BG124" i="8" s="1"/>
  <c r="BG38" i="11" s="1"/>
  <c r="BF33" i="14" l="1"/>
  <c r="BF36" i="14" s="1"/>
  <c r="BF39" i="14" s="1"/>
  <c r="BF41" i="14" s="1"/>
  <c r="BG63" i="12"/>
  <c r="BG11" i="9"/>
  <c r="BF78" i="13"/>
  <c r="BF77" i="13"/>
  <c r="BF36" i="1"/>
  <c r="BG21" i="9" l="1"/>
  <c r="BG16" i="9"/>
  <c r="BG17" i="9"/>
  <c r="BG22" i="9" s="1"/>
  <c r="BF38" i="1"/>
  <c r="BF45" i="1"/>
  <c r="BG23" i="9" l="1"/>
  <c r="BG27" i="9" s="1"/>
  <c r="BG25" i="10" s="1"/>
  <c r="BG18" i="9"/>
  <c r="BH15" i="9" s="1"/>
  <c r="BG27" i="7" l="1"/>
  <c r="BG31" i="7" s="1"/>
  <c r="BG34" i="7" s="1"/>
  <c r="BG12" i="11"/>
  <c r="BG15" i="11" s="1"/>
  <c r="BG21" i="11" s="1"/>
  <c r="BG26" i="11" s="1"/>
  <c r="BG32" i="11" s="1"/>
  <c r="BG27" i="10"/>
  <c r="BG28" i="10" s="1"/>
  <c r="BG17" i="13"/>
  <c r="BG19" i="13" s="1"/>
  <c r="BG64" i="13" s="1"/>
  <c r="BG13" i="15" l="1"/>
  <c r="BG23" i="15" s="1"/>
  <c r="BG25" i="15" s="1"/>
  <c r="BG84" i="1"/>
  <c r="BG26" i="12"/>
  <c r="BG27" i="12" s="1"/>
  <c r="BG45" i="12" s="1"/>
  <c r="BG94" i="8"/>
  <c r="BG95" i="8" s="1"/>
  <c r="BG15" i="12"/>
  <c r="BG19" i="12" s="1"/>
  <c r="BG21" i="12" l="1"/>
  <c r="BG62" i="18"/>
  <c r="BG88" i="8"/>
  <c r="BG34" i="11"/>
  <c r="BG36" i="11" s="1"/>
  <c r="BG128" i="8" l="1"/>
  <c r="BG125" i="8" s="1"/>
  <c r="BG39" i="11" s="1"/>
  <c r="BG42" i="11" s="1"/>
  <c r="BG89" i="8"/>
  <c r="BG60" i="18"/>
  <c r="BG126" i="8" l="1"/>
  <c r="BG28" i="14" s="1"/>
  <c r="BG44" i="11"/>
  <c r="BH85" i="8"/>
  <c r="BG27" i="14"/>
  <c r="BG80" i="1" s="1"/>
  <c r="BG45" i="13"/>
  <c r="BH123" i="8"/>
  <c r="BH138" i="8" s="1"/>
  <c r="BH21" i="10" s="1"/>
  <c r="BH40" i="11" s="1"/>
  <c r="BH130" i="8" l="1"/>
  <c r="BH103" i="8"/>
  <c r="BH108" i="8" s="1"/>
  <c r="BH87" i="8"/>
  <c r="BG36" i="12"/>
  <c r="BG37" i="12" s="1"/>
  <c r="BG46" i="12" s="1"/>
  <c r="BG48" i="12" s="1"/>
  <c r="BG50" i="12" s="1"/>
  <c r="BG58" i="12"/>
  <c r="BG26" i="13"/>
  <c r="BH107" i="8" l="1"/>
  <c r="BH59" i="18"/>
  <c r="BG46" i="11"/>
  <c r="BG48" i="11" s="1"/>
  <c r="BG70" i="12" s="1"/>
  <c r="BG71" i="12" s="1"/>
  <c r="BG30" i="10"/>
  <c r="BG29" i="12"/>
  <c r="BG31" i="12" s="1"/>
  <c r="BH25" i="12" s="1"/>
  <c r="BG39" i="12"/>
  <c r="BG41" i="12" s="1"/>
  <c r="BH35" i="12" s="1"/>
  <c r="BH30" i="11"/>
  <c r="BH61" i="18"/>
  <c r="BH20" i="10"/>
  <c r="BH23" i="10" s="1"/>
  <c r="BH11" i="9" s="1"/>
  <c r="BG32" i="10" l="1"/>
  <c r="BG64" i="12" s="1"/>
  <c r="BG65" i="12" s="1"/>
  <c r="BG27" i="13"/>
  <c r="BG28" i="13" s="1"/>
  <c r="BH69" i="12"/>
  <c r="BG19" i="14"/>
  <c r="BG21" i="14" s="1"/>
  <c r="BH29" i="11"/>
  <c r="BH109" i="8"/>
  <c r="BH17" i="9"/>
  <c r="BH22" i="9" s="1"/>
  <c r="BH21" i="9"/>
  <c r="BH16" i="9"/>
  <c r="BG78" i="13" l="1"/>
  <c r="BG36" i="1"/>
  <c r="BG77" i="13"/>
  <c r="BH16" i="12"/>
  <c r="BH120" i="8"/>
  <c r="BH121" i="8" s="1"/>
  <c r="BH124" i="8" s="1"/>
  <c r="BH38" i="11" s="1"/>
  <c r="BH63" i="12"/>
  <c r="BG33" i="14"/>
  <c r="BG36" i="14" s="1"/>
  <c r="BG39" i="14" s="1"/>
  <c r="BG41" i="14" s="1"/>
  <c r="BH18" i="9"/>
  <c r="BI15" i="9" s="1"/>
  <c r="BH23" i="9"/>
  <c r="BH27" i="9" s="1"/>
  <c r="BH25" i="10" s="1"/>
  <c r="BG45" i="1" l="1"/>
  <c r="BG38" i="1"/>
  <c r="BH27" i="7"/>
  <c r="BH31" i="7" s="1"/>
  <c r="BH34" i="7" s="1"/>
  <c r="BH12" i="11"/>
  <c r="BH15" i="11" s="1"/>
  <c r="BH21" i="11" s="1"/>
  <c r="BH26" i="11" s="1"/>
  <c r="BH32" i="11" s="1"/>
  <c r="BH27" i="10"/>
  <c r="BH28" i="10" s="1"/>
  <c r="BH17" i="13"/>
  <c r="BH19" i="13" s="1"/>
  <c r="BH64" i="13" s="1"/>
  <c r="BH94" i="8" l="1"/>
  <c r="BH95" i="8" s="1"/>
  <c r="BH84" i="1"/>
  <c r="BH26" i="12"/>
  <c r="BH27" i="12" s="1"/>
  <c r="BH45" i="12" s="1"/>
  <c r="BH13" i="15"/>
  <c r="BH23" i="15" s="1"/>
  <c r="BH25" i="15" s="1"/>
  <c r="BH15" i="12"/>
  <c r="BH19" i="12" s="1"/>
  <c r="BH88" i="8" l="1"/>
  <c r="BH34" i="11"/>
  <c r="BH36" i="11" s="1"/>
  <c r="BH128" i="8" s="1"/>
  <c r="BH125" i="8" s="1"/>
  <c r="BH39" i="11" s="1"/>
  <c r="BH21" i="12"/>
  <c r="BH62" i="18"/>
  <c r="BH42" i="11" l="1"/>
  <c r="BH89" i="8"/>
  <c r="BH60" i="18"/>
  <c r="BH126" i="8"/>
  <c r="BI123" i="8" s="1"/>
  <c r="BH27" i="14" l="1"/>
  <c r="BH80" i="1" s="1"/>
  <c r="BH45" i="13"/>
  <c r="BI85" i="8"/>
  <c r="BH44" i="11"/>
  <c r="BH36" i="12" s="1"/>
  <c r="BH37" i="12" s="1"/>
  <c r="BH46" i="12" s="1"/>
  <c r="BH48" i="12" s="1"/>
  <c r="BH50" i="12" s="1"/>
  <c r="BH46" i="11" s="1"/>
  <c r="BH28" i="14"/>
  <c r="BI130" i="8"/>
  <c r="BI138" i="8"/>
  <c r="BI21" i="10" s="1"/>
  <c r="BI40" i="11" s="1"/>
  <c r="BH26" i="13" l="1"/>
  <c r="BH58" i="12"/>
  <c r="BH29" i="12"/>
  <c r="BH31" i="12" s="1"/>
  <c r="BI25" i="12" s="1"/>
  <c r="BH30" i="10"/>
  <c r="BH27" i="13" s="1"/>
  <c r="BH28" i="13" s="1"/>
  <c r="BH48" i="11"/>
  <c r="BH70" i="12" s="1"/>
  <c r="BH71" i="12" s="1"/>
  <c r="BI69" i="12" s="1"/>
  <c r="BI103" i="8"/>
  <c r="BI108" i="8" s="1"/>
  <c r="BI87" i="8"/>
  <c r="BH39" i="12"/>
  <c r="BH41" i="12" s="1"/>
  <c r="BI35" i="12" s="1"/>
  <c r="BH19" i="14" l="1"/>
  <c r="BH21" i="14" s="1"/>
  <c r="BH32" i="10"/>
  <c r="BH64" i="12" s="1"/>
  <c r="BH65" i="12" s="1"/>
  <c r="BH33" i="14" s="1"/>
  <c r="BH36" i="14" s="1"/>
  <c r="BH39" i="14" s="1"/>
  <c r="BH41" i="14" s="1"/>
  <c r="BI107" i="8"/>
  <c r="BI59" i="18"/>
  <c r="BI30" i="11"/>
  <c r="BI61" i="18"/>
  <c r="BI20" i="10"/>
  <c r="BI23" i="10" s="1"/>
  <c r="BI11" i="9" s="1"/>
  <c r="BH36" i="1"/>
  <c r="BH78" i="13"/>
  <c r="BH77" i="13"/>
  <c r="BI63" i="12" l="1"/>
  <c r="BI29" i="11"/>
  <c r="BI109" i="8"/>
  <c r="BI21" i="9"/>
  <c r="BI17" i="9"/>
  <c r="BI22" i="9" s="1"/>
  <c r="BI16" i="9"/>
  <c r="BH45" i="1"/>
  <c r="BH38" i="1"/>
  <c r="BI120" i="8" l="1"/>
  <c r="BI121" i="8" s="1"/>
  <c r="BI124" i="8" s="1"/>
  <c r="BI38" i="11" s="1"/>
  <c r="BI16" i="12"/>
  <c r="BI18" i="9"/>
  <c r="BJ15" i="9" s="1"/>
  <c r="BI23" i="9"/>
  <c r="BI27" i="9" s="1"/>
  <c r="BI25" i="10" s="1"/>
  <c r="BI12" i="11" l="1"/>
  <c r="BI15" i="11" s="1"/>
  <c r="BI21" i="11" s="1"/>
  <c r="BI26" i="11" s="1"/>
  <c r="BI32" i="11" s="1"/>
  <c r="BI94" i="8" s="1"/>
  <c r="BI95" i="8" s="1"/>
  <c r="BI34" i="11" s="1"/>
  <c r="BI27" i="7"/>
  <c r="BI31" i="7" s="1"/>
  <c r="BI34" i="7" s="1"/>
  <c r="BI17" i="13"/>
  <c r="BI19" i="13" s="1"/>
  <c r="BI64" i="13" s="1"/>
  <c r="BI27" i="10"/>
  <c r="BI28" i="10" s="1"/>
  <c r="BI13" i="15"/>
  <c r="BI23" i="15" s="1"/>
  <c r="BI25" i="15" s="1"/>
  <c r="BI15" i="12" l="1"/>
  <c r="BI19" i="12" s="1"/>
  <c r="BI21" i="12" s="1"/>
  <c r="BI36" i="11"/>
  <c r="BI128" i="8" s="1"/>
  <c r="BI125" i="8" s="1"/>
  <c r="BI39" i="11" s="1"/>
  <c r="BI84" i="1"/>
  <c r="BI26" i="12"/>
  <c r="BI27" i="12" s="1"/>
  <c r="BI45" i="12" s="1"/>
  <c r="BI88" i="8"/>
  <c r="BI62" i="18" l="1"/>
  <c r="BI89" i="8"/>
  <c r="BI27" i="14" s="1"/>
  <c r="BI80" i="1" s="1"/>
  <c r="BI60" i="18"/>
  <c r="BI42" i="11"/>
  <c r="BI126" i="8"/>
  <c r="BI45" i="13" l="1"/>
  <c r="BJ85" i="8"/>
  <c r="BJ87" i="8" s="1"/>
  <c r="BI44" i="11"/>
  <c r="BJ123" i="8"/>
  <c r="BI28" i="14"/>
  <c r="BJ103" i="8" l="1"/>
  <c r="BJ108" i="8" s="1"/>
  <c r="BJ30" i="11" s="1"/>
  <c r="BJ107" i="8"/>
  <c r="BJ29" i="11" s="1"/>
  <c r="BJ59" i="18"/>
  <c r="BI26" i="13"/>
  <c r="BI58" i="12"/>
  <c r="BI36" i="12"/>
  <c r="BI37" i="12" s="1"/>
  <c r="BI46" i="12" s="1"/>
  <c r="BI48" i="12" s="1"/>
  <c r="BI50" i="12" s="1"/>
  <c r="BI46" i="11" s="1"/>
  <c r="BI48" i="11" s="1"/>
  <c r="BJ130" i="8"/>
  <c r="BJ138" i="8"/>
  <c r="BJ21" i="10" s="1"/>
  <c r="BJ40" i="11" s="1"/>
  <c r="BJ20" i="10" l="1"/>
  <c r="BJ61" i="18"/>
  <c r="BJ109" i="8"/>
  <c r="BJ16" i="12" s="1"/>
  <c r="BJ23" i="10"/>
  <c r="BJ11" i="9" s="1"/>
  <c r="BI70" i="12"/>
  <c r="BI71" i="12" s="1"/>
  <c r="BI29" i="12"/>
  <c r="BI31" i="12" s="1"/>
  <c r="BJ25" i="12" s="1"/>
  <c r="BI30" i="10"/>
  <c r="BI39" i="12"/>
  <c r="BI41" i="12" s="1"/>
  <c r="BJ35" i="12" s="1"/>
  <c r="BJ120" i="8" l="1"/>
  <c r="BJ121" i="8" s="1"/>
  <c r="BJ124" i="8" s="1"/>
  <c r="BJ38" i="11" s="1"/>
  <c r="BJ21" i="9"/>
  <c r="BJ17" i="9"/>
  <c r="BJ22" i="9" s="1"/>
  <c r="BJ16" i="9"/>
  <c r="BI27" i="13"/>
  <c r="BI28" i="13" s="1"/>
  <c r="BI32" i="10"/>
  <c r="BI64" i="12" s="1"/>
  <c r="BI65" i="12" s="1"/>
  <c r="BJ69" i="12"/>
  <c r="BI19" i="14"/>
  <c r="BI21" i="14" s="1"/>
  <c r="BJ18" i="9" l="1"/>
  <c r="BK15" i="9" s="1"/>
  <c r="BJ63" i="12"/>
  <c r="BI33" i="14"/>
  <c r="BI36" i="14" s="1"/>
  <c r="BI39" i="14" s="1"/>
  <c r="BI41" i="14" s="1"/>
  <c r="BI36" i="1"/>
  <c r="BI78" i="13"/>
  <c r="BI77" i="13"/>
  <c r="BJ23" i="9"/>
  <c r="BJ27" i="9" s="1"/>
  <c r="BJ25" i="10" s="1"/>
  <c r="BJ12" i="11" s="1"/>
  <c r="BJ15" i="11" s="1"/>
  <c r="BJ21" i="11" s="1"/>
  <c r="BJ26" i="11" s="1"/>
  <c r="BJ32" i="11" s="1"/>
  <c r="BI45" i="1" l="1"/>
  <c r="BI38" i="1"/>
  <c r="BJ84" i="1"/>
  <c r="BJ27" i="7"/>
  <c r="BJ31" i="7" s="1"/>
  <c r="BJ34" i="7" s="1"/>
  <c r="BJ17" i="13"/>
  <c r="BJ19" i="13" s="1"/>
  <c r="BJ64" i="13" s="1"/>
  <c r="BJ27" i="10"/>
  <c r="BJ28" i="10" l="1"/>
  <c r="BJ26" i="12"/>
  <c r="BJ27" i="12" s="1"/>
  <c r="BJ45" i="12" s="1"/>
  <c r="BJ13" i="15"/>
  <c r="BJ23" i="15" s="1"/>
  <c r="BJ25" i="15" s="1"/>
  <c r="BJ94" i="8"/>
  <c r="BJ95" i="8" s="1"/>
  <c r="BJ34" i="11" s="1"/>
  <c r="BJ36" i="11" s="1"/>
  <c r="BJ15" i="12"/>
  <c r="BJ19" i="12" s="1"/>
  <c r="BJ21" i="12" l="1"/>
  <c r="BJ62" i="18"/>
  <c r="BJ128" i="8"/>
  <c r="BJ125" i="8" s="1"/>
  <c r="BJ39" i="11" s="1"/>
  <c r="BJ42" i="11" s="1"/>
  <c r="BJ88" i="8"/>
  <c r="BJ44" i="11" l="1"/>
  <c r="BJ89" i="8"/>
  <c r="BJ27" i="14" s="1"/>
  <c r="BJ80" i="1" s="1"/>
  <c r="BJ60" i="18"/>
  <c r="BJ45" i="13"/>
  <c r="BJ126" i="8"/>
  <c r="BK85" i="8" l="1"/>
  <c r="BJ28" i="14"/>
  <c r="BK123" i="8"/>
  <c r="BJ36" i="12"/>
  <c r="BJ37" i="12" s="1"/>
  <c r="BJ46" i="12" s="1"/>
  <c r="BJ48" i="12" s="1"/>
  <c r="BJ50" i="12" s="1"/>
  <c r="BJ46" i="11" s="1"/>
  <c r="BJ48" i="11" s="1"/>
  <c r="BJ58" i="12"/>
  <c r="BJ26" i="13"/>
  <c r="BK103" i="8"/>
  <c r="BK108" i="8" s="1"/>
  <c r="BK87" i="8"/>
  <c r="BK30" i="11" l="1"/>
  <c r="BK61" i="18"/>
  <c r="BK107" i="8"/>
  <c r="BK29" i="11" s="1"/>
  <c r="BK59" i="18"/>
  <c r="BK109" i="8"/>
  <c r="BK20" i="10"/>
  <c r="BK138" i="8"/>
  <c r="BK21" i="10" s="1"/>
  <c r="BK40" i="11" s="1"/>
  <c r="BK130" i="8"/>
  <c r="BJ30" i="10"/>
  <c r="BJ39" i="12"/>
  <c r="BJ41" i="12" s="1"/>
  <c r="BK35" i="12" s="1"/>
  <c r="BJ70" i="12"/>
  <c r="BJ71" i="12" s="1"/>
  <c r="BJ29" i="12"/>
  <c r="BJ31" i="12" s="1"/>
  <c r="BK25" i="12" s="1"/>
  <c r="BJ27" i="13" l="1"/>
  <c r="BJ28" i="13" s="1"/>
  <c r="BJ32" i="10"/>
  <c r="BJ64" i="12" s="1"/>
  <c r="BJ65" i="12" s="1"/>
  <c r="BK23" i="10"/>
  <c r="BK69" i="12"/>
  <c r="BJ19" i="14"/>
  <c r="BJ21" i="14" s="1"/>
  <c r="BK16" i="12"/>
  <c r="BK120" i="8"/>
  <c r="BK121" i="8" s="1"/>
  <c r="BK124" i="8" s="1"/>
  <c r="BK38" i="11" s="1"/>
  <c r="BK11" i="9" l="1"/>
  <c r="BK63" i="12"/>
  <c r="BJ33" i="14"/>
  <c r="BJ36" i="14" s="1"/>
  <c r="BJ39" i="14" s="1"/>
  <c r="BJ41" i="14" s="1"/>
  <c r="BJ36" i="1"/>
  <c r="BJ78" i="13"/>
  <c r="BJ77" i="13"/>
  <c r="BK16" i="9" l="1"/>
  <c r="BK17" i="9"/>
  <c r="BK22" i="9" s="1"/>
  <c r="BK21" i="9"/>
  <c r="BJ45" i="1"/>
  <c r="BJ38" i="1"/>
  <c r="BK23" i="9" l="1"/>
  <c r="BK27" i="9" s="1"/>
  <c r="BK25" i="10" s="1"/>
  <c r="BK12" i="11" s="1"/>
  <c r="BK15" i="11" s="1"/>
  <c r="BK21" i="11" s="1"/>
  <c r="BK26" i="11" s="1"/>
  <c r="BK32" i="11" s="1"/>
  <c r="BK18" i="9"/>
  <c r="BL15" i="9" s="1"/>
  <c r="BK27" i="7" l="1"/>
  <c r="BK31" i="7" s="1"/>
  <c r="BK34" i="7" s="1"/>
  <c r="BK17" i="13"/>
  <c r="BK19" i="13" s="1"/>
  <c r="BK64" i="13" s="1"/>
  <c r="BK84" i="1"/>
  <c r="BK27" i="10"/>
  <c r="BK28" i="10" l="1"/>
  <c r="BK26" i="12"/>
  <c r="BK27" i="12" s="1"/>
  <c r="BK45" i="12" s="1"/>
  <c r="BK94" i="8"/>
  <c r="BK95" i="8" s="1"/>
  <c r="BK34" i="11" s="1"/>
  <c r="BK36" i="11" s="1"/>
  <c r="BK13" i="15"/>
  <c r="BK23" i="15" s="1"/>
  <c r="BK25" i="15" s="1"/>
  <c r="BK15" i="12"/>
  <c r="BK19" i="12" s="1"/>
  <c r="BK21" i="12" l="1"/>
  <c r="BK62" i="18"/>
  <c r="BK128" i="8"/>
  <c r="BK125" i="8" s="1"/>
  <c r="BK39" i="11" s="1"/>
  <c r="BK42" i="11" s="1"/>
  <c r="BK88" i="8"/>
  <c r="BK44" i="11" l="1"/>
  <c r="BK89" i="8"/>
  <c r="BK27" i="14" s="1"/>
  <c r="BK80" i="1" s="1"/>
  <c r="BK60" i="18"/>
  <c r="BK126" i="8"/>
  <c r="BK45" i="13" l="1"/>
  <c r="BL85" i="8"/>
  <c r="BL87" i="8" s="1"/>
  <c r="BK28" i="14"/>
  <c r="BL123" i="8"/>
  <c r="BK36" i="12"/>
  <c r="BK37" i="12" s="1"/>
  <c r="BK46" i="12" s="1"/>
  <c r="BK48" i="12" s="1"/>
  <c r="BK50" i="12" s="1"/>
  <c r="BK46" i="11" s="1"/>
  <c r="BK48" i="11" s="1"/>
  <c r="BK26" i="13"/>
  <c r="BK58" i="12"/>
  <c r="BL103" i="8" l="1"/>
  <c r="BL108" i="8" s="1"/>
  <c r="BL107" i="8"/>
  <c r="BL29" i="11" s="1"/>
  <c r="BL59" i="18"/>
  <c r="BL30" i="11"/>
  <c r="BL61" i="18"/>
  <c r="BL109" i="8"/>
  <c r="BL20" i="10"/>
  <c r="BL130" i="8"/>
  <c r="BL138" i="8"/>
  <c r="BL21" i="10" s="1"/>
  <c r="BL40" i="11" s="1"/>
  <c r="BK39" i="12"/>
  <c r="BK41" i="12" s="1"/>
  <c r="BL35" i="12" s="1"/>
  <c r="BK29" i="12"/>
  <c r="BK31" i="12" s="1"/>
  <c r="BL25" i="12" s="1"/>
  <c r="BK70" i="12"/>
  <c r="BK71" i="12" s="1"/>
  <c r="BK30" i="10"/>
  <c r="BL23" i="10" l="1"/>
  <c r="BK27" i="13"/>
  <c r="BK28" i="13" s="1"/>
  <c r="BK32" i="10"/>
  <c r="BK64" i="12" s="1"/>
  <c r="BK65" i="12" s="1"/>
  <c r="BL16" i="12"/>
  <c r="BL120" i="8"/>
  <c r="BL121" i="8" s="1"/>
  <c r="BL124" i="8" s="1"/>
  <c r="BL38" i="11" s="1"/>
  <c r="BK19" i="14"/>
  <c r="BK21" i="14" s="1"/>
  <c r="BL69" i="12"/>
  <c r="BK36" i="1" l="1"/>
  <c r="BK77" i="13"/>
  <c r="BK78" i="13"/>
  <c r="BK33" i="14"/>
  <c r="BK36" i="14" s="1"/>
  <c r="BK39" i="14" s="1"/>
  <c r="BK41" i="14" s="1"/>
  <c r="BL63" i="12"/>
  <c r="BL11" i="9"/>
  <c r="BL21" i="9" l="1"/>
  <c r="BL16" i="9"/>
  <c r="BL17" i="9"/>
  <c r="BL22" i="9" s="1"/>
  <c r="BK38" i="1"/>
  <c r="BK45" i="1"/>
  <c r="BL23" i="9" l="1"/>
  <c r="BL27" i="9" s="1"/>
  <c r="BL25" i="10" s="1"/>
  <c r="BL18" i="9"/>
  <c r="BM15" i="9" s="1"/>
  <c r="BL27" i="7" l="1"/>
  <c r="BL31" i="7" s="1"/>
  <c r="BL34" i="7" s="1"/>
  <c r="BL12" i="11"/>
  <c r="BL15" i="11" s="1"/>
  <c r="BL21" i="11" s="1"/>
  <c r="BL26" i="11" s="1"/>
  <c r="BL32" i="11" s="1"/>
  <c r="BL27" i="10"/>
  <c r="BL28" i="10" s="1"/>
  <c r="BL17" i="13"/>
  <c r="BL19" i="13" s="1"/>
  <c r="BL64" i="13" s="1"/>
  <c r="BL26" i="12" l="1"/>
  <c r="BL27" i="12" s="1"/>
  <c r="BL45" i="12" s="1"/>
  <c r="BL94" i="8"/>
  <c r="BL95" i="8" s="1"/>
  <c r="BL84" i="1"/>
  <c r="BL13" i="15"/>
  <c r="BL23" i="15" s="1"/>
  <c r="BL25" i="15" s="1"/>
  <c r="BL15" i="12"/>
  <c r="BL19" i="12" s="1"/>
  <c r="BL21" i="12" l="1"/>
  <c r="BL62" i="18"/>
  <c r="BL34" i="11"/>
  <c r="BL36" i="11" s="1"/>
  <c r="BL88" i="8"/>
  <c r="BL89" i="8" l="1"/>
  <c r="BL45" i="13" s="1"/>
  <c r="BL60" i="18"/>
  <c r="BL128" i="8"/>
  <c r="BL125" i="8" s="1"/>
  <c r="BM85" i="8"/>
  <c r="BM87" i="8" s="1"/>
  <c r="BL27" i="14" l="1"/>
  <c r="BL80" i="1" s="1"/>
  <c r="BM103" i="8"/>
  <c r="BM108" i="8" s="1"/>
  <c r="BM107" i="8"/>
  <c r="BM29" i="11" s="1"/>
  <c r="BM59" i="18"/>
  <c r="BL39" i="11"/>
  <c r="BL42" i="11" s="1"/>
  <c r="BL126" i="8"/>
  <c r="BM109" i="8"/>
  <c r="BM20" i="10"/>
  <c r="BL44" i="11" l="1"/>
  <c r="BL36" i="12" s="1"/>
  <c r="BL37" i="12" s="1"/>
  <c r="BL46" i="12" s="1"/>
  <c r="BL48" i="12" s="1"/>
  <c r="BL50" i="12" s="1"/>
  <c r="BL28" i="14"/>
  <c r="BM123" i="8"/>
  <c r="BM30" i="11"/>
  <c r="BM61" i="18"/>
  <c r="BM120" i="8"/>
  <c r="BM121" i="8" s="1"/>
  <c r="BM16" i="12"/>
  <c r="BM124" i="8" l="1"/>
  <c r="BM38" i="11" s="1"/>
  <c r="BL46" i="11"/>
  <c r="BL48" i="11" s="1"/>
  <c r="BL70" i="12" s="1"/>
  <c r="BL71" i="12" s="1"/>
  <c r="BL29" i="12"/>
  <c r="BL31" i="12" s="1"/>
  <c r="BM25" i="12" s="1"/>
  <c r="BL30" i="10"/>
  <c r="BL39" i="12"/>
  <c r="BL41" i="12" s="1"/>
  <c r="BM35" i="12" s="1"/>
  <c r="BM138" i="8"/>
  <c r="BM21" i="10" s="1"/>
  <c r="BM130" i="8"/>
  <c r="BL26" i="13"/>
  <c r="BL58" i="12"/>
  <c r="BM40" i="11" l="1"/>
  <c r="BM23" i="10"/>
  <c r="BM11" i="9" s="1"/>
  <c r="BM16" i="9" s="1"/>
  <c r="BL32" i="10"/>
  <c r="BL64" i="12" s="1"/>
  <c r="BL65" i="12" s="1"/>
  <c r="BL27" i="13"/>
  <c r="BL28" i="13" s="1"/>
  <c r="BL19" i="14"/>
  <c r="BL21" i="14" s="1"/>
  <c r="BM69" i="12"/>
  <c r="BM21" i="9" l="1"/>
  <c r="BM17" i="9"/>
  <c r="BM22" i="9" s="1"/>
  <c r="BL36" i="1"/>
  <c r="BL77" i="13"/>
  <c r="BL78" i="13"/>
  <c r="BM63" i="12"/>
  <c r="BL33" i="14"/>
  <c r="BL36" i="14" s="1"/>
  <c r="BL39" i="14" s="1"/>
  <c r="BL41" i="14" s="1"/>
  <c r="BM23" i="9"/>
  <c r="BM27" i="9" s="1"/>
  <c r="BM25" i="10" s="1"/>
  <c r="BM12" i="11" s="1"/>
  <c r="BM15" i="11" s="1"/>
  <c r="BM21" i="11" s="1"/>
  <c r="BM26" i="11" s="1"/>
  <c r="BM32" i="11" s="1"/>
  <c r="BM18" i="9" l="1"/>
  <c r="BN15" i="9" s="1"/>
  <c r="BL45" i="1"/>
  <c r="BL38" i="1"/>
  <c r="BM27" i="7"/>
  <c r="BM31" i="7" s="1"/>
  <c r="BM34" i="7" s="1"/>
  <c r="BM84" i="1"/>
  <c r="BM17" i="13"/>
  <c r="BM19" i="13" s="1"/>
  <c r="BM64" i="13" s="1"/>
  <c r="BM27" i="10"/>
  <c r="BM26" i="12" l="1"/>
  <c r="BM27" i="12" s="1"/>
  <c r="BM45" i="12" s="1"/>
  <c r="BM28" i="10"/>
  <c r="BM94" i="8"/>
  <c r="BM95" i="8" s="1"/>
  <c r="BM34" i="11" s="1"/>
  <c r="BM36" i="11" s="1"/>
  <c r="BM15" i="12"/>
  <c r="BM19" i="12" s="1"/>
  <c r="BM13" i="15"/>
  <c r="BM23" i="15" s="1"/>
  <c r="BM25" i="15" s="1"/>
  <c r="BM21" i="12" l="1"/>
  <c r="BM62" i="18"/>
  <c r="BM88" i="8"/>
  <c r="BM128" i="8"/>
  <c r="BM125" i="8" s="1"/>
  <c r="BM39" i="11" s="1"/>
  <c r="BM42" i="11" s="1"/>
  <c r="BM44" i="11" l="1"/>
  <c r="BM89" i="8"/>
  <c r="BN85" i="8" s="1"/>
  <c r="BM60" i="18"/>
  <c r="BM126" i="8"/>
  <c r="BM45" i="13" l="1"/>
  <c r="BM27" i="14"/>
  <c r="BM80" i="1" s="1"/>
  <c r="BN103" i="8"/>
  <c r="BN108" i="8" s="1"/>
  <c r="BN87" i="8"/>
  <c r="BM28" i="14"/>
  <c r="BN123" i="8"/>
  <c r="BM36" i="12"/>
  <c r="BM37" i="12" s="1"/>
  <c r="BM46" i="12" s="1"/>
  <c r="BM48" i="12" s="1"/>
  <c r="BM50" i="12" s="1"/>
  <c r="BM46" i="11" s="1"/>
  <c r="BM48" i="11" s="1"/>
  <c r="BN107" i="8" l="1"/>
  <c r="BN29" i="11" s="1"/>
  <c r="BN59" i="18"/>
  <c r="BN30" i="11"/>
  <c r="BN61" i="18"/>
  <c r="BM39" i="12"/>
  <c r="BM41" i="12" s="1"/>
  <c r="BN35" i="12" s="1"/>
  <c r="BM30" i="10"/>
  <c r="BM29" i="12"/>
  <c r="BM31" i="12" s="1"/>
  <c r="BN25" i="12" s="1"/>
  <c r="BM70" i="12"/>
  <c r="BM71" i="12" s="1"/>
  <c r="BM26" i="13"/>
  <c r="BM58" i="12"/>
  <c r="BN138" i="8"/>
  <c r="BN21" i="10" s="1"/>
  <c r="BN40" i="11" s="1"/>
  <c r="BN130" i="8"/>
  <c r="BN20" i="10"/>
  <c r="BN109" i="8" l="1"/>
  <c r="BN23" i="10"/>
  <c r="BN11" i="9" s="1"/>
  <c r="BM19" i="14"/>
  <c r="BM21" i="14" s="1"/>
  <c r="BN69" i="12"/>
  <c r="BN16" i="12"/>
  <c r="BN120" i="8"/>
  <c r="BN121" i="8" s="1"/>
  <c r="BN124" i="8" s="1"/>
  <c r="BN38" i="11" s="1"/>
  <c r="BM27" i="13"/>
  <c r="BM28" i="13" s="1"/>
  <c r="BM32" i="10"/>
  <c r="BM64" i="12" s="1"/>
  <c r="BM65" i="12" s="1"/>
  <c r="BM36" i="1" l="1"/>
  <c r="BM78" i="13"/>
  <c r="BM77" i="13"/>
  <c r="BN63" i="12"/>
  <c r="BM33" i="14"/>
  <c r="BM36" i="14" s="1"/>
  <c r="BM39" i="14" s="1"/>
  <c r="BM41" i="14" s="1"/>
  <c r="BN16" i="9"/>
  <c r="BN17" i="9"/>
  <c r="BN22" i="9" s="1"/>
  <c r="BN21" i="9"/>
  <c r="BN18" i="9" l="1"/>
  <c r="BO15" i="9" s="1"/>
  <c r="BN23" i="9"/>
  <c r="BN27" i="9" s="1"/>
  <c r="BN25" i="10" s="1"/>
  <c r="BN12" i="11" s="1"/>
  <c r="BN15" i="11" s="1"/>
  <c r="BN21" i="11" s="1"/>
  <c r="BN26" i="11" s="1"/>
  <c r="BN32" i="11" s="1"/>
  <c r="BM38" i="1"/>
  <c r="BM45" i="1"/>
  <c r="BN84" i="1" l="1"/>
  <c r="BN17" i="13"/>
  <c r="BN19" i="13" s="1"/>
  <c r="BN64" i="13" s="1"/>
  <c r="BN27" i="7"/>
  <c r="BN31" i="7" s="1"/>
  <c r="BN34" i="7" s="1"/>
  <c r="BN27" i="10"/>
  <c r="BN28" i="10" l="1"/>
  <c r="BN26" i="12"/>
  <c r="BN27" i="12" s="1"/>
  <c r="BN45" i="12" s="1"/>
  <c r="BN15" i="12"/>
  <c r="BN19" i="12" s="1"/>
  <c r="BN13" i="15"/>
  <c r="BN23" i="15" s="1"/>
  <c r="BN25" i="15" s="1"/>
  <c r="BN94" i="8"/>
  <c r="BN95" i="8" s="1"/>
  <c r="BN34" i="11" s="1"/>
  <c r="BN36" i="11" s="1"/>
  <c r="BN21" i="12" l="1"/>
  <c r="BN62" i="18"/>
  <c r="BN128" i="8"/>
  <c r="BN125" i="8" s="1"/>
  <c r="BN39" i="11" s="1"/>
  <c r="BN42" i="11" s="1"/>
  <c r="BN88" i="8"/>
  <c r="BN44" i="11" l="1"/>
  <c r="BN89" i="8"/>
  <c r="BO85" i="8" s="1"/>
  <c r="BN60" i="18"/>
  <c r="BN126" i="8"/>
  <c r="BN45" i="13" l="1"/>
  <c r="BN27" i="14"/>
  <c r="BN80" i="1" s="1"/>
  <c r="BN28" i="14"/>
  <c r="BO123" i="8"/>
  <c r="BN36" i="12"/>
  <c r="BN37" i="12" s="1"/>
  <c r="BN46" i="12" s="1"/>
  <c r="BN48" i="12" s="1"/>
  <c r="BN50" i="12" s="1"/>
  <c r="BN46" i="11" s="1"/>
  <c r="BN48" i="11" s="1"/>
  <c r="BO87" i="8"/>
  <c r="BO103" i="8"/>
  <c r="BO108" i="8" s="1"/>
  <c r="BO61" i="18" l="1"/>
  <c r="BO30" i="11"/>
  <c r="BO107" i="8"/>
  <c r="BO29" i="11" s="1"/>
  <c r="BO59" i="18"/>
  <c r="BO20" i="10"/>
  <c r="BO109" i="8"/>
  <c r="BN26" i="13"/>
  <c r="BN58" i="12"/>
  <c r="BO138" i="8"/>
  <c r="BO21" i="10" s="1"/>
  <c r="BO40" i="11" s="1"/>
  <c r="BO130" i="8"/>
  <c r="BN30" i="10"/>
  <c r="BN39" i="12"/>
  <c r="BN41" i="12" s="1"/>
  <c r="BO35" i="12" s="1"/>
  <c r="BN70" i="12"/>
  <c r="BN71" i="12" s="1"/>
  <c r="BN29" i="12"/>
  <c r="BN31" i="12" s="1"/>
  <c r="BO25" i="12" s="1"/>
  <c r="BO16" i="12" l="1"/>
  <c r="BO120" i="8"/>
  <c r="BO121" i="8" s="1"/>
  <c r="BO124" i="8" s="1"/>
  <c r="BO38" i="11" s="1"/>
  <c r="BN27" i="13"/>
  <c r="BN28" i="13" s="1"/>
  <c r="BN32" i="10"/>
  <c r="BN64" i="12" s="1"/>
  <c r="BN65" i="12" s="1"/>
  <c r="BO23" i="10"/>
  <c r="BO69" i="12"/>
  <c r="BN19" i="14"/>
  <c r="BN21" i="14" s="1"/>
  <c r="BO11" i="9" l="1"/>
  <c r="BN36" i="1"/>
  <c r="BN77" i="13"/>
  <c r="BN78" i="13"/>
  <c r="BN33" i="14"/>
  <c r="BN36" i="14" s="1"/>
  <c r="BN39" i="14" s="1"/>
  <c r="BN41" i="14" s="1"/>
  <c r="BO63" i="12"/>
  <c r="BN45" i="1" l="1"/>
  <c r="BN38" i="1"/>
  <c r="BO16" i="9"/>
  <c r="BO17" i="9"/>
  <c r="BO22" i="9" s="1"/>
  <c r="BO21" i="9"/>
  <c r="BO23" i="9" l="1"/>
  <c r="BO27" i="9" s="1"/>
  <c r="BO25" i="10" s="1"/>
  <c r="BO12" i="11" s="1"/>
  <c r="BO15" i="11" s="1"/>
  <c r="BO21" i="11" s="1"/>
  <c r="BO26" i="11" s="1"/>
  <c r="BO32" i="11" s="1"/>
  <c r="BO18" i="9"/>
  <c r="BP15" i="9" s="1"/>
  <c r="BO27" i="7" l="1"/>
  <c r="BO31" i="7" s="1"/>
  <c r="BO34" i="7" s="1"/>
  <c r="BO84" i="1"/>
  <c r="BO17" i="13"/>
  <c r="BO19" i="13" s="1"/>
  <c r="BO64" i="13" s="1"/>
  <c r="BO27" i="10"/>
  <c r="BO26" i="12" l="1"/>
  <c r="BO27" i="12" s="1"/>
  <c r="BO45" i="12" s="1"/>
  <c r="BO28" i="10"/>
  <c r="BO15" i="12"/>
  <c r="BO19" i="12" s="1"/>
  <c r="BO13" i="15"/>
  <c r="BO23" i="15" s="1"/>
  <c r="BO25" i="15" s="1"/>
  <c r="BO94" i="8"/>
  <c r="BO95" i="8" s="1"/>
  <c r="BO34" i="11" s="1"/>
  <c r="BO36" i="11" s="1"/>
  <c r="BO21" i="12" l="1"/>
  <c r="BO62" i="18"/>
  <c r="BO128" i="8"/>
  <c r="BO125" i="8" s="1"/>
  <c r="BO39" i="11" s="1"/>
  <c r="BO42" i="11" s="1"/>
  <c r="BO88" i="8"/>
  <c r="BO44" i="11" l="1"/>
  <c r="BO89" i="8"/>
  <c r="BO60" i="18"/>
  <c r="BO45" i="13"/>
  <c r="BP85" i="8"/>
  <c r="BO27" i="14"/>
  <c r="BO80" i="1" s="1"/>
  <c r="BO126" i="8"/>
  <c r="BO28" i="14" l="1"/>
  <c r="BP123" i="8"/>
  <c r="BO36" i="12"/>
  <c r="BO37" i="12" s="1"/>
  <c r="BO46" i="12" s="1"/>
  <c r="BO48" i="12" s="1"/>
  <c r="BO50" i="12" s="1"/>
  <c r="BO46" i="11" s="1"/>
  <c r="BO48" i="11" s="1"/>
  <c r="BP87" i="8"/>
  <c r="BP103" i="8"/>
  <c r="BP108" i="8" s="1"/>
  <c r="BP30" i="11" l="1"/>
  <c r="BP61" i="18"/>
  <c r="BP107" i="8"/>
  <c r="BP29" i="11" s="1"/>
  <c r="BP59" i="18"/>
  <c r="BO70" i="12"/>
  <c r="BO71" i="12" s="1"/>
  <c r="BO29" i="12"/>
  <c r="BO31" i="12" s="1"/>
  <c r="BP25" i="12" s="1"/>
  <c r="BO39" i="12"/>
  <c r="BO41" i="12" s="1"/>
  <c r="BP35" i="12" s="1"/>
  <c r="BO30" i="10"/>
  <c r="BP20" i="10"/>
  <c r="BP138" i="8"/>
  <c r="BP21" i="10" s="1"/>
  <c r="BP40" i="11" s="1"/>
  <c r="BP130" i="8"/>
  <c r="BO26" i="13"/>
  <c r="BO58" i="12"/>
  <c r="BP109" i="8" l="1"/>
  <c r="BP120" i="8" s="1"/>
  <c r="BP121" i="8" s="1"/>
  <c r="BP124" i="8" s="1"/>
  <c r="BP38" i="11" s="1"/>
  <c r="BP23" i="10"/>
  <c r="BP11" i="9" s="1"/>
  <c r="BP16" i="12"/>
  <c r="BO27" i="13"/>
  <c r="BO28" i="13" s="1"/>
  <c r="BO32" i="10"/>
  <c r="BO64" i="12" s="1"/>
  <c r="BO65" i="12" s="1"/>
  <c r="BP69" i="12"/>
  <c r="BO19" i="14"/>
  <c r="BO21" i="14" s="1"/>
  <c r="BO33" i="14" l="1"/>
  <c r="BO36" i="14" s="1"/>
  <c r="BO39" i="14" s="1"/>
  <c r="BO41" i="14" s="1"/>
  <c r="BP63" i="12"/>
  <c r="BP21" i="9"/>
  <c r="BP16" i="9"/>
  <c r="BP17" i="9"/>
  <c r="BP22" i="9" s="1"/>
  <c r="BO36" i="1"/>
  <c r="BO77" i="13"/>
  <c r="BO78" i="13"/>
  <c r="BP23" i="9" l="1"/>
  <c r="BP27" i="9" s="1"/>
  <c r="BP25" i="10" s="1"/>
  <c r="BO45" i="1"/>
  <c r="BO38" i="1"/>
  <c r="BP18" i="9"/>
  <c r="BQ15" i="9" s="1"/>
  <c r="BP27" i="10" l="1"/>
  <c r="BP12" i="11"/>
  <c r="BP15" i="11" s="1"/>
  <c r="BP21" i="11" s="1"/>
  <c r="BP26" i="11" s="1"/>
  <c r="BP32" i="11" s="1"/>
  <c r="BP17" i="13"/>
  <c r="BP19" i="13" s="1"/>
  <c r="BP64" i="13" s="1"/>
  <c r="BP27" i="7"/>
  <c r="BP31" i="7" s="1"/>
  <c r="BP34" i="7" s="1"/>
  <c r="BP28" i="10"/>
  <c r="BP26" i="12"/>
  <c r="BP27" i="12" s="1"/>
  <c r="BP45" i="12" s="1"/>
  <c r="BP84" i="1" l="1"/>
  <c r="BP15" i="12"/>
  <c r="BP19" i="12" s="1"/>
  <c r="BP94" i="8"/>
  <c r="BP95" i="8" s="1"/>
  <c r="BP13" i="15"/>
  <c r="BP23" i="15" s="1"/>
  <c r="BP25" i="15" s="1"/>
  <c r="BP34" i="11" l="1"/>
  <c r="BP36" i="11" s="1"/>
  <c r="BP21" i="12"/>
  <c r="BP62" i="18"/>
  <c r="BP88" i="8"/>
  <c r="BP89" i="8" l="1"/>
  <c r="BP45" i="13" s="1"/>
  <c r="BP60" i="18"/>
  <c r="BP128" i="8"/>
  <c r="BP125" i="8" s="1"/>
  <c r="BQ85" i="8" l="1"/>
  <c r="BQ87" i="8" s="1"/>
  <c r="BQ107" i="8" s="1"/>
  <c r="BQ29" i="11" s="1"/>
  <c r="BP27" i="14"/>
  <c r="BP80" i="1" s="1"/>
  <c r="BP39" i="11"/>
  <c r="BP42" i="11" s="1"/>
  <c r="BP126" i="8"/>
  <c r="BQ103" i="8" l="1"/>
  <c r="BQ108" i="8" s="1"/>
  <c r="BQ20" i="10" s="1"/>
  <c r="BQ59" i="18"/>
  <c r="BP44" i="11"/>
  <c r="BP28" i="14"/>
  <c r="BQ123" i="8"/>
  <c r="BQ109" i="8"/>
  <c r="BQ120" i="8" s="1"/>
  <c r="BQ121" i="8" s="1"/>
  <c r="BQ30" i="11"/>
  <c r="BQ124" i="8" l="1"/>
  <c r="BQ38" i="11" s="1"/>
  <c r="BQ61" i="18"/>
  <c r="BQ16" i="12"/>
  <c r="BQ130" i="8"/>
  <c r="BQ138" i="8"/>
  <c r="BQ21" i="10" s="1"/>
  <c r="BP36" i="12"/>
  <c r="BP37" i="12" s="1"/>
  <c r="BP46" i="12" s="1"/>
  <c r="BP48" i="12" s="1"/>
  <c r="BP50" i="12" s="1"/>
  <c r="BP58" i="12"/>
  <c r="BP26" i="13"/>
  <c r="BP46" i="11" l="1"/>
  <c r="BP48" i="11" s="1"/>
  <c r="BP70" i="12" s="1"/>
  <c r="BP71" i="12" s="1"/>
  <c r="BP30" i="10"/>
  <c r="BP29" i="12"/>
  <c r="BP31" i="12" s="1"/>
  <c r="BQ25" i="12" s="1"/>
  <c r="BP39" i="12"/>
  <c r="BP41" i="12" s="1"/>
  <c r="BQ35" i="12" s="1"/>
  <c r="BQ40" i="11"/>
  <c r="BQ23" i="10"/>
  <c r="BQ11" i="9" s="1"/>
  <c r="BQ16" i="9" l="1"/>
  <c r="BQ17" i="9"/>
  <c r="BQ22" i="9" s="1"/>
  <c r="BQ21" i="9"/>
  <c r="BP27" i="13"/>
  <c r="BP28" i="13" s="1"/>
  <c r="BP32" i="10"/>
  <c r="BP64" i="12" s="1"/>
  <c r="BP65" i="12" s="1"/>
  <c r="BQ69" i="12"/>
  <c r="BP19" i="14"/>
  <c r="BP21" i="14" s="1"/>
  <c r="BQ23" i="9" l="1"/>
  <c r="BQ27" i="9" s="1"/>
  <c r="BQ25" i="10" s="1"/>
  <c r="BQ12" i="11" s="1"/>
  <c r="BQ15" i="11" s="1"/>
  <c r="BQ21" i="11" s="1"/>
  <c r="BQ26" i="11" s="1"/>
  <c r="BQ32" i="11" s="1"/>
  <c r="BQ94" i="8" s="1"/>
  <c r="BQ95" i="8" s="1"/>
  <c r="BQ34" i="11" s="1"/>
  <c r="BQ36" i="11" s="1"/>
  <c r="BP33" i="14"/>
  <c r="BP36" i="14" s="1"/>
  <c r="BP39" i="14" s="1"/>
  <c r="BP41" i="14" s="1"/>
  <c r="BQ63" i="12"/>
  <c r="BP77" i="13"/>
  <c r="BP36" i="1"/>
  <c r="BP78" i="13"/>
  <c r="BQ27" i="10"/>
  <c r="BQ26" i="12" s="1"/>
  <c r="BQ27" i="12" s="1"/>
  <c r="BQ45" i="12" s="1"/>
  <c r="BQ27" i="7"/>
  <c r="BQ31" i="7" s="1"/>
  <c r="BQ34" i="7" s="1"/>
  <c r="BQ17" i="13"/>
  <c r="BQ19" i="13" s="1"/>
  <c r="BQ64" i="13" s="1"/>
  <c r="BQ18" i="9"/>
  <c r="BR15" i="9" s="1"/>
  <c r="BQ84" i="1" l="1"/>
  <c r="BQ15" i="12"/>
  <c r="BQ19" i="12" s="1"/>
  <c r="BQ62" i="18" s="1"/>
  <c r="BQ13" i="15"/>
  <c r="BQ23" i="15" s="1"/>
  <c r="BQ25" i="15" s="1"/>
  <c r="BP45" i="1"/>
  <c r="BP38" i="1"/>
  <c r="BQ28" i="10"/>
  <c r="BQ88" i="8"/>
  <c r="BQ128" i="8"/>
  <c r="BQ125" i="8" s="1"/>
  <c r="BQ39" i="11" s="1"/>
  <c r="BQ42" i="11" s="1"/>
  <c r="BQ21" i="12" l="1"/>
  <c r="BQ44" i="11"/>
  <c r="BQ89" i="8"/>
  <c r="BQ45" i="13" s="1"/>
  <c r="BQ60" i="18"/>
  <c r="BQ126" i="8"/>
  <c r="BQ27" i="14" l="1"/>
  <c r="BQ80" i="1" s="1"/>
  <c r="BR85" i="8"/>
  <c r="BR103" i="8" s="1"/>
  <c r="BR108" i="8" s="1"/>
  <c r="BR123" i="8"/>
  <c r="BQ28" i="14"/>
  <c r="BQ36" i="12"/>
  <c r="BQ37" i="12" s="1"/>
  <c r="BQ46" i="12" s="1"/>
  <c r="BQ48" i="12" s="1"/>
  <c r="BQ50" i="12" s="1"/>
  <c r="BQ46" i="11" s="1"/>
  <c r="BQ48" i="11" s="1"/>
  <c r="BQ26" i="13"/>
  <c r="BQ58" i="12"/>
  <c r="BR87" i="8" l="1"/>
  <c r="BR30" i="11"/>
  <c r="BR61" i="18"/>
  <c r="BR107" i="8"/>
  <c r="BR29" i="11" s="1"/>
  <c r="BR59" i="18"/>
  <c r="BR109" i="8"/>
  <c r="BQ29" i="12"/>
  <c r="BQ31" i="12" s="1"/>
  <c r="BR25" i="12" s="1"/>
  <c r="BQ30" i="10"/>
  <c r="BQ39" i="12"/>
  <c r="BQ41" i="12" s="1"/>
  <c r="BR35" i="12" s="1"/>
  <c r="BQ70" i="12"/>
  <c r="BQ71" i="12" s="1"/>
  <c r="BR130" i="8"/>
  <c r="BR138" i="8"/>
  <c r="BR21" i="10" s="1"/>
  <c r="BR40" i="11" s="1"/>
  <c r="BR20" i="10"/>
  <c r="BQ27" i="13" l="1"/>
  <c r="BQ28" i="13" s="1"/>
  <c r="BQ32" i="10"/>
  <c r="BQ64" i="12" s="1"/>
  <c r="BQ65" i="12" s="1"/>
  <c r="BR23" i="10"/>
  <c r="BQ19" i="14"/>
  <c r="BQ21" i="14" s="1"/>
  <c r="BR69" i="12"/>
  <c r="BR16" i="12"/>
  <c r="BR120" i="8"/>
  <c r="BR121" i="8" s="1"/>
  <c r="BR124" i="8" s="1"/>
  <c r="BR38" i="11" s="1"/>
  <c r="BR63" i="12" l="1"/>
  <c r="BQ33" i="14"/>
  <c r="BQ36" i="14" s="1"/>
  <c r="BQ39" i="14" s="1"/>
  <c r="BQ41" i="14" s="1"/>
  <c r="BR11" i="9"/>
  <c r="BQ36" i="1"/>
  <c r="BQ77" i="13"/>
  <c r="BQ78" i="13"/>
  <c r="BR16" i="9" l="1"/>
  <c r="BR17" i="9"/>
  <c r="BR22" i="9" s="1"/>
  <c r="BR21" i="9"/>
  <c r="BQ45" i="1"/>
  <c r="BQ38" i="1"/>
  <c r="BR23" i="9" l="1"/>
  <c r="BR27" i="9" s="1"/>
  <c r="BR25" i="10" s="1"/>
  <c r="BR12" i="11" s="1"/>
  <c r="BR15" i="11" s="1"/>
  <c r="BR21" i="11" s="1"/>
  <c r="BR26" i="11" s="1"/>
  <c r="BR32" i="11" s="1"/>
  <c r="BR18" i="9"/>
  <c r="BS15" i="9" s="1"/>
  <c r="BR84" i="1" l="1"/>
  <c r="BR17" i="13"/>
  <c r="BR19" i="13" s="1"/>
  <c r="BR64" i="13" s="1"/>
  <c r="BR27" i="7"/>
  <c r="BR31" i="7" s="1"/>
  <c r="BR34" i="7" s="1"/>
  <c r="BR27" i="10"/>
  <c r="BR15" i="12" l="1"/>
  <c r="BR19" i="12" s="1"/>
  <c r="BR94" i="8"/>
  <c r="BR95" i="8" s="1"/>
  <c r="BR34" i="11" s="1"/>
  <c r="BR36" i="11" s="1"/>
  <c r="BR13" i="15"/>
  <c r="BR23" i="15" s="1"/>
  <c r="BR25" i="15" s="1"/>
  <c r="BR28" i="10"/>
  <c r="BR26" i="12"/>
  <c r="BR27" i="12" s="1"/>
  <c r="BR45" i="12" s="1"/>
  <c r="BR21" i="12" l="1"/>
  <c r="BR62" i="18"/>
  <c r="BR128" i="8"/>
  <c r="BR125" i="8" s="1"/>
  <c r="BR39" i="11" s="1"/>
  <c r="BR42" i="11" s="1"/>
  <c r="BR88" i="8"/>
  <c r="BR44" i="11" l="1"/>
  <c r="BR89" i="8"/>
  <c r="BS85" i="8" s="1"/>
  <c r="BR60" i="18"/>
  <c r="BR126" i="8"/>
  <c r="BR45" i="13" l="1"/>
  <c r="BR27" i="14"/>
  <c r="BR80" i="1" s="1"/>
  <c r="BR28" i="14"/>
  <c r="BS123" i="8"/>
  <c r="BR36" i="12"/>
  <c r="BR37" i="12" s="1"/>
  <c r="BR46" i="12" s="1"/>
  <c r="BR48" i="12" s="1"/>
  <c r="BR50" i="12" s="1"/>
  <c r="BR46" i="11" s="1"/>
  <c r="BR48" i="11" s="1"/>
  <c r="BR58" i="12"/>
  <c r="BR26" i="13"/>
  <c r="BS87" i="8"/>
  <c r="BS103" i="8"/>
  <c r="BS108" i="8" s="1"/>
  <c r="BS107" i="8" l="1"/>
  <c r="BS29" i="11" s="1"/>
  <c r="BS59" i="18"/>
  <c r="BS30" i="11"/>
  <c r="BS61" i="18"/>
  <c r="BS20" i="10"/>
  <c r="BS109" i="8"/>
  <c r="BR30" i="10"/>
  <c r="BR39" i="12"/>
  <c r="BR41" i="12" s="1"/>
  <c r="BS35" i="12" s="1"/>
  <c r="BR29" i="12"/>
  <c r="BR31" i="12" s="1"/>
  <c r="BS25" i="12" s="1"/>
  <c r="BR70" i="12"/>
  <c r="BR71" i="12" s="1"/>
  <c r="BS130" i="8"/>
  <c r="BS138" i="8"/>
  <c r="BS21" i="10" s="1"/>
  <c r="BS40" i="11" s="1"/>
  <c r="BS16" i="12" l="1"/>
  <c r="BS120" i="8"/>
  <c r="BS121" i="8" s="1"/>
  <c r="BS124" i="8" s="1"/>
  <c r="BS38" i="11" s="1"/>
  <c r="BS69" i="12"/>
  <c r="BR19" i="14"/>
  <c r="BR21" i="14" s="1"/>
  <c r="BR27" i="13"/>
  <c r="BR28" i="13" s="1"/>
  <c r="BR32" i="10"/>
  <c r="BR64" i="12" s="1"/>
  <c r="BR65" i="12" s="1"/>
  <c r="BS23" i="10"/>
  <c r="BS11" i="9" l="1"/>
  <c r="BR36" i="1"/>
  <c r="BR77" i="13"/>
  <c r="BR78" i="13"/>
  <c r="BR33" i="14"/>
  <c r="BR36" i="14" s="1"/>
  <c r="BR39" i="14" s="1"/>
  <c r="BR41" i="14" s="1"/>
  <c r="BS63" i="12"/>
  <c r="BR45" i="1" l="1"/>
  <c r="BR38" i="1"/>
  <c r="BS17" i="9"/>
  <c r="BS22" i="9" s="1"/>
  <c r="BS21" i="9"/>
  <c r="BS16" i="9"/>
  <c r="BS18" i="9" l="1"/>
  <c r="BT15" i="9" s="1"/>
  <c r="BS23" i="9"/>
  <c r="BS27" i="9" s="1"/>
  <c r="BS25" i="10" s="1"/>
  <c r="BS12" i="11" l="1"/>
  <c r="BS15" i="11" s="1"/>
  <c r="BS21" i="11" s="1"/>
  <c r="BS26" i="11" s="1"/>
  <c r="BS32" i="11" s="1"/>
  <c r="BS17" i="13"/>
  <c r="BS19" i="13" s="1"/>
  <c r="BS64" i="13" s="1"/>
  <c r="BS27" i="10"/>
  <c r="BS28" i="10" s="1"/>
  <c r="BS27" i="7"/>
  <c r="BS31" i="7" s="1"/>
  <c r="BS34" i="7" s="1"/>
  <c r="BS13" i="15" l="1"/>
  <c r="BS23" i="15" s="1"/>
  <c r="BS25" i="15" s="1"/>
  <c r="BS15" i="12"/>
  <c r="BS19" i="12" s="1"/>
  <c r="BS94" i="8"/>
  <c r="BS95" i="8" s="1"/>
  <c r="BS34" i="11" s="1"/>
  <c r="BS36" i="11" s="1"/>
  <c r="BS84" i="1"/>
  <c r="BS26" i="12"/>
  <c r="BS27" i="12" s="1"/>
  <c r="BS45" i="12" s="1"/>
  <c r="BS88" i="8" l="1"/>
  <c r="BS89" i="8" s="1"/>
  <c r="BS128" i="8"/>
  <c r="BS125" i="8" s="1"/>
  <c r="BS39" i="11" s="1"/>
  <c r="BS42" i="11" s="1"/>
  <c r="BS21" i="12"/>
  <c r="BS62" i="18"/>
  <c r="BS27" i="14" l="1"/>
  <c r="BS80" i="1" s="1"/>
  <c r="BS45" i="13"/>
  <c r="BT85" i="8"/>
  <c r="BT87" i="8" s="1"/>
  <c r="BS60" i="18"/>
  <c r="BS44" i="11"/>
  <c r="BS26" i="13" s="1"/>
  <c r="BS126" i="8"/>
  <c r="BT123" i="8" s="1"/>
  <c r="BT103" i="8"/>
  <c r="BT108" i="8" s="1"/>
  <c r="BS28" i="14" l="1"/>
  <c r="BS58" i="12"/>
  <c r="BS36" i="12"/>
  <c r="BS37" i="12" s="1"/>
  <c r="BS46" i="12" s="1"/>
  <c r="BS48" i="12" s="1"/>
  <c r="BS50" i="12" s="1"/>
  <c r="BS46" i="11" s="1"/>
  <c r="BS48" i="11" s="1"/>
  <c r="BS70" i="12" s="1"/>
  <c r="BS71" i="12" s="1"/>
  <c r="BT107" i="8"/>
  <c r="BT29" i="11" s="1"/>
  <c r="BT59" i="18"/>
  <c r="BT30" i="11"/>
  <c r="BT61" i="18"/>
  <c r="BT20" i="10"/>
  <c r="BT130" i="8"/>
  <c r="BT138" i="8"/>
  <c r="BT21" i="10" s="1"/>
  <c r="BT40" i="11" s="1"/>
  <c r="BT109" i="8" l="1"/>
  <c r="BS29" i="12"/>
  <c r="BS31" i="12" s="1"/>
  <c r="BT25" i="12" s="1"/>
  <c r="BS30" i="10"/>
  <c r="BS32" i="10" s="1"/>
  <c r="BS64" i="12" s="1"/>
  <c r="BS65" i="12" s="1"/>
  <c r="BS39" i="12"/>
  <c r="BS41" i="12" s="1"/>
  <c r="BT35" i="12" s="1"/>
  <c r="BT16" i="12"/>
  <c r="BT120" i="8"/>
  <c r="BT121" i="8" s="1"/>
  <c r="BT124" i="8" s="1"/>
  <c r="BT38" i="11" s="1"/>
  <c r="BS19" i="14"/>
  <c r="BS21" i="14" s="1"/>
  <c r="BT69" i="12"/>
  <c r="BT23" i="10"/>
  <c r="BS27" i="13" l="1"/>
  <c r="BS28" i="13" s="1"/>
  <c r="BS36" i="1" s="1"/>
  <c r="BT11" i="9"/>
  <c r="BS33" i="14"/>
  <c r="BS36" i="14" s="1"/>
  <c r="BS39" i="14" s="1"/>
  <c r="BS41" i="14" s="1"/>
  <c r="BT63" i="12"/>
  <c r="BS78" i="13" l="1"/>
  <c r="BS77" i="13"/>
  <c r="BT21" i="9"/>
  <c r="BT17" i="9"/>
  <c r="BT22" i="9" s="1"/>
  <c r="BT16" i="9"/>
  <c r="BS38" i="1"/>
  <c r="BS45" i="1"/>
  <c r="BT18" i="9" l="1"/>
  <c r="BU15" i="9" s="1"/>
  <c r="BT23" i="9"/>
  <c r="BT27" i="9" s="1"/>
  <c r="BT25" i="10" s="1"/>
  <c r="BT27" i="7" l="1"/>
  <c r="BT31" i="7" s="1"/>
  <c r="BT34" i="7" s="1"/>
  <c r="BT12" i="11"/>
  <c r="BT15" i="11" s="1"/>
  <c r="BT21" i="11" s="1"/>
  <c r="BT26" i="11" s="1"/>
  <c r="BT32" i="11" s="1"/>
  <c r="BT27" i="10"/>
  <c r="BT28" i="10" s="1"/>
  <c r="BT17" i="13"/>
  <c r="BT19" i="13" s="1"/>
  <c r="BT64" i="13" s="1"/>
  <c r="BT94" i="8" l="1"/>
  <c r="BT95" i="8" s="1"/>
  <c r="BT84" i="1"/>
  <c r="BT26" i="12"/>
  <c r="BT27" i="12" s="1"/>
  <c r="BT45" i="12" s="1"/>
  <c r="BT15" i="12"/>
  <c r="BT19" i="12" s="1"/>
  <c r="BT13" i="15"/>
  <c r="BT23" i="15" s="1"/>
  <c r="BT25" i="15" s="1"/>
  <c r="BT21" i="12" l="1"/>
  <c r="BT62" i="18"/>
  <c r="BT34" i="11"/>
  <c r="BT36" i="11" s="1"/>
  <c r="BT128" i="8" s="1"/>
  <c r="BT125" i="8" s="1"/>
  <c r="BT88" i="8"/>
  <c r="BT39" i="11" l="1"/>
  <c r="BT42" i="11" s="1"/>
  <c r="BT126" i="8"/>
  <c r="BT28" i="14" s="1"/>
  <c r="BT89" i="8"/>
  <c r="BT45" i="13" s="1"/>
  <c r="BT60" i="18"/>
  <c r="BT27" i="14" l="1"/>
  <c r="BT80" i="1" s="1"/>
  <c r="BU85" i="8"/>
  <c r="BU123" i="8"/>
  <c r="BU130" i="8" s="1"/>
  <c r="BT44" i="11"/>
  <c r="BT36" i="12" s="1"/>
  <c r="BT37" i="12" s="1"/>
  <c r="BT46" i="12" s="1"/>
  <c r="BT48" i="12" s="1"/>
  <c r="BT50" i="12" s="1"/>
  <c r="BT46" i="11" s="1"/>
  <c r="BU138" i="8"/>
  <c r="BU21" i="10" s="1"/>
  <c r="BU40" i="11" s="1"/>
  <c r="BT26" i="13" l="1"/>
  <c r="BT58" i="12"/>
  <c r="BT29" i="12"/>
  <c r="BT31" i="12" s="1"/>
  <c r="BU25" i="12" s="1"/>
  <c r="BT30" i="10"/>
  <c r="BT32" i="10" s="1"/>
  <c r="BT64" i="12" s="1"/>
  <c r="BT65" i="12" s="1"/>
  <c r="BT39" i="12"/>
  <c r="BT41" i="12" s="1"/>
  <c r="BU35" i="12" s="1"/>
  <c r="BT48" i="11"/>
  <c r="BT70" i="12" s="1"/>
  <c r="BT71" i="12" s="1"/>
  <c r="BU69" i="12" s="1"/>
  <c r="BU87" i="8"/>
  <c r="BU103" i="8"/>
  <c r="BU108" i="8" s="1"/>
  <c r="BT19" i="14" l="1"/>
  <c r="BT21" i="14" s="1"/>
  <c r="BT27" i="13"/>
  <c r="BT28" i="13" s="1"/>
  <c r="BT78" i="13" s="1"/>
  <c r="BU107" i="8"/>
  <c r="BU59" i="18"/>
  <c r="BU30" i="11"/>
  <c r="BU61" i="18"/>
  <c r="BU20" i="10"/>
  <c r="BU23" i="10" s="1"/>
  <c r="BU11" i="9" s="1"/>
  <c r="BU16" i="9" s="1"/>
  <c r="BT33" i="14"/>
  <c r="BT36" i="14" s="1"/>
  <c r="BT39" i="14" s="1"/>
  <c r="BT41" i="14" s="1"/>
  <c r="BU63" i="12"/>
  <c r="BT36" i="1" l="1"/>
  <c r="BT45" i="1" s="1"/>
  <c r="BT77" i="13"/>
  <c r="BU17" i="9"/>
  <c r="BU22" i="9" s="1"/>
  <c r="BU21" i="9"/>
  <c r="BU29" i="11"/>
  <c r="BU109" i="8"/>
  <c r="BU18" i="9"/>
  <c r="BV15" i="9" s="1"/>
  <c r="BT38" i="1"/>
  <c r="BU23" i="9" l="1"/>
  <c r="BU27" i="9" s="1"/>
  <c r="BU25" i="10" s="1"/>
  <c r="BU12" i="11" s="1"/>
  <c r="BU15" i="11" s="1"/>
  <c r="BU21" i="11" s="1"/>
  <c r="BU26" i="11" s="1"/>
  <c r="BU32" i="11" s="1"/>
  <c r="BU16" i="12"/>
  <c r="BU120" i="8"/>
  <c r="BU121" i="8" s="1"/>
  <c r="BU124" i="8" s="1"/>
  <c r="BU38" i="11" s="1"/>
  <c r="BU27" i="10" l="1"/>
  <c r="BU17" i="13"/>
  <c r="BU19" i="13" s="1"/>
  <c r="BU64" i="13" s="1"/>
  <c r="BU27" i="7"/>
  <c r="BU31" i="7" s="1"/>
  <c r="BU34" i="7" s="1"/>
  <c r="BU84" i="1"/>
  <c r="BU28" i="10"/>
  <c r="BU26" i="12"/>
  <c r="BU27" i="12" s="1"/>
  <c r="BU45" i="12" s="1"/>
  <c r="BU94" i="8"/>
  <c r="BU95" i="8" s="1"/>
  <c r="BU34" i="11" s="1"/>
  <c r="BU36" i="11" s="1"/>
  <c r="BU13" i="15"/>
  <c r="BU23" i="15" s="1"/>
  <c r="BU25" i="15" s="1"/>
  <c r="BU15" i="12"/>
  <c r="BU19" i="12" s="1"/>
  <c r="BU21" i="12" l="1"/>
  <c r="BU62" i="18"/>
  <c r="BU88" i="8"/>
  <c r="BU128" i="8"/>
  <c r="BU125" i="8" s="1"/>
  <c r="BU39" i="11" s="1"/>
  <c r="BU42" i="11" s="1"/>
  <c r="BU44" i="11" l="1"/>
  <c r="BU89" i="8"/>
  <c r="BU27" i="14" s="1"/>
  <c r="BU80" i="1" s="1"/>
  <c r="BU60" i="18"/>
  <c r="BU126" i="8"/>
  <c r="BU45" i="13" l="1"/>
  <c r="BV85" i="8"/>
  <c r="BV87" i="8" s="1"/>
  <c r="BV123" i="8"/>
  <c r="BU28" i="14"/>
  <c r="BU36" i="12"/>
  <c r="BU37" i="12" s="1"/>
  <c r="BU46" i="12" s="1"/>
  <c r="BU48" i="12" s="1"/>
  <c r="BU50" i="12" s="1"/>
  <c r="BU46" i="11" s="1"/>
  <c r="BU48" i="11" s="1"/>
  <c r="BV103" i="8" l="1"/>
  <c r="BV108" i="8" s="1"/>
  <c r="BV30" i="11" s="1"/>
  <c r="BV107" i="8"/>
  <c r="BV29" i="11" s="1"/>
  <c r="BV59" i="18"/>
  <c r="BU70" i="12"/>
  <c r="BU71" i="12" s="1"/>
  <c r="BU29" i="12"/>
  <c r="BU31" i="12" s="1"/>
  <c r="BV25" i="12" s="1"/>
  <c r="BU39" i="12"/>
  <c r="BU41" i="12" s="1"/>
  <c r="BV35" i="12" s="1"/>
  <c r="BU30" i="10"/>
  <c r="BV130" i="8"/>
  <c r="BV138" i="8"/>
  <c r="BV21" i="10" s="1"/>
  <c r="BV40" i="11" s="1"/>
  <c r="BU58" i="12"/>
  <c r="BU26" i="13"/>
  <c r="BV109" i="8" l="1"/>
  <c r="BV61" i="18"/>
  <c r="BV20" i="10"/>
  <c r="BV23" i="10" s="1"/>
  <c r="BV11" i="9" s="1"/>
  <c r="BV16" i="12"/>
  <c r="BV120" i="8"/>
  <c r="BV121" i="8" s="1"/>
  <c r="BV124" i="8" s="1"/>
  <c r="BV38" i="11" s="1"/>
  <c r="BU32" i="10"/>
  <c r="BU64" i="12" s="1"/>
  <c r="BU65" i="12" s="1"/>
  <c r="BU27" i="13"/>
  <c r="BU28" i="13" s="1"/>
  <c r="BU19" i="14"/>
  <c r="BU21" i="14" s="1"/>
  <c r="BV69" i="12"/>
  <c r="BU33" i="14" l="1"/>
  <c r="BU36" i="14" s="1"/>
  <c r="BU39" i="14" s="1"/>
  <c r="BU41" i="14" s="1"/>
  <c r="BV63" i="12"/>
  <c r="BU36" i="1"/>
  <c r="BU78" i="13"/>
  <c r="BU77" i="13"/>
  <c r="BV16" i="9"/>
  <c r="BV21" i="9"/>
  <c r="BV17" i="9"/>
  <c r="BV22" i="9" s="1"/>
  <c r="BV18" i="9" l="1"/>
  <c r="BW15" i="9" s="1"/>
  <c r="BU45" i="1"/>
  <c r="BU38" i="1"/>
  <c r="BV23" i="9"/>
  <c r="BV27" i="9" s="1"/>
  <c r="BV25" i="10" s="1"/>
  <c r="BV12" i="11" s="1"/>
  <c r="BV15" i="11" s="1"/>
  <c r="BV21" i="11" s="1"/>
  <c r="BV26" i="11" s="1"/>
  <c r="BV32" i="11" s="1"/>
  <c r="BV17" i="13" l="1"/>
  <c r="BV19" i="13" s="1"/>
  <c r="BV64" i="13" s="1"/>
  <c r="BV84" i="1"/>
  <c r="BV27" i="7"/>
  <c r="BV31" i="7" s="1"/>
  <c r="BV34" i="7" s="1"/>
  <c r="BV27" i="10"/>
  <c r="BV28" i="10" l="1"/>
  <c r="BV26" i="12"/>
  <c r="BV27" i="12" s="1"/>
  <c r="BV45" i="12" s="1"/>
  <c r="BV15" i="12"/>
  <c r="BV19" i="12" s="1"/>
  <c r="BV13" i="15"/>
  <c r="BV23" i="15" s="1"/>
  <c r="BV25" i="15" s="1"/>
  <c r="BV94" i="8"/>
  <c r="BV95" i="8" s="1"/>
  <c r="BV34" i="11" s="1"/>
  <c r="BV36" i="11" s="1"/>
  <c r="BV21" i="12" l="1"/>
  <c r="BV62" i="18"/>
  <c r="BV128" i="8"/>
  <c r="BV125" i="8" s="1"/>
  <c r="BV39" i="11" s="1"/>
  <c r="BV42" i="11" s="1"/>
  <c r="BV88" i="8"/>
  <c r="BV44" i="11" l="1"/>
  <c r="BV89" i="8"/>
  <c r="BV27" i="14" s="1"/>
  <c r="BV80" i="1" s="1"/>
  <c r="BV60" i="18"/>
  <c r="BV126" i="8"/>
  <c r="BW85" i="8" l="1"/>
  <c r="BW103" i="8" s="1"/>
  <c r="BW108" i="8" s="1"/>
  <c r="BV45" i="13"/>
  <c r="BW87" i="8"/>
  <c r="BV36" i="12"/>
  <c r="BV37" i="12" s="1"/>
  <c r="BV46" i="12" s="1"/>
  <c r="BV48" i="12" s="1"/>
  <c r="BV50" i="12" s="1"/>
  <c r="BV46" i="11" s="1"/>
  <c r="BV48" i="11" s="1"/>
  <c r="BV26" i="13"/>
  <c r="BV58" i="12"/>
  <c r="BV28" i="14"/>
  <c r="BW123" i="8"/>
  <c r="BW107" i="8" l="1"/>
  <c r="BW29" i="11" s="1"/>
  <c r="BW59" i="18"/>
  <c r="BW61" i="18"/>
  <c r="BW30" i="11"/>
  <c r="BV39" i="12"/>
  <c r="BV41" i="12" s="1"/>
  <c r="BW35" i="12" s="1"/>
  <c r="BV70" i="12"/>
  <c r="BV71" i="12" s="1"/>
  <c r="BV30" i="10"/>
  <c r="BV29" i="12"/>
  <c r="BV31" i="12" s="1"/>
  <c r="BW25" i="12" s="1"/>
  <c r="BW138" i="8"/>
  <c r="BW21" i="10" s="1"/>
  <c r="BW40" i="11" s="1"/>
  <c r="BW130" i="8"/>
  <c r="BW20" i="10"/>
  <c r="BW109" i="8" l="1"/>
  <c r="BW120" i="8" s="1"/>
  <c r="BW121" i="8" s="1"/>
  <c r="BW124" i="8" s="1"/>
  <c r="BW38" i="11" s="1"/>
  <c r="BV32" i="10"/>
  <c r="BV64" i="12" s="1"/>
  <c r="BV65" i="12" s="1"/>
  <c r="BV27" i="13"/>
  <c r="BV28" i="13" s="1"/>
  <c r="BW69" i="12"/>
  <c r="BV19" i="14"/>
  <c r="BV21" i="14" s="1"/>
  <c r="BW23" i="10"/>
  <c r="BW16" i="12" l="1"/>
  <c r="BW11" i="9"/>
  <c r="BV77" i="13"/>
  <c r="BV36" i="1"/>
  <c r="BV78" i="13"/>
  <c r="BW63" i="12"/>
  <c r="BV33" i="14"/>
  <c r="BV36" i="14" s="1"/>
  <c r="BV39" i="14" s="1"/>
  <c r="BV41" i="14" s="1"/>
  <c r="BV45" i="1" l="1"/>
  <c r="BV38" i="1"/>
  <c r="BW21" i="9"/>
  <c r="BW16" i="9"/>
  <c r="BW17" i="9"/>
  <c r="BW22" i="9" s="1"/>
  <c r="BW23" i="9" l="1"/>
  <c r="BW27" i="9" s="1"/>
  <c r="BW25" i="10" s="1"/>
  <c r="BW18" i="9"/>
  <c r="BX15" i="9" s="1"/>
  <c r="BW27" i="7" l="1"/>
  <c r="BW31" i="7" s="1"/>
  <c r="BW34" i="7" s="1"/>
  <c r="BW12" i="11"/>
  <c r="BW15" i="11" s="1"/>
  <c r="BW21" i="11" s="1"/>
  <c r="BW26" i="11" s="1"/>
  <c r="BW32" i="11" s="1"/>
  <c r="BW17" i="13"/>
  <c r="BW19" i="13" s="1"/>
  <c r="BW64" i="13" s="1"/>
  <c r="BW27" i="10"/>
  <c r="BW26" i="12" s="1"/>
  <c r="BW27" i="12" s="1"/>
  <c r="BW45" i="12" s="1"/>
  <c r="BW84" i="1" l="1"/>
  <c r="BW28" i="10"/>
  <c r="BW94" i="8"/>
  <c r="BW95" i="8" s="1"/>
  <c r="BW15" i="12"/>
  <c r="BW19" i="12" s="1"/>
  <c r="BW13" i="15"/>
  <c r="BW23" i="15" s="1"/>
  <c r="BW25" i="15" s="1"/>
  <c r="BW88" i="8" l="1"/>
  <c r="BW34" i="11"/>
  <c r="BW36" i="11" s="1"/>
  <c r="BW128" i="8" s="1"/>
  <c r="BW125" i="8" s="1"/>
  <c r="BW39" i="11" s="1"/>
  <c r="BW21" i="12"/>
  <c r="BW62" i="18"/>
  <c r="BW42" i="11" l="1"/>
  <c r="BW89" i="8"/>
  <c r="BW60" i="18"/>
  <c r="BW126" i="8"/>
  <c r="BX123" i="8" s="1"/>
  <c r="BX85" i="8" l="1"/>
  <c r="BW27" i="14"/>
  <c r="BW80" i="1" s="1"/>
  <c r="BW45" i="13"/>
  <c r="BW44" i="11"/>
  <c r="BW36" i="12" s="1"/>
  <c r="BW37" i="12" s="1"/>
  <c r="BW46" i="12" s="1"/>
  <c r="BW48" i="12" s="1"/>
  <c r="BW50" i="12" s="1"/>
  <c r="BW46" i="11" s="1"/>
  <c r="BW28" i="14"/>
  <c r="BX130" i="8"/>
  <c r="BX138" i="8"/>
  <c r="BX21" i="10" s="1"/>
  <c r="BX40" i="11" s="1"/>
  <c r="BW58" i="12" l="1"/>
  <c r="BW29" i="12"/>
  <c r="BW31" i="12" s="1"/>
  <c r="BX25" i="12" s="1"/>
  <c r="BW30" i="10"/>
  <c r="BW27" i="13" s="1"/>
  <c r="BW26" i="13"/>
  <c r="BW48" i="11"/>
  <c r="BW70" i="12" s="1"/>
  <c r="BW71" i="12" s="1"/>
  <c r="BW19" i="14" s="1"/>
  <c r="BW21" i="14" s="1"/>
  <c r="BW39" i="12"/>
  <c r="BW41" i="12" s="1"/>
  <c r="BX35" i="12" s="1"/>
  <c r="BX103" i="8"/>
  <c r="BX108" i="8" s="1"/>
  <c r="BX87" i="8"/>
  <c r="BW32" i="10" l="1"/>
  <c r="BW64" i="12" s="1"/>
  <c r="BW65" i="12" s="1"/>
  <c r="BW33" i="14" s="1"/>
  <c r="BW36" i="14" s="1"/>
  <c r="BW39" i="14" s="1"/>
  <c r="BW41" i="14" s="1"/>
  <c r="BX30" i="11"/>
  <c r="BX61" i="18"/>
  <c r="BX20" i="10"/>
  <c r="BX23" i="10" s="1"/>
  <c r="BX11" i="9" s="1"/>
  <c r="BX107" i="8"/>
  <c r="BX59" i="18"/>
  <c r="BX69" i="12"/>
  <c r="BW28" i="13"/>
  <c r="BW36" i="1" s="1"/>
  <c r="BX63" i="12" l="1"/>
  <c r="BX29" i="11"/>
  <c r="BX109" i="8"/>
  <c r="BW78" i="13"/>
  <c r="BW77" i="13"/>
  <c r="BW45" i="1"/>
  <c r="BW38" i="1"/>
  <c r="BX16" i="9"/>
  <c r="BX17" i="9"/>
  <c r="BX22" i="9" s="1"/>
  <c r="BX21" i="9"/>
  <c r="BX120" i="8" l="1"/>
  <c r="BX121" i="8" s="1"/>
  <c r="BX124" i="8" s="1"/>
  <c r="BX38" i="11" s="1"/>
  <c r="BX16" i="12"/>
  <c r="BX23" i="9"/>
  <c r="BX27" i="9" s="1"/>
  <c r="BX25" i="10" s="1"/>
  <c r="BX18" i="9"/>
  <c r="BY15" i="9" s="1"/>
  <c r="BX17" i="13" l="1"/>
  <c r="BX19" i="13" s="1"/>
  <c r="BX64" i="13" s="1"/>
  <c r="BX12" i="11"/>
  <c r="BX15" i="11" s="1"/>
  <c r="BX21" i="11" s="1"/>
  <c r="BX26" i="11" s="1"/>
  <c r="BX32" i="11" s="1"/>
  <c r="BX27" i="10"/>
  <c r="BX28" i="10" s="1"/>
  <c r="BX27" i="7"/>
  <c r="BX31" i="7" s="1"/>
  <c r="BX34" i="7" s="1"/>
  <c r="BX13" i="15" l="1"/>
  <c r="BX23" i="15" s="1"/>
  <c r="BX25" i="15" s="1"/>
  <c r="BX84" i="1"/>
  <c r="BX26" i="12"/>
  <c r="BX27" i="12" s="1"/>
  <c r="BX45" i="12" s="1"/>
  <c r="BX94" i="8"/>
  <c r="BX95" i="8" s="1"/>
  <c r="BX15" i="12"/>
  <c r="BX19" i="12" s="1"/>
  <c r="BX34" i="11" l="1"/>
  <c r="BX36" i="11" s="1"/>
  <c r="BX21" i="12"/>
  <c r="BX62" i="18"/>
  <c r="BX88" i="8"/>
  <c r="BX89" i="8" l="1"/>
  <c r="BX27" i="14" s="1"/>
  <c r="BX80" i="1" s="1"/>
  <c r="BX60" i="18"/>
  <c r="BX128" i="8"/>
  <c r="BX125" i="8" s="1"/>
  <c r="BY85" i="8" l="1"/>
  <c r="BX39" i="11"/>
  <c r="BX42" i="11" s="1"/>
  <c r="BX126" i="8"/>
  <c r="BX45" i="13"/>
  <c r="BX28" i="14" l="1"/>
  <c r="BY123" i="8"/>
  <c r="BX44" i="11"/>
  <c r="BY87" i="8"/>
  <c r="BY103" i="8"/>
  <c r="BY108" i="8" s="1"/>
  <c r="BX58" i="12" l="1"/>
  <c r="BX26" i="13"/>
  <c r="BY107" i="8"/>
  <c r="BY59" i="18"/>
  <c r="BX36" i="12"/>
  <c r="BX37" i="12" s="1"/>
  <c r="BX46" i="12" s="1"/>
  <c r="BX48" i="12" s="1"/>
  <c r="BX50" i="12" s="1"/>
  <c r="BY130" i="8"/>
  <c r="BY138" i="8"/>
  <c r="BY21" i="10" s="1"/>
  <c r="BY40" i="11" s="1"/>
  <c r="BY30" i="11"/>
  <c r="BY61" i="18"/>
  <c r="BY20" i="10"/>
  <c r="BY23" i="10" l="1"/>
  <c r="BY11" i="9" s="1"/>
  <c r="BY21" i="9" s="1"/>
  <c r="BX46" i="11"/>
  <c r="BX48" i="11" s="1"/>
  <c r="BX70" i="12" s="1"/>
  <c r="BX71" i="12" s="1"/>
  <c r="BX30" i="10"/>
  <c r="BX39" i="12"/>
  <c r="BX41" i="12" s="1"/>
  <c r="BY35" i="12" s="1"/>
  <c r="BX29" i="12"/>
  <c r="BX31" i="12" s="1"/>
  <c r="BY25" i="12" s="1"/>
  <c r="BY29" i="11"/>
  <c r="BY109" i="8"/>
  <c r="BY16" i="9"/>
  <c r="BY17" i="9"/>
  <c r="BY22" i="9" s="1"/>
  <c r="BX27" i="13" l="1"/>
  <c r="BX28" i="13" s="1"/>
  <c r="BX32" i="10"/>
  <c r="BX64" i="12" s="1"/>
  <c r="BX65" i="12" s="1"/>
  <c r="BY120" i="8"/>
  <c r="BY121" i="8" s="1"/>
  <c r="BY124" i="8" s="1"/>
  <c r="BY38" i="11" s="1"/>
  <c r="BY16" i="12"/>
  <c r="BY69" i="12"/>
  <c r="BX19" i="14"/>
  <c r="BX21" i="14" s="1"/>
  <c r="BY23" i="9"/>
  <c r="BY27" i="9" s="1"/>
  <c r="BY25" i="10" s="1"/>
  <c r="BY18" i="9"/>
  <c r="BZ15" i="9" s="1"/>
  <c r="BY27" i="7" l="1"/>
  <c r="BY31" i="7" s="1"/>
  <c r="BY12" i="11"/>
  <c r="BY15" i="11" s="1"/>
  <c r="BY21" i="11" s="1"/>
  <c r="BY26" i="11" s="1"/>
  <c r="BY32" i="11" s="1"/>
  <c r="BX33" i="14"/>
  <c r="BX36" i="14" s="1"/>
  <c r="BX39" i="14" s="1"/>
  <c r="BX41" i="14" s="1"/>
  <c r="BY63" i="12"/>
  <c r="BX77" i="13"/>
  <c r="BX78" i="13"/>
  <c r="BX36" i="1"/>
  <c r="BY27" i="10"/>
  <c r="BY26" i="12" s="1"/>
  <c r="BY27" i="12" s="1"/>
  <c r="BY45" i="12" s="1"/>
  <c r="BY17" i="13"/>
  <c r="BY19" i="13" s="1"/>
  <c r="BY64" i="13" s="1"/>
  <c r="BY34" i="7"/>
  <c r="BX45" i="1" l="1"/>
  <c r="BX38" i="1"/>
  <c r="BY15" i="12"/>
  <c r="BY19" i="12" s="1"/>
  <c r="BY84" i="1"/>
  <c r="BY28" i="10"/>
  <c r="BY94" i="8"/>
  <c r="BY95" i="8" s="1"/>
  <c r="BY13" i="15"/>
  <c r="BY23" i="15" s="1"/>
  <c r="BY25" i="15" s="1"/>
  <c r="BY34" i="11" l="1"/>
  <c r="BY36" i="11" s="1"/>
  <c r="BY21" i="12"/>
  <c r="BY62" i="18"/>
  <c r="BY88" i="8"/>
  <c r="BY89" i="8" l="1"/>
  <c r="BZ85" i="8" s="1"/>
  <c r="BZ103" i="8" s="1"/>
  <c r="BZ108" i="8" s="1"/>
  <c r="BY60" i="18"/>
  <c r="BY128" i="8"/>
  <c r="BY125" i="8" s="1"/>
  <c r="BY27" i="14"/>
  <c r="BY80" i="1" s="1"/>
  <c r="BY45" i="13"/>
  <c r="BZ87" i="8" l="1"/>
  <c r="BZ59" i="18" s="1"/>
  <c r="BY39" i="11"/>
  <c r="BY42" i="11" s="1"/>
  <c r="BY126" i="8"/>
  <c r="BZ30" i="11"/>
  <c r="BZ61" i="18"/>
  <c r="BZ20" i="10"/>
  <c r="BZ107" i="8" l="1"/>
  <c r="BZ29" i="11" s="1"/>
  <c r="BZ109" i="8"/>
  <c r="BZ16" i="12" s="1"/>
  <c r="BZ123" i="8"/>
  <c r="BY28" i="14"/>
  <c r="BY44" i="11"/>
  <c r="BY36" i="12" s="1"/>
  <c r="BY37" i="12" s="1"/>
  <c r="BY46" i="12" s="1"/>
  <c r="BY48" i="12" s="1"/>
  <c r="BY50" i="12" s="1"/>
  <c r="BZ120" i="8" l="1"/>
  <c r="BZ121" i="8" s="1"/>
  <c r="BZ124" i="8" s="1"/>
  <c r="BZ38" i="11" s="1"/>
  <c r="BY46" i="11"/>
  <c r="BY48" i="11" s="1"/>
  <c r="BY70" i="12" s="1"/>
  <c r="BY71" i="12" s="1"/>
  <c r="BY30" i="10"/>
  <c r="BY29" i="12"/>
  <c r="BY31" i="12" s="1"/>
  <c r="BZ25" i="12" s="1"/>
  <c r="BY39" i="12"/>
  <c r="BY41" i="12" s="1"/>
  <c r="BZ35" i="12" s="1"/>
  <c r="BY26" i="13"/>
  <c r="BY58" i="12"/>
  <c r="BZ138" i="8"/>
  <c r="BZ21" i="10" s="1"/>
  <c r="BZ130" i="8"/>
  <c r="BZ40" i="11" l="1"/>
  <c r="BZ23" i="10"/>
  <c r="BZ11" i="9" s="1"/>
  <c r="BZ21" i="9" s="1"/>
  <c r="BY27" i="13"/>
  <c r="BY28" i="13" s="1"/>
  <c r="BY32" i="10"/>
  <c r="BY64" i="12" s="1"/>
  <c r="BY65" i="12" s="1"/>
  <c r="BZ69" i="12"/>
  <c r="BY19" i="14"/>
  <c r="BY21" i="14" s="1"/>
  <c r="BZ16" i="9" l="1"/>
  <c r="BY33" i="14"/>
  <c r="BY36" i="14" s="1"/>
  <c r="BY39" i="14" s="1"/>
  <c r="BY41" i="14" s="1"/>
  <c r="BZ63" i="12"/>
  <c r="BY77" i="13"/>
  <c r="BY36" i="1"/>
  <c r="BY78" i="13"/>
  <c r="BZ17" i="9"/>
  <c r="BZ22" i="9" s="1"/>
  <c r="BZ23" i="9" s="1"/>
  <c r="BZ27" i="9" s="1"/>
  <c r="BZ25" i="10" s="1"/>
  <c r="BZ27" i="7" l="1"/>
  <c r="BZ31" i="7" s="1"/>
  <c r="BZ12" i="11"/>
  <c r="BZ15" i="11" s="1"/>
  <c r="BZ21" i="11" s="1"/>
  <c r="BZ26" i="11" s="1"/>
  <c r="BZ32" i="11" s="1"/>
  <c r="BZ18" i="9"/>
  <c r="CA15" i="9" s="1"/>
  <c r="BY38" i="1"/>
  <c r="BY45" i="1"/>
  <c r="BZ17" i="13"/>
  <c r="BZ19" i="13" s="1"/>
  <c r="BZ64" i="13" s="1"/>
  <c r="BZ27" i="10"/>
  <c r="BZ28" i="10" s="1"/>
  <c r="BZ34" i="7"/>
  <c r="BZ84" i="1" l="1"/>
  <c r="BZ26" i="12"/>
  <c r="BZ27" i="12" s="1"/>
  <c r="BZ45" i="12" s="1"/>
  <c r="BZ94" i="8"/>
  <c r="BZ95" i="8" s="1"/>
  <c r="BZ15" i="12"/>
  <c r="BZ19" i="12" s="1"/>
  <c r="BZ13" i="15"/>
  <c r="BZ23" i="15" s="1"/>
  <c r="BZ25" i="15" s="1"/>
  <c r="BZ88" i="8" l="1"/>
  <c r="BZ34" i="11"/>
  <c r="BZ36" i="11" s="1"/>
  <c r="BZ128" i="8" s="1"/>
  <c r="BZ125" i="8" s="1"/>
  <c r="BZ39" i="11" s="1"/>
  <c r="BZ21" i="12"/>
  <c r="BZ62" i="18"/>
  <c r="BZ42" i="11" l="1"/>
  <c r="BZ89" i="8"/>
  <c r="BZ60" i="18"/>
  <c r="BZ126" i="8"/>
  <c r="BZ28" i="14" s="1"/>
  <c r="BZ27" i="14" l="1"/>
  <c r="BZ80" i="1" s="1"/>
  <c r="BZ45" i="13"/>
  <c r="CA85" i="8"/>
  <c r="BZ44" i="11"/>
  <c r="CA123" i="8"/>
  <c r="CA138" i="8" s="1"/>
  <c r="CA21" i="10" s="1"/>
  <c r="CA40" i="11" s="1"/>
  <c r="CA87" i="8" l="1"/>
  <c r="CA103" i="8"/>
  <c r="CA108" i="8" s="1"/>
  <c r="BZ26" i="13"/>
  <c r="BZ36" i="12"/>
  <c r="BZ37" i="12" s="1"/>
  <c r="BZ46" i="12" s="1"/>
  <c r="BZ48" i="12" s="1"/>
  <c r="BZ50" i="12" s="1"/>
  <c r="BZ58" i="12"/>
  <c r="CA130" i="8"/>
  <c r="CA30" i="11" l="1"/>
  <c r="CA61" i="18"/>
  <c r="CA20" i="10"/>
  <c r="CA23" i="10" s="1"/>
  <c r="CA11" i="9" s="1"/>
  <c r="BZ46" i="11"/>
  <c r="BZ48" i="11" s="1"/>
  <c r="BZ70" i="12" s="1"/>
  <c r="BZ71" i="12" s="1"/>
  <c r="BZ29" i="12"/>
  <c r="BZ31" i="12" s="1"/>
  <c r="CA25" i="12" s="1"/>
  <c r="BZ30" i="10"/>
  <c r="BZ39" i="12"/>
  <c r="BZ41" i="12" s="1"/>
  <c r="CA35" i="12" s="1"/>
  <c r="CA107" i="8"/>
  <c r="CA59" i="18"/>
  <c r="BZ27" i="13" l="1"/>
  <c r="BZ28" i="13" s="1"/>
  <c r="BZ32" i="10"/>
  <c r="BZ64" i="12" s="1"/>
  <c r="BZ65" i="12" s="1"/>
  <c r="BZ19" i="14"/>
  <c r="BZ21" i="14" s="1"/>
  <c r="CA69" i="12"/>
  <c r="CA29" i="11"/>
  <c r="CA109" i="8"/>
  <c r="CA17" i="9"/>
  <c r="CA22" i="9" s="1"/>
  <c r="CA16" i="9"/>
  <c r="CA21" i="9"/>
  <c r="CA120" i="8" l="1"/>
  <c r="CA121" i="8" s="1"/>
  <c r="CA124" i="8" s="1"/>
  <c r="CA38" i="11" s="1"/>
  <c r="CA16" i="12"/>
  <c r="CA63" i="12"/>
  <c r="BZ33" i="14"/>
  <c r="BZ36" i="14" s="1"/>
  <c r="BZ39" i="14" s="1"/>
  <c r="BZ41" i="14" s="1"/>
  <c r="BZ77" i="13"/>
  <c r="BZ36" i="1"/>
  <c r="BZ78" i="13"/>
  <c r="CA18" i="9"/>
  <c r="CB15" i="9" s="1"/>
  <c r="CA23" i="9"/>
  <c r="CA27" i="9" s="1"/>
  <c r="CA25" i="10" s="1"/>
  <c r="BZ38" i="1" l="1"/>
  <c r="BZ45" i="1"/>
  <c r="CA17" i="13"/>
  <c r="CA19" i="13" s="1"/>
  <c r="CA64" i="13" s="1"/>
  <c r="CA12" i="11"/>
  <c r="CA15" i="11" s="1"/>
  <c r="CA21" i="11" s="1"/>
  <c r="CA26" i="11" s="1"/>
  <c r="CA32" i="11" s="1"/>
  <c r="CA27" i="10"/>
  <c r="CA26" i="12" s="1"/>
  <c r="CA27" i="12" s="1"/>
  <c r="CA45" i="12" s="1"/>
  <c r="CA27" i="7"/>
  <c r="CA31" i="7" s="1"/>
  <c r="CA34" i="7" s="1"/>
  <c r="CA94" i="8" l="1"/>
  <c r="CA95" i="8" s="1"/>
  <c r="CA84" i="1"/>
  <c r="CA28" i="10"/>
  <c r="CA13" i="15"/>
  <c r="CA23" i="15" s="1"/>
  <c r="CA25" i="15" s="1"/>
  <c r="CA15" i="12"/>
  <c r="CA19" i="12" s="1"/>
  <c r="CA21" i="12" l="1"/>
  <c r="CA62" i="18"/>
  <c r="CA88" i="8"/>
  <c r="CA34" i="11"/>
  <c r="CA36" i="11" s="1"/>
  <c r="CA89" i="8" l="1"/>
  <c r="CA60" i="18"/>
  <c r="CA128" i="8"/>
  <c r="CA125" i="8" s="1"/>
  <c r="CA126" i="8" l="1"/>
  <c r="CA39" i="11"/>
  <c r="CA42" i="11" s="1"/>
  <c r="CB85" i="8"/>
  <c r="CA27" i="14"/>
  <c r="CA80" i="1" s="1"/>
  <c r="CA45" i="13"/>
  <c r="CB87" i="8" l="1"/>
  <c r="CB103" i="8"/>
  <c r="CB108" i="8" s="1"/>
  <c r="CA44" i="11"/>
  <c r="CB123" i="8"/>
  <c r="CA28" i="14"/>
  <c r="CA58" i="12" l="1"/>
  <c r="CA26" i="13"/>
  <c r="CB138" i="8"/>
  <c r="CB21" i="10" s="1"/>
  <c r="CB40" i="11" s="1"/>
  <c r="CB130" i="8"/>
  <c r="CB30" i="11"/>
  <c r="CB61" i="18"/>
  <c r="CB20" i="10"/>
  <c r="CB23" i="10" s="1"/>
  <c r="CB11" i="9" s="1"/>
  <c r="CB21" i="9" s="1"/>
  <c r="CA36" i="12"/>
  <c r="CA37" i="12" s="1"/>
  <c r="CA46" i="12" s="1"/>
  <c r="CA48" i="12" s="1"/>
  <c r="CA50" i="12" s="1"/>
  <c r="CB107" i="8"/>
  <c r="CB59" i="18"/>
  <c r="CB16" i="9" l="1"/>
  <c r="CB29" i="11"/>
  <c r="CB109" i="8"/>
  <c r="CB17" i="9"/>
  <c r="CB22" i="9" s="1"/>
  <c r="CB23" i="9" s="1"/>
  <c r="CB27" i="9" s="1"/>
  <c r="CB25" i="10" s="1"/>
  <c r="CB12" i="11" s="1"/>
  <c r="CB15" i="11" s="1"/>
  <c r="CB21" i="11" s="1"/>
  <c r="CB26" i="11" s="1"/>
  <c r="CB32" i="11" s="1"/>
  <c r="CA46" i="11"/>
  <c r="CA48" i="11" s="1"/>
  <c r="CA70" i="12" s="1"/>
  <c r="CA71" i="12" s="1"/>
  <c r="CA30" i="10"/>
  <c r="CA29" i="12"/>
  <c r="CA31" i="12" s="1"/>
  <c r="CB25" i="12" s="1"/>
  <c r="CA39" i="12"/>
  <c r="CA41" i="12" s="1"/>
  <c r="CB35" i="12" s="1"/>
  <c r="CB18" i="9" l="1"/>
  <c r="CC15" i="9" s="1"/>
  <c r="CB69" i="12"/>
  <c r="CA19" i="14"/>
  <c r="CA21" i="14" s="1"/>
  <c r="CB16" i="12"/>
  <c r="CB120" i="8"/>
  <c r="CB121" i="8" s="1"/>
  <c r="CB124" i="8" s="1"/>
  <c r="CB38" i="11" s="1"/>
  <c r="CA27" i="13"/>
  <c r="CA28" i="13" s="1"/>
  <c r="CA32" i="10"/>
  <c r="CA64" i="12" s="1"/>
  <c r="CA65" i="12" s="1"/>
  <c r="CB17" i="13"/>
  <c r="CB19" i="13" s="1"/>
  <c r="CB64" i="13" s="1"/>
  <c r="CB27" i="7"/>
  <c r="CB31" i="7" s="1"/>
  <c r="CB84" i="1"/>
  <c r="CB27" i="10"/>
  <c r="CB63" i="12" l="1"/>
  <c r="CA33" i="14"/>
  <c r="CA36" i="14" s="1"/>
  <c r="CA39" i="14" s="1"/>
  <c r="CA41" i="14" s="1"/>
  <c r="CA36" i="1"/>
  <c r="CA78" i="13"/>
  <c r="CA77" i="13"/>
  <c r="CB94" i="8"/>
  <c r="CB95" i="8" s="1"/>
  <c r="CB34" i="11" s="1"/>
  <c r="CB36" i="11" s="1"/>
  <c r="CB15" i="12"/>
  <c r="CB19" i="12" s="1"/>
  <c r="CB13" i="15"/>
  <c r="CB23" i="15" s="1"/>
  <c r="CB25" i="15" s="1"/>
  <c r="CB34" i="7"/>
  <c r="CB28" i="10"/>
  <c r="CB26" i="12"/>
  <c r="CB27" i="12" s="1"/>
  <c r="CB45" i="12" s="1"/>
  <c r="CB21" i="12" l="1"/>
  <c r="CB62" i="18"/>
  <c r="CA45" i="1"/>
  <c r="CA38" i="1"/>
  <c r="CB88" i="8"/>
  <c r="CB128" i="8"/>
  <c r="CB125" i="8" s="1"/>
  <c r="CB39" i="11" s="1"/>
  <c r="CB42" i="11" s="1"/>
  <c r="CB44" i="11" l="1"/>
  <c r="CB89" i="8"/>
  <c r="CC85" i="8" s="1"/>
  <c r="CB60" i="18"/>
  <c r="CB126" i="8"/>
  <c r="CB45" i="13" l="1"/>
  <c r="CB27" i="14"/>
  <c r="CB80" i="1" s="1"/>
  <c r="CC87" i="8"/>
  <c r="CC103" i="8"/>
  <c r="CC108" i="8" s="1"/>
  <c r="CC123" i="8"/>
  <c r="CB28" i="14"/>
  <c r="CB36" i="12"/>
  <c r="CB37" i="12" s="1"/>
  <c r="CB46" i="12" s="1"/>
  <c r="CB48" i="12" s="1"/>
  <c r="CB50" i="12" s="1"/>
  <c r="CB46" i="11" s="1"/>
  <c r="CB48" i="11" s="1"/>
  <c r="CB26" i="13"/>
  <c r="CB58" i="12"/>
  <c r="CC30" i="11" l="1"/>
  <c r="CC61" i="18"/>
  <c r="CC107" i="8"/>
  <c r="CC29" i="11" s="1"/>
  <c r="CC59" i="18"/>
  <c r="CC130" i="8"/>
  <c r="CC138" i="8"/>
  <c r="CC21" i="10" s="1"/>
  <c r="CC40" i="11" s="1"/>
  <c r="CB30" i="10"/>
  <c r="CB39" i="12"/>
  <c r="CB41" i="12" s="1"/>
  <c r="CC35" i="12" s="1"/>
  <c r="CB29" i="12"/>
  <c r="CB31" i="12" s="1"/>
  <c r="CC25" i="12" s="1"/>
  <c r="CB70" i="12"/>
  <c r="CB71" i="12" s="1"/>
  <c r="CC20" i="10"/>
  <c r="CC109" i="8"/>
  <c r="CC120" i="8" l="1"/>
  <c r="CC121" i="8" s="1"/>
  <c r="CC124" i="8" s="1"/>
  <c r="CC38" i="11" s="1"/>
  <c r="CC16" i="12"/>
  <c r="CB19" i="14"/>
  <c r="CB21" i="14" s="1"/>
  <c r="CC69" i="12"/>
  <c r="CB27" i="13"/>
  <c r="CB28" i="13" s="1"/>
  <c r="CB32" i="10"/>
  <c r="CB64" i="12" s="1"/>
  <c r="CB65" i="12" s="1"/>
  <c r="CC23" i="10"/>
  <c r="CB36" i="1" l="1"/>
  <c r="CB77" i="13"/>
  <c r="CB78" i="13"/>
  <c r="CC11" i="9"/>
  <c r="CC63" i="12"/>
  <c r="CB33" i="14"/>
  <c r="CB36" i="14" s="1"/>
  <c r="CB39" i="14" s="1"/>
  <c r="CB41" i="14" s="1"/>
  <c r="CC17" i="9" l="1"/>
  <c r="CC22" i="9" s="1"/>
  <c r="CC16" i="9"/>
  <c r="CC21" i="9"/>
  <c r="CB45" i="1"/>
  <c r="CB38" i="1"/>
  <c r="CC18" i="9" l="1"/>
  <c r="CD15" i="9" s="1"/>
  <c r="CC23" i="9"/>
  <c r="CC27" i="9" s="1"/>
  <c r="CC25" i="10" s="1"/>
  <c r="CC17" i="13" l="1"/>
  <c r="CC19" i="13" s="1"/>
  <c r="CC64" i="13" s="1"/>
  <c r="CC12" i="11"/>
  <c r="CC15" i="11" s="1"/>
  <c r="CC21" i="11" s="1"/>
  <c r="CC26" i="11" s="1"/>
  <c r="CC32" i="11" s="1"/>
  <c r="CC27" i="10"/>
  <c r="CC26" i="12" s="1"/>
  <c r="CC27" i="12" s="1"/>
  <c r="CC45" i="12" s="1"/>
  <c r="CC27" i="7"/>
  <c r="CC31" i="7" s="1"/>
  <c r="CC34" i="7" s="1"/>
  <c r="CC13" i="15" l="1"/>
  <c r="CC23" i="15" s="1"/>
  <c r="CC25" i="15" s="1"/>
  <c r="CC84" i="1"/>
  <c r="CC28" i="10"/>
  <c r="CC94" i="8"/>
  <c r="CC95" i="8" s="1"/>
  <c r="CC15" i="12"/>
  <c r="CC19" i="12" s="1"/>
  <c r="CC21" i="12" l="1"/>
  <c r="CC62" i="18"/>
  <c r="CC88" i="8"/>
  <c r="CC34" i="11"/>
  <c r="CC36" i="11" s="1"/>
  <c r="CC128" i="8" s="1"/>
  <c r="CC125" i="8" s="1"/>
  <c r="CC39" i="11" s="1"/>
  <c r="CC89" i="8" l="1"/>
  <c r="CC60" i="18"/>
  <c r="CC42" i="11"/>
  <c r="CC126" i="8"/>
  <c r="CD123" i="8" s="1"/>
  <c r="CC44" i="11" l="1"/>
  <c r="CC58" i="12" s="1"/>
  <c r="CC45" i="13"/>
  <c r="CC27" i="14"/>
  <c r="CC80" i="1" s="1"/>
  <c r="CD85" i="8"/>
  <c r="CC28" i="14"/>
  <c r="CD138" i="8"/>
  <c r="CD21" i="10" s="1"/>
  <c r="CD40" i="11" s="1"/>
  <c r="CD130" i="8"/>
  <c r="CC26" i="13" l="1"/>
  <c r="CC36" i="12"/>
  <c r="CC37" i="12" s="1"/>
  <c r="CC46" i="12" s="1"/>
  <c r="CC48" i="12" s="1"/>
  <c r="CC50" i="12" s="1"/>
  <c r="CD103" i="8"/>
  <c r="CD108" i="8" s="1"/>
  <c r="CD87" i="8"/>
  <c r="CD107" i="8" l="1"/>
  <c r="CD59" i="18"/>
  <c r="CD30" i="11"/>
  <c r="CD61" i="18"/>
  <c r="CD20" i="10"/>
  <c r="CD23" i="10" s="1"/>
  <c r="CD11" i="9" s="1"/>
  <c r="CD16" i="9" s="1"/>
  <c r="CC46" i="11"/>
  <c r="CC48" i="11" s="1"/>
  <c r="CC70" i="12" s="1"/>
  <c r="CC71" i="12" s="1"/>
  <c r="CC29" i="12"/>
  <c r="CC31" i="12" s="1"/>
  <c r="CD25" i="12" s="1"/>
  <c r="CC30" i="10"/>
  <c r="CC39" i="12"/>
  <c r="CC41" i="12" s="1"/>
  <c r="CD35" i="12" s="1"/>
  <c r="CC19" i="14" l="1"/>
  <c r="CC21" i="14" s="1"/>
  <c r="CD69" i="12"/>
  <c r="CC32" i="10"/>
  <c r="CC64" i="12" s="1"/>
  <c r="CC65" i="12" s="1"/>
  <c r="CC27" i="13"/>
  <c r="CC28" i="13" s="1"/>
  <c r="CD21" i="9"/>
  <c r="CD17" i="9"/>
  <c r="CD22" i="9" s="1"/>
  <c r="CD23" i="9" s="1"/>
  <c r="CD27" i="9" s="1"/>
  <c r="CD25" i="10" s="1"/>
  <c r="CD12" i="11" s="1"/>
  <c r="CD15" i="11" s="1"/>
  <c r="CD21" i="11" s="1"/>
  <c r="CD26" i="11" s="1"/>
  <c r="CD32" i="11" s="1"/>
  <c r="CD29" i="11"/>
  <c r="CD109" i="8"/>
  <c r="CD120" i="8" l="1"/>
  <c r="CD121" i="8" s="1"/>
  <c r="CD124" i="8" s="1"/>
  <c r="CD38" i="11" s="1"/>
  <c r="CD16" i="12"/>
  <c r="CD63" i="12"/>
  <c r="CC33" i="14"/>
  <c r="CC36" i="14" s="1"/>
  <c r="CC39" i="14" s="1"/>
  <c r="CC41" i="14" s="1"/>
  <c r="CC36" i="1"/>
  <c r="CC77" i="13"/>
  <c r="CC78" i="13"/>
  <c r="CD18" i="9"/>
  <c r="CE15" i="9" s="1"/>
  <c r="CD84" i="1"/>
  <c r="CD17" i="13"/>
  <c r="CD19" i="13" s="1"/>
  <c r="CD64" i="13" s="1"/>
  <c r="CD27" i="7"/>
  <c r="CD31" i="7" s="1"/>
  <c r="CD27" i="10"/>
  <c r="CC45" i="1" l="1"/>
  <c r="CC38" i="1"/>
  <c r="CD34" i="7"/>
  <c r="CD28" i="10"/>
  <c r="CD26" i="12"/>
  <c r="CD27" i="12" s="1"/>
  <c r="CD45" i="12" s="1"/>
  <c r="CD15" i="12"/>
  <c r="CD19" i="12" s="1"/>
  <c r="CD94" i="8"/>
  <c r="CD95" i="8" s="1"/>
  <c r="CD34" i="11" s="1"/>
  <c r="CD36" i="11" s="1"/>
  <c r="CD13" i="15"/>
  <c r="CD23" i="15" s="1"/>
  <c r="CD25" i="15" s="1"/>
  <c r="CD21" i="12" l="1"/>
  <c r="CD62" i="18"/>
  <c r="CD128" i="8"/>
  <c r="CD125" i="8" s="1"/>
  <c r="CD39" i="11" s="1"/>
  <c r="CD42" i="11" s="1"/>
  <c r="CD88" i="8"/>
  <c r="CD44" i="11" l="1"/>
  <c r="CD89" i="8"/>
  <c r="CD27" i="14" s="1"/>
  <c r="CD80" i="1" s="1"/>
  <c r="CD60" i="18"/>
  <c r="CD126" i="8"/>
  <c r="CE85" i="8" l="1"/>
  <c r="CE87" i="8" s="1"/>
  <c r="CD45" i="13"/>
  <c r="CE123" i="8"/>
  <c r="CD28" i="14"/>
  <c r="CD36" i="12"/>
  <c r="CD37" i="12" s="1"/>
  <c r="CD46" i="12" s="1"/>
  <c r="CD48" i="12" s="1"/>
  <c r="CD50" i="12" s="1"/>
  <c r="CD46" i="11" s="1"/>
  <c r="CD48" i="11" s="1"/>
  <c r="CD26" i="13"/>
  <c r="CD58" i="12"/>
  <c r="CE103" i="8"/>
  <c r="CE108" i="8" s="1"/>
  <c r="CE61" i="18" l="1"/>
  <c r="CE30" i="11"/>
  <c r="CE107" i="8"/>
  <c r="CE29" i="11" s="1"/>
  <c r="CE59" i="18"/>
  <c r="CE20" i="10"/>
  <c r="CE109" i="8"/>
  <c r="CD39" i="12"/>
  <c r="CD41" i="12" s="1"/>
  <c r="CE35" i="12" s="1"/>
  <c r="CD70" i="12"/>
  <c r="CD71" i="12" s="1"/>
  <c r="CD30" i="10"/>
  <c r="CD29" i="12"/>
  <c r="CD31" i="12" s="1"/>
  <c r="CE25" i="12" s="1"/>
  <c r="CE130" i="8"/>
  <c r="CE138" i="8"/>
  <c r="CE21" i="10" s="1"/>
  <c r="CE40" i="11" s="1"/>
  <c r="CE23" i="10" l="1"/>
  <c r="CE11" i="9" s="1"/>
  <c r="CD27" i="13"/>
  <c r="CD28" i="13" s="1"/>
  <c r="CD32" i="10"/>
  <c r="CD64" i="12" s="1"/>
  <c r="CD65" i="12" s="1"/>
  <c r="CD19" i="14"/>
  <c r="CD21" i="14" s="1"/>
  <c r="CE69" i="12"/>
  <c r="CE16" i="12"/>
  <c r="CE120" i="8"/>
  <c r="CE121" i="8" s="1"/>
  <c r="CE124" i="8" s="1"/>
  <c r="CE38" i="11" s="1"/>
  <c r="CE21" i="9" l="1"/>
  <c r="CE16" i="9"/>
  <c r="CE17" i="9"/>
  <c r="CE22" i="9" s="1"/>
  <c r="CE63" i="12"/>
  <c r="CD33" i="14"/>
  <c r="CD36" i="14" s="1"/>
  <c r="CD39" i="14" s="1"/>
  <c r="CD41" i="14" s="1"/>
  <c r="CD36" i="1"/>
  <c r="CD77" i="13"/>
  <c r="CD78" i="13"/>
  <c r="CE18" i="9" l="1"/>
  <c r="CF15" i="9" s="1"/>
  <c r="CD38" i="1"/>
  <c r="CD45" i="1"/>
  <c r="CE23" i="9"/>
  <c r="CE27" i="9" s="1"/>
  <c r="CE25" i="10" s="1"/>
  <c r="CE12" i="11" s="1"/>
  <c r="CE15" i="11" s="1"/>
  <c r="CE21" i="11" s="1"/>
  <c r="CE26" i="11" s="1"/>
  <c r="CE32" i="11" s="1"/>
  <c r="CE17" i="13" l="1"/>
  <c r="CE19" i="13" s="1"/>
  <c r="CE64" i="13" s="1"/>
  <c r="CE84" i="1"/>
  <c r="CE27" i="7"/>
  <c r="CE31" i="7" s="1"/>
  <c r="CE27" i="10"/>
  <c r="CE28" i="10" l="1"/>
  <c r="CE26" i="12"/>
  <c r="CE27" i="12" s="1"/>
  <c r="CE45" i="12" s="1"/>
  <c r="CE34" i="7"/>
  <c r="CE15" i="12"/>
  <c r="CE19" i="12" s="1"/>
  <c r="CE94" i="8"/>
  <c r="CE95" i="8" s="1"/>
  <c r="CE34" i="11" s="1"/>
  <c r="CE36" i="11" s="1"/>
  <c r="CE13" i="15"/>
  <c r="CE23" i="15" s="1"/>
  <c r="CE25" i="15" s="1"/>
  <c r="CE21" i="12" l="1"/>
  <c r="CE62" i="18"/>
  <c r="CE128" i="8"/>
  <c r="CE125" i="8" s="1"/>
  <c r="CE39" i="11" s="1"/>
  <c r="CE42" i="11" s="1"/>
  <c r="CE88" i="8"/>
  <c r="CE44" i="11" l="1"/>
  <c r="CE89" i="8"/>
  <c r="CF85" i="8" s="1"/>
  <c r="CE60" i="18"/>
  <c r="CE126" i="8"/>
  <c r="CE27" i="14" l="1"/>
  <c r="CE80" i="1" s="1"/>
  <c r="CE45" i="13"/>
  <c r="CE28" i="14"/>
  <c r="CF123" i="8"/>
  <c r="CE36" i="12"/>
  <c r="CE37" i="12" s="1"/>
  <c r="CE46" i="12" s="1"/>
  <c r="CE48" i="12" s="1"/>
  <c r="CE50" i="12" s="1"/>
  <c r="CE46" i="11" s="1"/>
  <c r="CE48" i="11" s="1"/>
  <c r="CE26" i="13"/>
  <c r="CE58" i="12"/>
  <c r="CF103" i="8"/>
  <c r="CF108" i="8" s="1"/>
  <c r="CF87" i="8"/>
  <c r="CF107" i="8" l="1"/>
  <c r="CF29" i="11" s="1"/>
  <c r="CF59" i="18"/>
  <c r="CF30" i="11"/>
  <c r="CF61" i="18"/>
  <c r="CF109" i="8"/>
  <c r="CE30" i="10"/>
  <c r="CE70" i="12"/>
  <c r="CE71" i="12" s="1"/>
  <c r="CE39" i="12"/>
  <c r="CE41" i="12" s="1"/>
  <c r="CF35" i="12" s="1"/>
  <c r="CE29" i="12"/>
  <c r="CE31" i="12" s="1"/>
  <c r="CF25" i="12" s="1"/>
  <c r="CF130" i="8"/>
  <c r="CF138" i="8"/>
  <c r="CF21" i="10" s="1"/>
  <c r="CF40" i="11" s="1"/>
  <c r="CF20" i="10"/>
  <c r="CE19" i="14" l="1"/>
  <c r="CE21" i="14" s="1"/>
  <c r="CF69" i="12"/>
  <c r="CF23" i="10"/>
  <c r="CE27" i="13"/>
  <c r="CE28" i="13" s="1"/>
  <c r="CE32" i="10"/>
  <c r="CE64" i="12" s="1"/>
  <c r="CE65" i="12" s="1"/>
  <c r="CF120" i="8"/>
  <c r="CF121" i="8" s="1"/>
  <c r="CF124" i="8" s="1"/>
  <c r="CF38" i="11" s="1"/>
  <c r="CF16" i="12"/>
  <c r="CE33" i="14" l="1"/>
  <c r="CE36" i="14" s="1"/>
  <c r="CE39" i="14" s="1"/>
  <c r="CE41" i="14" s="1"/>
  <c r="CF63" i="12"/>
  <c r="CE36" i="1"/>
  <c r="CE77" i="13"/>
  <c r="CE78" i="13"/>
  <c r="CF11" i="9"/>
  <c r="CF16" i="9" l="1"/>
  <c r="CF17" i="9"/>
  <c r="CF22" i="9" s="1"/>
  <c r="CF21" i="9"/>
  <c r="CE38" i="1"/>
  <c r="CE45" i="1"/>
  <c r="CF23" i="9" l="1"/>
  <c r="CF27" i="9" s="1"/>
  <c r="CF25" i="10" s="1"/>
  <c r="CF18" i="9"/>
  <c r="CG15" i="9" s="1"/>
  <c r="CF27" i="7" l="1"/>
  <c r="CF31" i="7" s="1"/>
  <c r="CF12" i="11"/>
  <c r="CF15" i="11" s="1"/>
  <c r="CF21" i="11" s="1"/>
  <c r="CF26" i="11" s="1"/>
  <c r="CF32" i="11" s="1"/>
  <c r="CF27" i="10"/>
  <c r="CF28" i="10" s="1"/>
  <c r="CF17" i="13"/>
  <c r="CF19" i="13" s="1"/>
  <c r="CF64" i="13" s="1"/>
  <c r="CF34" i="7"/>
  <c r="CF15" i="12" l="1"/>
  <c r="CF19" i="12" s="1"/>
  <c r="CF84" i="1"/>
  <c r="CF26" i="12"/>
  <c r="CF27" i="12" s="1"/>
  <c r="CF45" i="12" s="1"/>
  <c r="CF94" i="8"/>
  <c r="CF95" i="8" s="1"/>
  <c r="CF13" i="15"/>
  <c r="CF23" i="15" s="1"/>
  <c r="CF25" i="15" s="1"/>
  <c r="CF88" i="8" l="1"/>
  <c r="CF34" i="11"/>
  <c r="CF36" i="11" s="1"/>
  <c r="CF128" i="8" s="1"/>
  <c r="CF125" i="8" s="1"/>
  <c r="CF39" i="11" s="1"/>
  <c r="CF21" i="12"/>
  <c r="CF62" i="18"/>
  <c r="CF42" i="11" l="1"/>
  <c r="CF89" i="8"/>
  <c r="CF60" i="18"/>
  <c r="CF126" i="8"/>
  <c r="CG123" i="8" s="1"/>
  <c r="CF27" i="14" l="1"/>
  <c r="CF80" i="1" s="1"/>
  <c r="CF45" i="13"/>
  <c r="CG85" i="8"/>
  <c r="CF44" i="11"/>
  <c r="CF28" i="14"/>
  <c r="CG138" i="8"/>
  <c r="CG21" i="10" s="1"/>
  <c r="CG40" i="11" s="1"/>
  <c r="CG130" i="8"/>
  <c r="CF58" i="12" l="1"/>
  <c r="CF36" i="12"/>
  <c r="CF37" i="12" s="1"/>
  <c r="CF46" i="12" s="1"/>
  <c r="CF48" i="12" s="1"/>
  <c r="CF50" i="12" s="1"/>
  <c r="CF26" i="13"/>
  <c r="CG103" i="8"/>
  <c r="CG108" i="8" s="1"/>
  <c r="CG87" i="8"/>
  <c r="CF46" i="11" l="1"/>
  <c r="CF48" i="11" s="1"/>
  <c r="CF70" i="12" s="1"/>
  <c r="CF71" i="12" s="1"/>
  <c r="CF30" i="10"/>
  <c r="CF29" i="12"/>
  <c r="CF31" i="12" s="1"/>
  <c r="CG25" i="12" s="1"/>
  <c r="CF39" i="12"/>
  <c r="CF41" i="12" s="1"/>
  <c r="CG35" i="12" s="1"/>
  <c r="CG107" i="8"/>
  <c r="CG59" i="18"/>
  <c r="CG30" i="11"/>
  <c r="CG61" i="18"/>
  <c r="CG20" i="10"/>
  <c r="CG23" i="10" s="1"/>
  <c r="CG11" i="9" s="1"/>
  <c r="CG16" i="9" s="1"/>
  <c r="CG17" i="9" l="1"/>
  <c r="CG22" i="9" s="1"/>
  <c r="CG21" i="9"/>
  <c r="CG29" i="11"/>
  <c r="CG109" i="8"/>
  <c r="CF32" i="10"/>
  <c r="CF64" i="12" s="1"/>
  <c r="CF65" i="12" s="1"/>
  <c r="CF27" i="13"/>
  <c r="CF28" i="13" s="1"/>
  <c r="CG69" i="12"/>
  <c r="CF19" i="14"/>
  <c r="CF21" i="14" s="1"/>
  <c r="CG18" i="9"/>
  <c r="CH15" i="9" s="1"/>
  <c r="CG23" i="9" l="1"/>
  <c r="CG27" i="9" s="1"/>
  <c r="CG25" i="10" s="1"/>
  <c r="CG12" i="11" s="1"/>
  <c r="CG15" i="11" s="1"/>
  <c r="CG21" i="11" s="1"/>
  <c r="CG26" i="11" s="1"/>
  <c r="CG32" i="11" s="1"/>
  <c r="CF78" i="13"/>
  <c r="CF77" i="13"/>
  <c r="CF36" i="1"/>
  <c r="CG16" i="12"/>
  <c r="CG120" i="8"/>
  <c r="CG121" i="8" s="1"/>
  <c r="CG124" i="8" s="1"/>
  <c r="CG38" i="11" s="1"/>
  <c r="CF33" i="14"/>
  <c r="CF36" i="14" s="1"/>
  <c r="CF39" i="14" s="1"/>
  <c r="CF41" i="14" s="1"/>
  <c r="CG63" i="12"/>
  <c r="CG84" i="1" l="1"/>
  <c r="CG27" i="10"/>
  <c r="CG27" i="7"/>
  <c r="CG31" i="7" s="1"/>
  <c r="CG17" i="13"/>
  <c r="CG19" i="13" s="1"/>
  <c r="CG64" i="13" s="1"/>
  <c r="CF45" i="1"/>
  <c r="CF38" i="1"/>
  <c r="CG26" i="12"/>
  <c r="CG27" i="12" s="1"/>
  <c r="CG45" i="12" s="1"/>
  <c r="CG28" i="10"/>
  <c r="CG34" i="7"/>
  <c r="CG94" i="8"/>
  <c r="CG95" i="8" s="1"/>
  <c r="CG34" i="11" s="1"/>
  <c r="CG36" i="11" s="1"/>
  <c r="CG13" i="15"/>
  <c r="CG23" i="15" s="1"/>
  <c r="CG25" i="15" s="1"/>
  <c r="CG15" i="12"/>
  <c r="CG19" i="12" s="1"/>
  <c r="CG21" i="12" l="1"/>
  <c r="CG62" i="18"/>
  <c r="CG88" i="8"/>
  <c r="CG128" i="8"/>
  <c r="CG125" i="8" s="1"/>
  <c r="CG39" i="11" s="1"/>
  <c r="CG42" i="11" s="1"/>
  <c r="CG44" i="11" l="1"/>
  <c r="CG89" i="8"/>
  <c r="CG27" i="14" s="1"/>
  <c r="CG80" i="1" s="1"/>
  <c r="CG60" i="18"/>
  <c r="CG126" i="8"/>
  <c r="CG45" i="13"/>
  <c r="CH85" i="8" l="1"/>
  <c r="CH103" i="8" s="1"/>
  <c r="CH108" i="8" s="1"/>
  <c r="CG28" i="14"/>
  <c r="CH123" i="8"/>
  <c r="CG36" i="12"/>
  <c r="CG37" i="12" s="1"/>
  <c r="CG46" i="12" s="1"/>
  <c r="CG48" i="12" s="1"/>
  <c r="CG50" i="12" s="1"/>
  <c r="CG46" i="11" s="1"/>
  <c r="CG48" i="11" s="1"/>
  <c r="CG58" i="12"/>
  <c r="CG26" i="13"/>
  <c r="CH87" i="8" l="1"/>
  <c r="CH107" i="8" s="1"/>
  <c r="CH30" i="11"/>
  <c r="CH61" i="18"/>
  <c r="CH130" i="8"/>
  <c r="CH138" i="8"/>
  <c r="CH21" i="10" s="1"/>
  <c r="CH40" i="11" s="1"/>
  <c r="CG30" i="10"/>
  <c r="CG70" i="12"/>
  <c r="CG71" i="12" s="1"/>
  <c r="CG39" i="12"/>
  <c r="CG41" i="12" s="1"/>
  <c r="CH35" i="12" s="1"/>
  <c r="CG29" i="12"/>
  <c r="CG31" i="12" s="1"/>
  <c r="CH25" i="12" s="1"/>
  <c r="CH20" i="10"/>
  <c r="CH59" i="18" l="1"/>
  <c r="CH29" i="11"/>
  <c r="CH109" i="8"/>
  <c r="CH16" i="12" s="1"/>
  <c r="CH23" i="10"/>
  <c r="CH11" i="9" s="1"/>
  <c r="CH69" i="12"/>
  <c r="CG19" i="14"/>
  <c r="CG21" i="14" s="1"/>
  <c r="CG27" i="13"/>
  <c r="CG28" i="13" s="1"/>
  <c r="CG32" i="10"/>
  <c r="CG64" i="12" s="1"/>
  <c r="CG65" i="12" s="1"/>
  <c r="CH120" i="8" l="1"/>
  <c r="CH121" i="8" s="1"/>
  <c r="CH124" i="8" s="1"/>
  <c r="CH38" i="11" s="1"/>
  <c r="CH16" i="9"/>
  <c r="CH17" i="9"/>
  <c r="CH22" i="9" s="1"/>
  <c r="CH21" i="9"/>
  <c r="CG33" i="14"/>
  <c r="CG36" i="14" s="1"/>
  <c r="CG39" i="14" s="1"/>
  <c r="CG41" i="14" s="1"/>
  <c r="CH63" i="12"/>
  <c r="CG78" i="13"/>
  <c r="CG36" i="1"/>
  <c r="CG77" i="13"/>
  <c r="CH18" i="9" l="1"/>
  <c r="CI15" i="9" s="1"/>
  <c r="CH23" i="9"/>
  <c r="CH27" i="9" s="1"/>
  <c r="CH25" i="10" s="1"/>
  <c r="CH12" i="11" s="1"/>
  <c r="CH15" i="11" s="1"/>
  <c r="CH21" i="11" s="1"/>
  <c r="CH26" i="11" s="1"/>
  <c r="CH32" i="11" s="1"/>
  <c r="CG38" i="1"/>
  <c r="CG45" i="1"/>
  <c r="CH17" i="13" l="1"/>
  <c r="CH19" i="13" s="1"/>
  <c r="CH64" i="13" s="1"/>
  <c r="CH27" i="7"/>
  <c r="CH31" i="7" s="1"/>
  <c r="CH34" i="7" s="1"/>
  <c r="CH84" i="1"/>
  <c r="CH27" i="10"/>
  <c r="CH28" i="10" l="1"/>
  <c r="CH26" i="12"/>
  <c r="CH27" i="12" s="1"/>
  <c r="CH45" i="12" s="1"/>
  <c r="CH15" i="12"/>
  <c r="CH19" i="12" s="1"/>
  <c r="CH94" i="8"/>
  <c r="CH95" i="8" s="1"/>
  <c r="CH34" i="11" s="1"/>
  <c r="CH36" i="11" s="1"/>
  <c r="CH13" i="15"/>
  <c r="CH23" i="15" s="1"/>
  <c r="CH25" i="15" s="1"/>
  <c r="CH21" i="12" l="1"/>
  <c r="CH62" i="18"/>
  <c r="CH88" i="8"/>
  <c r="CH128" i="8"/>
  <c r="CH125" i="8" s="1"/>
  <c r="CH39" i="11" s="1"/>
  <c r="CH42" i="11" s="1"/>
  <c r="CH44" i="11" l="1"/>
  <c r="CH89" i="8"/>
  <c r="CI85" i="8" s="1"/>
  <c r="CH60" i="18"/>
  <c r="CH126" i="8"/>
  <c r="CH27" i="14" l="1"/>
  <c r="CH80" i="1" s="1"/>
  <c r="CH45" i="13"/>
  <c r="CI103" i="8"/>
  <c r="CI108" i="8" s="1"/>
  <c r="CI87" i="8"/>
  <c r="CI123" i="8"/>
  <c r="CH28" i="14"/>
  <c r="CH36" i="12"/>
  <c r="CH37" i="12" s="1"/>
  <c r="CH46" i="12" s="1"/>
  <c r="CH48" i="12" s="1"/>
  <c r="CH50" i="12" s="1"/>
  <c r="CH46" i="11" s="1"/>
  <c r="CH48" i="11" s="1"/>
  <c r="CH58" i="12"/>
  <c r="CH26" i="13"/>
  <c r="CI107" i="8" l="1"/>
  <c r="CI29" i="11" s="1"/>
  <c r="CI59" i="18"/>
  <c r="CI30" i="11"/>
  <c r="CI61" i="18"/>
  <c r="CH30" i="10"/>
  <c r="CH39" i="12"/>
  <c r="CH41" i="12" s="1"/>
  <c r="CI35" i="12" s="1"/>
  <c r="CH70" i="12"/>
  <c r="CH71" i="12" s="1"/>
  <c r="CH29" i="12"/>
  <c r="CH31" i="12" s="1"/>
  <c r="CI25" i="12" s="1"/>
  <c r="CI138" i="8"/>
  <c r="CI21" i="10" s="1"/>
  <c r="CI40" i="11" s="1"/>
  <c r="CI130" i="8"/>
  <c r="CI109" i="8"/>
  <c r="CI20" i="10"/>
  <c r="CI120" i="8" l="1"/>
  <c r="CI121" i="8" s="1"/>
  <c r="CI124" i="8" s="1"/>
  <c r="CI38" i="11" s="1"/>
  <c r="CI16" i="12"/>
  <c r="CI23" i="10"/>
  <c r="CI69" i="12"/>
  <c r="CH19" i="14"/>
  <c r="CH21" i="14" s="1"/>
  <c r="CH27" i="13"/>
  <c r="CH28" i="13" s="1"/>
  <c r="CH32" i="10"/>
  <c r="CH64" i="12" s="1"/>
  <c r="CH65" i="12" s="1"/>
  <c r="CH33" i="14" l="1"/>
  <c r="CH36" i="14" s="1"/>
  <c r="CH39" i="14" s="1"/>
  <c r="CH41" i="14" s="1"/>
  <c r="CI63" i="12"/>
  <c r="CH36" i="1"/>
  <c r="CH78" i="13"/>
  <c r="CH77" i="13"/>
  <c r="CI11" i="9"/>
  <c r="CH45" i="1" l="1"/>
  <c r="CH38" i="1"/>
  <c r="CI16" i="9"/>
  <c r="CI17" i="9"/>
  <c r="CI22" i="9" s="1"/>
  <c r="CI21" i="9"/>
  <c r="CI23" i="9" l="1"/>
  <c r="CI27" i="9" s="1"/>
  <c r="CI25" i="10" s="1"/>
  <c r="CI12" i="11" s="1"/>
  <c r="CI15" i="11" s="1"/>
  <c r="CI21" i="11" s="1"/>
  <c r="CI26" i="11" s="1"/>
  <c r="CI32" i="11" s="1"/>
  <c r="CI18" i="9"/>
  <c r="CJ15" i="9" s="1"/>
  <c r="CI27" i="7" l="1"/>
  <c r="CI31" i="7" s="1"/>
  <c r="CI84" i="1"/>
  <c r="CI17" i="13"/>
  <c r="CI19" i="13" s="1"/>
  <c r="CI64" i="13" s="1"/>
  <c r="CI27" i="10"/>
  <c r="CI94" i="8" l="1"/>
  <c r="CI95" i="8" s="1"/>
  <c r="CI34" i="11" s="1"/>
  <c r="CI36" i="11" s="1"/>
  <c r="CI15" i="12"/>
  <c r="CI19" i="12" s="1"/>
  <c r="CI13" i="15"/>
  <c r="CI23" i="15" s="1"/>
  <c r="CI25" i="15" s="1"/>
  <c r="CI34" i="7"/>
  <c r="CI28" i="10"/>
  <c r="CI26" i="12"/>
  <c r="CI27" i="12" s="1"/>
  <c r="CI45" i="12" s="1"/>
  <c r="CI21" i="12" l="1"/>
  <c r="CI62" i="18"/>
  <c r="CI88" i="8"/>
  <c r="CI128" i="8"/>
  <c r="CI125" i="8" s="1"/>
  <c r="CI39" i="11" s="1"/>
  <c r="CI42" i="11" s="1"/>
  <c r="CI44" i="11" l="1"/>
  <c r="CI89" i="8"/>
  <c r="CI45" i="13" s="1"/>
  <c r="CI60" i="18"/>
  <c r="CI126" i="8"/>
  <c r="CJ85" i="8"/>
  <c r="CI27" i="14" l="1"/>
  <c r="CI80" i="1" s="1"/>
  <c r="CJ87" i="8"/>
  <c r="CJ103" i="8"/>
  <c r="CJ108" i="8" s="1"/>
  <c r="CI28" i="14"/>
  <c r="CJ123" i="8"/>
  <c r="CI36" i="12"/>
  <c r="CI37" i="12" s="1"/>
  <c r="CI46" i="12" s="1"/>
  <c r="CI48" i="12" s="1"/>
  <c r="CI50" i="12" s="1"/>
  <c r="CI46" i="11" s="1"/>
  <c r="CI48" i="11" s="1"/>
  <c r="CI58" i="12"/>
  <c r="CI26" i="13"/>
  <c r="CJ30" i="11" l="1"/>
  <c r="CJ61" i="18"/>
  <c r="CJ107" i="8"/>
  <c r="CJ29" i="11" s="1"/>
  <c r="CJ59" i="18"/>
  <c r="CJ138" i="8"/>
  <c r="CJ21" i="10" s="1"/>
  <c r="CJ40" i="11" s="1"/>
  <c r="CJ130" i="8"/>
  <c r="CI70" i="12"/>
  <c r="CI71" i="12" s="1"/>
  <c r="CI29" i="12"/>
  <c r="CI31" i="12" s="1"/>
  <c r="CJ25" i="12" s="1"/>
  <c r="CI39" i="12"/>
  <c r="CI41" i="12" s="1"/>
  <c r="CJ35" i="12" s="1"/>
  <c r="CI30" i="10"/>
  <c r="CJ20" i="10"/>
  <c r="CJ109" i="8"/>
  <c r="CJ23" i="10" l="1"/>
  <c r="CJ11" i="9" s="1"/>
  <c r="CI27" i="13"/>
  <c r="CI28" i="13" s="1"/>
  <c r="CI32" i="10"/>
  <c r="CI64" i="12" s="1"/>
  <c r="CI65" i="12" s="1"/>
  <c r="CJ69" i="12"/>
  <c r="CI19" i="14"/>
  <c r="CI21" i="14" s="1"/>
  <c r="CJ16" i="12"/>
  <c r="CJ120" i="8"/>
  <c r="CJ121" i="8" s="1"/>
  <c r="CJ124" i="8" s="1"/>
  <c r="CJ38" i="11" s="1"/>
  <c r="CI33" i="14" l="1"/>
  <c r="CI36" i="14" s="1"/>
  <c r="CI39" i="14" s="1"/>
  <c r="CI41" i="14" s="1"/>
  <c r="CJ63" i="12"/>
  <c r="CI36" i="1"/>
  <c r="CI77" i="13"/>
  <c r="CI78" i="13"/>
  <c r="CJ17" i="9"/>
  <c r="CJ22" i="9" s="1"/>
  <c r="CJ16" i="9"/>
  <c r="CJ21" i="9"/>
  <c r="CJ23" i="9" l="1"/>
  <c r="CJ27" i="9" s="1"/>
  <c r="CJ25" i="10" s="1"/>
  <c r="CJ12" i="11" s="1"/>
  <c r="CJ15" i="11" s="1"/>
  <c r="CJ21" i="11" s="1"/>
  <c r="CJ26" i="11" s="1"/>
  <c r="CJ32" i="11" s="1"/>
  <c r="CJ18" i="9"/>
  <c r="CK15" i="9" s="1"/>
  <c r="CI45" i="1"/>
  <c r="CI38" i="1"/>
  <c r="CJ84" i="1" l="1"/>
  <c r="CJ27" i="7"/>
  <c r="CJ31" i="7" s="1"/>
  <c r="CJ17" i="13"/>
  <c r="CJ19" i="13" s="1"/>
  <c r="CJ64" i="13" s="1"/>
  <c r="CJ27" i="10"/>
  <c r="CJ28" i="10" l="1"/>
  <c r="CJ26" i="12"/>
  <c r="CJ27" i="12" s="1"/>
  <c r="CJ45" i="12" s="1"/>
  <c r="CJ94" i="8"/>
  <c r="CJ95" i="8" s="1"/>
  <c r="CJ34" i="11" s="1"/>
  <c r="CJ36" i="11" s="1"/>
  <c r="CJ15" i="12"/>
  <c r="CJ19" i="12" s="1"/>
  <c r="CJ13" i="15"/>
  <c r="CJ23" i="15" s="1"/>
  <c r="CJ25" i="15" s="1"/>
  <c r="CJ34" i="7"/>
  <c r="CJ21" i="12" l="1"/>
  <c r="CJ62" i="18"/>
  <c r="CJ88" i="8"/>
  <c r="CJ89" i="8" l="1"/>
  <c r="CJ27" i="14" s="1"/>
  <c r="CJ80" i="1" s="1"/>
  <c r="CJ60" i="18"/>
  <c r="CJ128" i="8"/>
  <c r="CJ125" i="8" s="1"/>
  <c r="CJ39" i="11" s="1"/>
  <c r="CJ42" i="11" s="1"/>
  <c r="CJ45" i="13" l="1"/>
  <c r="CK85" i="8"/>
  <c r="CJ44" i="11"/>
  <c r="CK87" i="8"/>
  <c r="CK103" i="8"/>
  <c r="CK108" i="8" s="1"/>
  <c r="CJ126" i="8"/>
  <c r="CK107" i="8" l="1"/>
  <c r="CK29" i="11" s="1"/>
  <c r="CK59" i="18"/>
  <c r="CK30" i="11"/>
  <c r="CK61" i="18"/>
  <c r="CJ36" i="12"/>
  <c r="CJ37" i="12" s="1"/>
  <c r="CJ46" i="12" s="1"/>
  <c r="CJ48" i="12" s="1"/>
  <c r="CJ50" i="12" s="1"/>
  <c r="CJ46" i="11" s="1"/>
  <c r="CJ48" i="11" s="1"/>
  <c r="CK123" i="8"/>
  <c r="CJ28" i="14"/>
  <c r="CK20" i="10"/>
  <c r="CK109" i="8"/>
  <c r="CK130" i="8" l="1"/>
  <c r="CK138" i="8"/>
  <c r="CK21" i="10" s="1"/>
  <c r="CK40" i="11" s="1"/>
  <c r="CJ39" i="12"/>
  <c r="CJ41" i="12" s="1"/>
  <c r="CK35" i="12" s="1"/>
  <c r="CJ29" i="12"/>
  <c r="CJ31" i="12" s="1"/>
  <c r="CK25" i="12" s="1"/>
  <c r="CJ30" i="10"/>
  <c r="CJ70" i="12"/>
  <c r="CJ71" i="12" s="1"/>
  <c r="CK120" i="8"/>
  <c r="CK121" i="8" s="1"/>
  <c r="CK124" i="8" s="1"/>
  <c r="CK38" i="11" s="1"/>
  <c r="CK16" i="12"/>
  <c r="CJ26" i="13"/>
  <c r="CJ58" i="12"/>
  <c r="CJ19" i="14" l="1"/>
  <c r="CJ21" i="14" s="1"/>
  <c r="CK69" i="12"/>
  <c r="CJ27" i="13"/>
  <c r="CJ28" i="13" s="1"/>
  <c r="CJ32" i="10"/>
  <c r="CJ64" i="12" s="1"/>
  <c r="CJ65" i="12" s="1"/>
  <c r="CK23" i="10"/>
  <c r="CK11" i="9" l="1"/>
  <c r="CJ36" i="1"/>
  <c r="CJ77" i="13"/>
  <c r="CJ78" i="13"/>
  <c r="CJ33" i="14"/>
  <c r="CJ36" i="14" s="1"/>
  <c r="CJ39" i="14" s="1"/>
  <c r="CJ41" i="14" s="1"/>
  <c r="CK63" i="12"/>
  <c r="CJ45" i="1" l="1"/>
  <c r="CJ38" i="1"/>
  <c r="CK16" i="9"/>
  <c r="CK21" i="9"/>
  <c r="CK17" i="9"/>
  <c r="CK22" i="9" s="1"/>
  <c r="CK18" i="9" l="1"/>
  <c r="CL15" i="9" s="1"/>
  <c r="CK23" i="9"/>
  <c r="CK27" i="9" s="1"/>
  <c r="CK25" i="10" s="1"/>
  <c r="CK12" i="11" s="1"/>
  <c r="CK15" i="11" s="1"/>
  <c r="CK21" i="11" s="1"/>
  <c r="CK26" i="11" s="1"/>
  <c r="CK32" i="11" s="1"/>
  <c r="CK27" i="7" l="1"/>
  <c r="CK31" i="7" s="1"/>
  <c r="CK84" i="1"/>
  <c r="CK17" i="13"/>
  <c r="CK19" i="13" s="1"/>
  <c r="CK64" i="13" s="1"/>
  <c r="CK27" i="10"/>
  <c r="CK15" i="12" l="1"/>
  <c r="CK19" i="12" s="1"/>
  <c r="CK13" i="15"/>
  <c r="CK23" i="15" s="1"/>
  <c r="CK25" i="15" s="1"/>
  <c r="CK94" i="8"/>
  <c r="CK95" i="8" s="1"/>
  <c r="CK34" i="11" s="1"/>
  <c r="CK36" i="11" s="1"/>
  <c r="CK26" i="12"/>
  <c r="CK27" i="12" s="1"/>
  <c r="CK45" i="12" s="1"/>
  <c r="CK28" i="10"/>
  <c r="CK34" i="7"/>
  <c r="CK21" i="12" l="1"/>
  <c r="CK62" i="18"/>
  <c r="CK88" i="8"/>
  <c r="CK89" i="8" l="1"/>
  <c r="CL85" i="8" s="1"/>
  <c r="CK60" i="18"/>
  <c r="CK128" i="8"/>
  <c r="CK125" i="8" s="1"/>
  <c r="CK39" i="11" s="1"/>
  <c r="CK42" i="11" s="1"/>
  <c r="CK45" i="13"/>
  <c r="CK27" i="14" l="1"/>
  <c r="CK80" i="1" s="1"/>
  <c r="CK44" i="11"/>
  <c r="CL103" i="8"/>
  <c r="CL108" i="8" s="1"/>
  <c r="CL87" i="8"/>
  <c r="CK126" i="8"/>
  <c r="CL30" i="11" l="1"/>
  <c r="CL61" i="18"/>
  <c r="CL107" i="8"/>
  <c r="CL29" i="11" s="1"/>
  <c r="CL59" i="18"/>
  <c r="CK36" i="12"/>
  <c r="CK37" i="12" s="1"/>
  <c r="CK46" i="12" s="1"/>
  <c r="CK48" i="12" s="1"/>
  <c r="CK50" i="12" s="1"/>
  <c r="CK46" i="11" s="1"/>
  <c r="CK48" i="11" s="1"/>
  <c r="CL109" i="8"/>
  <c r="CL123" i="8"/>
  <c r="CK28" i="14"/>
  <c r="CL20" i="10"/>
  <c r="CK70" i="12" l="1"/>
  <c r="CK71" i="12" s="1"/>
  <c r="CK30" i="10"/>
  <c r="CK39" i="12"/>
  <c r="CK41" i="12" s="1"/>
  <c r="CL35" i="12" s="1"/>
  <c r="CK29" i="12"/>
  <c r="CK31" i="12" s="1"/>
  <c r="CL25" i="12" s="1"/>
  <c r="CL138" i="8"/>
  <c r="CL21" i="10" s="1"/>
  <c r="CL40" i="11" s="1"/>
  <c r="CL130" i="8"/>
  <c r="CL120" i="8"/>
  <c r="CL121" i="8" s="1"/>
  <c r="CL124" i="8" s="1"/>
  <c r="CL38" i="11" s="1"/>
  <c r="CL16" i="12"/>
  <c r="CK58" i="12"/>
  <c r="CK26" i="13"/>
  <c r="CL23" i="10" l="1"/>
  <c r="CK27" i="13"/>
  <c r="CK28" i="13" s="1"/>
  <c r="CK32" i="10"/>
  <c r="CK64" i="12" s="1"/>
  <c r="CK65" i="12" s="1"/>
  <c r="CL69" i="12"/>
  <c r="CK19" i="14"/>
  <c r="CK21" i="14" s="1"/>
  <c r="CL63" i="12" l="1"/>
  <c r="CK33" i="14"/>
  <c r="CK36" i="14" s="1"/>
  <c r="CK39" i="14" s="1"/>
  <c r="CK41" i="14" s="1"/>
  <c r="CL11" i="9"/>
  <c r="CK36" i="1"/>
  <c r="CK77" i="13"/>
  <c r="CK78" i="13"/>
  <c r="CL21" i="9" l="1"/>
  <c r="CL16" i="9"/>
  <c r="CL17" i="9"/>
  <c r="CL22" i="9" s="1"/>
  <c r="CK38" i="1"/>
  <c r="CK45" i="1"/>
  <c r="CL18" i="9" l="1"/>
  <c r="CM15" i="9" s="1"/>
  <c r="CL23" i="9"/>
  <c r="CL27" i="9" s="1"/>
  <c r="CL25" i="10" s="1"/>
  <c r="CL12" i="11" s="1"/>
  <c r="CL15" i="11" s="1"/>
  <c r="CL21" i="11" s="1"/>
  <c r="CL26" i="11" s="1"/>
  <c r="CL32" i="11" s="1"/>
  <c r="CL17" i="13" l="1"/>
  <c r="CL19" i="13" s="1"/>
  <c r="CL64" i="13" s="1"/>
  <c r="CL84" i="1"/>
  <c r="CL27" i="7"/>
  <c r="CL31" i="7" s="1"/>
  <c r="CL27" i="10"/>
  <c r="CL26" i="12" l="1"/>
  <c r="CL27" i="12" s="1"/>
  <c r="CL45" i="12" s="1"/>
  <c r="CL28" i="10"/>
  <c r="CL34" i="7"/>
  <c r="CL13" i="15"/>
  <c r="CL23" i="15" s="1"/>
  <c r="CL25" i="15" s="1"/>
  <c r="CL94" i="8"/>
  <c r="CL95" i="8" s="1"/>
  <c r="CL34" i="11" s="1"/>
  <c r="CL36" i="11" s="1"/>
  <c r="CL15" i="12"/>
  <c r="CL19" i="12" s="1"/>
  <c r="CL21" i="12" l="1"/>
  <c r="CL62" i="18"/>
  <c r="CL88" i="8"/>
  <c r="CL128" i="8"/>
  <c r="CL125" i="8" s="1"/>
  <c r="CL39" i="11" s="1"/>
  <c r="CL42" i="11" s="1"/>
  <c r="CL44" i="11" l="1"/>
  <c r="CL89" i="8"/>
  <c r="CL27" i="14" s="1"/>
  <c r="CL80" i="1" s="1"/>
  <c r="CL60" i="18"/>
  <c r="CL126" i="8"/>
  <c r="CL45" i="13"/>
  <c r="CM85" i="8"/>
  <c r="CM87" i="8" l="1"/>
  <c r="CM103" i="8"/>
  <c r="CM108" i="8" s="1"/>
  <c r="CM123" i="8"/>
  <c r="CL28" i="14"/>
  <c r="CL36" i="12"/>
  <c r="CL37" i="12" s="1"/>
  <c r="CL46" i="12" s="1"/>
  <c r="CL48" i="12" s="1"/>
  <c r="CL50" i="12" s="1"/>
  <c r="CL46" i="11" s="1"/>
  <c r="CL48" i="11" s="1"/>
  <c r="CM30" i="11" l="1"/>
  <c r="CM61" i="18"/>
  <c r="CM107" i="8"/>
  <c r="CM29" i="11" s="1"/>
  <c r="CM59" i="18"/>
  <c r="CM130" i="8"/>
  <c r="CM138" i="8"/>
  <c r="CM21" i="10" s="1"/>
  <c r="CM40" i="11" s="1"/>
  <c r="CL39" i="12"/>
  <c r="CL41" i="12" s="1"/>
  <c r="CM35" i="12" s="1"/>
  <c r="CL29" i="12"/>
  <c r="CL31" i="12" s="1"/>
  <c r="CM25" i="12" s="1"/>
  <c r="CL70" i="12"/>
  <c r="CL71" i="12" s="1"/>
  <c r="CL30" i="10"/>
  <c r="CM20" i="10"/>
  <c r="CL26" i="13"/>
  <c r="CL58" i="12"/>
  <c r="CM109" i="8" l="1"/>
  <c r="CM23" i="10"/>
  <c r="CM11" i="9" s="1"/>
  <c r="CL19" i="14"/>
  <c r="CL21" i="14" s="1"/>
  <c r="CM69" i="12"/>
  <c r="CL27" i="13"/>
  <c r="CL28" i="13" s="1"/>
  <c r="CL32" i="10"/>
  <c r="CL64" i="12" s="1"/>
  <c r="CL65" i="12" s="1"/>
  <c r="CM120" i="8"/>
  <c r="CM121" i="8" s="1"/>
  <c r="CM124" i="8" s="1"/>
  <c r="CM38" i="11" s="1"/>
  <c r="CM16" i="12"/>
  <c r="CL33" i="14" l="1"/>
  <c r="CL36" i="14" s="1"/>
  <c r="CL39" i="14" s="1"/>
  <c r="CL41" i="14" s="1"/>
  <c r="CM63" i="12"/>
  <c r="CL36" i="1"/>
  <c r="CL77" i="13"/>
  <c r="CL78" i="13"/>
  <c r="CM16" i="9"/>
  <c r="CM21" i="9"/>
  <c r="CM17" i="9"/>
  <c r="CM22" i="9" s="1"/>
  <c r="CM18" i="9" l="1"/>
  <c r="CN15" i="9" s="1"/>
  <c r="CM23" i="9"/>
  <c r="CM27" i="9" s="1"/>
  <c r="CM25" i="10" s="1"/>
  <c r="CL38" i="1"/>
  <c r="CL45" i="1"/>
  <c r="CM17" i="13" l="1"/>
  <c r="CM19" i="13" s="1"/>
  <c r="CM64" i="13" s="1"/>
  <c r="CM12" i="11"/>
  <c r="CM15" i="11" s="1"/>
  <c r="CM21" i="11" s="1"/>
  <c r="CM26" i="11" s="1"/>
  <c r="CM32" i="11" s="1"/>
  <c r="CM27" i="10"/>
  <c r="CM28" i="10" s="1"/>
  <c r="CM27" i="7"/>
  <c r="CM31" i="7" s="1"/>
  <c r="CM34" i="7" s="1"/>
  <c r="CM13" i="15" l="1"/>
  <c r="CM23" i="15" s="1"/>
  <c r="CM25" i="15" s="1"/>
  <c r="CM84" i="1"/>
  <c r="CM26" i="12"/>
  <c r="CM27" i="12" s="1"/>
  <c r="CM45" i="12" s="1"/>
  <c r="CM15" i="12"/>
  <c r="CM19" i="12" s="1"/>
  <c r="CM94" i="8"/>
  <c r="CM95" i="8" s="1"/>
  <c r="CM34" i="11" s="1"/>
  <c r="CM36" i="11" s="1"/>
  <c r="CM21" i="12" l="1"/>
  <c r="CM62" i="18"/>
  <c r="CM88" i="8"/>
  <c r="CM89" i="8" l="1"/>
  <c r="CM45" i="13" s="1"/>
  <c r="CM60" i="18"/>
  <c r="CM128" i="8"/>
  <c r="CM125" i="8" s="1"/>
  <c r="CM39" i="11" s="1"/>
  <c r="CM42" i="11" s="1"/>
  <c r="CN85" i="8" l="1"/>
  <c r="CM27" i="14"/>
  <c r="CM80" i="1" s="1"/>
  <c r="CM44" i="11"/>
  <c r="CN103" i="8"/>
  <c r="CN108" i="8" s="1"/>
  <c r="CN87" i="8"/>
  <c r="CM126" i="8"/>
  <c r="CN107" i="8" l="1"/>
  <c r="CN29" i="11" s="1"/>
  <c r="CN59" i="18"/>
  <c r="CN30" i="11"/>
  <c r="CN61" i="18"/>
  <c r="CM28" i="14"/>
  <c r="CN123" i="8"/>
  <c r="CM36" i="12"/>
  <c r="CM37" i="12" s="1"/>
  <c r="CN20" i="10"/>
  <c r="CN109" i="8" l="1"/>
  <c r="CM46" i="12"/>
  <c r="CM48" i="12" s="1"/>
  <c r="CM50" i="12" s="1"/>
  <c r="CM46" i="11" s="1"/>
  <c r="CM48" i="11" s="1"/>
  <c r="CM26" i="13"/>
  <c r="CM58" i="12"/>
  <c r="CN120" i="8"/>
  <c r="CN121" i="8" s="1"/>
  <c r="CN124" i="8" s="1"/>
  <c r="CN38" i="11" s="1"/>
  <c r="CN16" i="12"/>
  <c r="CN138" i="8"/>
  <c r="CN21" i="10" s="1"/>
  <c r="CN40" i="11" s="1"/>
  <c r="CN130" i="8"/>
  <c r="CN23" i="10" l="1"/>
  <c r="CM29" i="12"/>
  <c r="CM31" i="12" s="1"/>
  <c r="CN25" i="12" s="1"/>
  <c r="CM30" i="10"/>
  <c r="CM39" i="12"/>
  <c r="CM41" i="12" s="1"/>
  <c r="CN35" i="12" s="1"/>
  <c r="CM70" i="12"/>
  <c r="CM71" i="12" s="1"/>
  <c r="CN11" i="9" l="1"/>
  <c r="CM19" i="14"/>
  <c r="CM21" i="14" s="1"/>
  <c r="CN69" i="12"/>
  <c r="CM27" i="13"/>
  <c r="CM28" i="13" s="1"/>
  <c r="CM32" i="10"/>
  <c r="CM64" i="12" s="1"/>
  <c r="CM65" i="12" s="1"/>
  <c r="CM33" i="14" l="1"/>
  <c r="CM36" i="14" s="1"/>
  <c r="CM39" i="14" s="1"/>
  <c r="CM41" i="14" s="1"/>
  <c r="CN63" i="12"/>
  <c r="CM36" i="1"/>
  <c r="CM78" i="13"/>
  <c r="CM77" i="13"/>
  <c r="CN16" i="9"/>
  <c r="CN21" i="9"/>
  <c r="CN17" i="9"/>
  <c r="CN22" i="9" s="1"/>
  <c r="CN18" i="9" l="1"/>
  <c r="CO15" i="9" s="1"/>
  <c r="CM45" i="1"/>
  <c r="CM38" i="1"/>
  <c r="CN23" i="9"/>
  <c r="CN27" i="9" s="1"/>
  <c r="CN25" i="10" s="1"/>
  <c r="CN12" i="11" s="1"/>
  <c r="CN15" i="11" s="1"/>
  <c r="CN21" i="11" s="1"/>
  <c r="CN26" i="11" s="1"/>
  <c r="CN32" i="11" s="1"/>
  <c r="CN17" i="13" l="1"/>
  <c r="CN19" i="13" s="1"/>
  <c r="CN64" i="13" s="1"/>
  <c r="CN27" i="7"/>
  <c r="CN31" i="7" s="1"/>
  <c r="CN34" i="7" s="1"/>
  <c r="CN84" i="1"/>
  <c r="CN27" i="10"/>
  <c r="CN28" i="10" l="1"/>
  <c r="CN26" i="12"/>
  <c r="CN27" i="12" s="1"/>
  <c r="CN15" i="12"/>
  <c r="CN19" i="12" s="1"/>
  <c r="CN13" i="15"/>
  <c r="CN23" i="15" s="1"/>
  <c r="CN25" i="15" s="1"/>
  <c r="CN21" i="12" l="1"/>
  <c r="CN62" i="18"/>
  <c r="CN94" i="8"/>
  <c r="CN95" i="8" s="1"/>
  <c r="CN34" i="11" s="1"/>
  <c r="CN36" i="11" s="1"/>
  <c r="CN45" i="12"/>
  <c r="CN88" i="8" l="1"/>
  <c r="CN128" i="8"/>
  <c r="CN125" i="8" s="1"/>
  <c r="CN39" i="11" s="1"/>
  <c r="CN42" i="11" s="1"/>
  <c r="CN44" i="11" l="1"/>
  <c r="CN89" i="8"/>
  <c r="CN45" i="13" s="1"/>
  <c r="CN60" i="18"/>
  <c r="CN126" i="8"/>
  <c r="CO85" i="8" l="1"/>
  <c r="CN27" i="14"/>
  <c r="CN80" i="1" s="1"/>
  <c r="CO87" i="8"/>
  <c r="CO103" i="8"/>
  <c r="CO108" i="8" s="1"/>
  <c r="CN28" i="14"/>
  <c r="CO123" i="8"/>
  <c r="CO30" i="11" l="1"/>
  <c r="CO61" i="18"/>
  <c r="CO107" i="8"/>
  <c r="CO29" i="11" s="1"/>
  <c r="CO59" i="18"/>
  <c r="CN26" i="13"/>
  <c r="CN58" i="12"/>
  <c r="CO20" i="10"/>
  <c r="CN36" i="12"/>
  <c r="CN37" i="12" s="1"/>
  <c r="CO130" i="8"/>
  <c r="CO138" i="8"/>
  <c r="CO21" i="10" s="1"/>
  <c r="CO40" i="11" s="1"/>
  <c r="CO109" i="8" l="1"/>
  <c r="CO120" i="8" s="1"/>
  <c r="CO121" i="8" s="1"/>
  <c r="CO124" i="8" s="1"/>
  <c r="CO38" i="11" s="1"/>
  <c r="CN46" i="12"/>
  <c r="CN48" i="12" s="1"/>
  <c r="CN50" i="12" s="1"/>
  <c r="CN46" i="11" s="1"/>
  <c r="CN48" i="11" s="1"/>
  <c r="CO23" i="10"/>
  <c r="CO16" i="12" l="1"/>
  <c r="CO11" i="9"/>
  <c r="CN70" i="12"/>
  <c r="CN71" i="12" s="1"/>
  <c r="CN30" i="10"/>
  <c r="CN29" i="12"/>
  <c r="CN31" i="12" s="1"/>
  <c r="CO25" i="12" s="1"/>
  <c r="CN39" i="12"/>
  <c r="CN41" i="12" s="1"/>
  <c r="CO35" i="12" s="1"/>
  <c r="CN19" i="14" l="1"/>
  <c r="CN21" i="14" s="1"/>
  <c r="CO69" i="12"/>
  <c r="CN27" i="13"/>
  <c r="CN28" i="13" s="1"/>
  <c r="CN32" i="10"/>
  <c r="CN64" i="12" s="1"/>
  <c r="CN65" i="12" s="1"/>
  <c r="CO21" i="9"/>
  <c r="CO17" i="9"/>
  <c r="CO22" i="9" s="1"/>
  <c r="CO16" i="9"/>
  <c r="CO18" i="9" l="1"/>
  <c r="CP15" i="9" s="1"/>
  <c r="CN33" i="14"/>
  <c r="CN36" i="14" s="1"/>
  <c r="CN39" i="14" s="1"/>
  <c r="CN41" i="14" s="1"/>
  <c r="CO63" i="12"/>
  <c r="CO23" i="9"/>
  <c r="CO27" i="9" s="1"/>
  <c r="CO25" i="10" s="1"/>
  <c r="CO12" i="11" s="1"/>
  <c r="CO15" i="11" s="1"/>
  <c r="CO21" i="11" s="1"/>
  <c r="CO26" i="11" s="1"/>
  <c r="CO32" i="11" s="1"/>
  <c r="CN36" i="1"/>
  <c r="CN78" i="13"/>
  <c r="CN77" i="13"/>
  <c r="CO17" i="13" l="1"/>
  <c r="CO19" i="13" s="1"/>
  <c r="CO64" i="13" s="1"/>
  <c r="CO84" i="1"/>
  <c r="CO27" i="7"/>
  <c r="CO31" i="7" s="1"/>
  <c r="CO34" i="7" s="1"/>
  <c r="CO27" i="10"/>
  <c r="CN38" i="1"/>
  <c r="CN45" i="1"/>
  <c r="CO28" i="10" l="1"/>
  <c r="CO26" i="12"/>
  <c r="CO27" i="12" s="1"/>
  <c r="CO45" i="12" s="1"/>
  <c r="CO15" i="12"/>
  <c r="CO19" i="12" s="1"/>
  <c r="CO13" i="15"/>
  <c r="CO23" i="15" s="1"/>
  <c r="CO25" i="15" s="1"/>
  <c r="CO21" i="12" l="1"/>
  <c r="CO62" i="18"/>
  <c r="CO94" i="8"/>
  <c r="CO95" i="8" s="1"/>
  <c r="CO34" i="11" s="1"/>
  <c r="CO36" i="11" s="1"/>
  <c r="CO88" i="8" l="1"/>
  <c r="CO128" i="8"/>
  <c r="CO125" i="8" s="1"/>
  <c r="CO39" i="11" s="1"/>
  <c r="CO42" i="11" s="1"/>
  <c r="CO44" i="11" l="1"/>
  <c r="CO89" i="8"/>
  <c r="CO60" i="18"/>
  <c r="CO126" i="8"/>
  <c r="CO27" i="14"/>
  <c r="CO80" i="1" s="1"/>
  <c r="CO45" i="13"/>
  <c r="CP85" i="8"/>
  <c r="CP87" i="8" l="1"/>
  <c r="CP103" i="8"/>
  <c r="CP108" i="8" s="1"/>
  <c r="CO28" i="14"/>
  <c r="CP123" i="8"/>
  <c r="CP30" i="11" l="1"/>
  <c r="CP61" i="18"/>
  <c r="CP107" i="8"/>
  <c r="CP29" i="11" s="1"/>
  <c r="CP59" i="18"/>
  <c r="CO26" i="13"/>
  <c r="CO58" i="12"/>
  <c r="CO36" i="12"/>
  <c r="CO37" i="12" s="1"/>
  <c r="CP138" i="8"/>
  <c r="CP21" i="10" s="1"/>
  <c r="CP40" i="11" s="1"/>
  <c r="CP130" i="8"/>
  <c r="CP20" i="10"/>
  <c r="CP109" i="8" l="1"/>
  <c r="CP120" i="8" s="1"/>
  <c r="CP121" i="8" s="1"/>
  <c r="CP124" i="8" s="1"/>
  <c r="CP38" i="11" s="1"/>
  <c r="CO46" i="12"/>
  <c r="CO48" i="12" s="1"/>
  <c r="CO50" i="12" s="1"/>
  <c r="CO46" i="11" s="1"/>
  <c r="CO48" i="11" s="1"/>
  <c r="CP23" i="10"/>
  <c r="CP11" i="9" s="1"/>
  <c r="CP16" i="12" l="1"/>
  <c r="CP17" i="9"/>
  <c r="CP22" i="9" s="1"/>
  <c r="CP16" i="9"/>
  <c r="CP21" i="9"/>
  <c r="CO29" i="12"/>
  <c r="CO31" i="12" s="1"/>
  <c r="CP25" i="12" s="1"/>
  <c r="CO30" i="10"/>
  <c r="CO39" i="12"/>
  <c r="CO41" i="12" s="1"/>
  <c r="CP35" i="12" s="1"/>
  <c r="CO70" i="12"/>
  <c r="CO71" i="12" s="1"/>
  <c r="CO19" i="14" s="1"/>
  <c r="CO21" i="14" s="1"/>
  <c r="CP18" i="9" l="1"/>
  <c r="CQ15" i="9" s="1"/>
  <c r="CO27" i="13"/>
  <c r="CO28" i="13" s="1"/>
  <c r="CO32" i="10"/>
  <c r="CO64" i="12" s="1"/>
  <c r="CO65" i="12" s="1"/>
  <c r="CP69" i="12"/>
  <c r="CP23" i="9"/>
  <c r="CP27" i="9" s="1"/>
  <c r="CP25" i="10" s="1"/>
  <c r="CP12" i="11" s="1"/>
  <c r="CP15" i="11" s="1"/>
  <c r="CP21" i="11" s="1"/>
  <c r="CP26" i="11" s="1"/>
  <c r="CP32" i="11" s="1"/>
  <c r="CP17" i="13" l="1"/>
  <c r="CP19" i="13" s="1"/>
  <c r="CP64" i="13" s="1"/>
  <c r="CP27" i="7"/>
  <c r="CP31" i="7" s="1"/>
  <c r="CP27" i="10"/>
  <c r="CP63" i="12"/>
  <c r="CO33" i="14"/>
  <c r="CO36" i="14" s="1"/>
  <c r="CO39" i="14" s="1"/>
  <c r="CO41" i="14" s="1"/>
  <c r="CO36" i="1"/>
  <c r="CO78" i="13"/>
  <c r="CO77" i="13"/>
  <c r="CP34" i="7"/>
  <c r="CO45" i="1" l="1"/>
  <c r="CO38" i="1"/>
  <c r="CP26" i="12"/>
  <c r="CP27" i="12" s="1"/>
  <c r="CP45" i="12" s="1"/>
  <c r="CP28" i="10"/>
  <c r="CP84" i="1"/>
  <c r="CP13" i="15" l="1"/>
  <c r="CP15" i="12"/>
  <c r="CP94" i="8" l="1"/>
  <c r="CP95" i="8" s="1"/>
  <c r="CP34" i="11" s="1"/>
  <c r="CP36" i="11" s="1"/>
  <c r="CP19" i="12"/>
  <c r="CP62" i="18" s="1"/>
  <c r="CP23" i="15"/>
  <c r="CP25" i="15" l="1"/>
  <c r="CP21" i="12"/>
  <c r="CP88" i="8"/>
  <c r="CP60" i="18" s="1"/>
  <c r="CP89" i="8" l="1"/>
  <c r="CP128" i="8"/>
  <c r="CP125" i="8" s="1"/>
  <c r="CP39" i="11" s="1"/>
  <c r="CP42" i="11" s="1"/>
  <c r="CP44" i="11" l="1"/>
  <c r="CP126" i="8"/>
  <c r="CP27" i="14"/>
  <c r="CP80" i="1" s="1"/>
  <c r="CP45" i="13"/>
  <c r="CQ85" i="8"/>
  <c r="CQ123" i="8" l="1"/>
  <c r="CP28" i="14"/>
  <c r="CQ87" i="8"/>
  <c r="CQ59" i="18" s="1"/>
  <c r="CQ103" i="8"/>
  <c r="CQ130" i="8" l="1"/>
  <c r="CQ138" i="8"/>
  <c r="CQ108" i="8"/>
  <c r="CP36" i="12"/>
  <c r="CP26" i="13"/>
  <c r="CP58" i="12"/>
  <c r="CQ107" i="8"/>
  <c r="CQ29" i="11" s="1"/>
  <c r="CQ30" i="11" l="1"/>
  <c r="CQ61" i="18"/>
  <c r="CQ21" i="10"/>
  <c r="CQ40" i="11" s="1"/>
  <c r="CQ20" i="10"/>
  <c r="CP37" i="12"/>
  <c r="CP46" i="12" s="1"/>
  <c r="CP48" i="12" s="1"/>
  <c r="CQ109" i="8"/>
  <c r="N21" i="10" l="1"/>
  <c r="N40" i="11"/>
  <c r="CQ16" i="12"/>
  <c r="CQ120" i="8"/>
  <c r="CP50" i="12"/>
  <c r="CP46" i="11" s="1"/>
  <c r="CP48" i="11" s="1"/>
  <c r="CQ23" i="10"/>
  <c r="N20" i="10"/>
  <c r="CP39" i="12" l="1"/>
  <c r="CP30" i="10"/>
  <c r="CP29" i="12"/>
  <c r="CQ121" i="8"/>
  <c r="CQ11" i="9"/>
  <c r="N23" i="10"/>
  <c r="CQ124" i="8" l="1"/>
  <c r="CQ38" i="11" s="1"/>
  <c r="CQ21" i="9"/>
  <c r="CQ17" i="9"/>
  <c r="CQ16" i="9"/>
  <c r="N11" i="9"/>
  <c r="CP31" i="12"/>
  <c r="CQ25" i="12" s="1"/>
  <c r="CP27" i="13"/>
  <c r="CP32" i="10"/>
  <c r="CP41" i="12"/>
  <c r="CQ35" i="12" s="1"/>
  <c r="N16" i="9" l="1"/>
  <c r="CQ18" i="9"/>
  <c r="CP70" i="12"/>
  <c r="N21" i="9"/>
  <c r="CQ22" i="9"/>
  <c r="N22" i="9" s="1"/>
  <c r="N17" i="9"/>
  <c r="CP64" i="12"/>
  <c r="CP28" i="13"/>
  <c r="CP36" i="1" s="1"/>
  <c r="CP45" i="1" l="1"/>
  <c r="CP38" i="1"/>
  <c r="CQ23" i="9"/>
  <c r="CQ27" i="9" s="1"/>
  <c r="CP71" i="12"/>
  <c r="CP65" i="12"/>
  <c r="CP78" i="13"/>
  <c r="CP77" i="13"/>
  <c r="N23" i="9" l="1"/>
  <c r="CQ63" i="12"/>
  <c r="CP33" i="14"/>
  <c r="CP36" i="14" s="1"/>
  <c r="CP19" i="14"/>
  <c r="CP21" i="14" s="1"/>
  <c r="CQ69" i="12"/>
  <c r="CQ25" i="10"/>
  <c r="CQ12" i="11" s="1"/>
  <c r="CQ15" i="11" s="1"/>
  <c r="CQ21" i="11" s="1"/>
  <c r="CQ26" i="11" s="1"/>
  <c r="CQ32" i="11" s="1"/>
  <c r="N27" i="9"/>
  <c r="CP39" i="14" l="1"/>
  <c r="CP41" i="14" s="1"/>
  <c r="CQ17" i="13"/>
  <c r="CQ27" i="7"/>
  <c r="N25" i="10"/>
  <c r="CQ27" i="10"/>
  <c r="CQ19" i="13" l="1"/>
  <c r="N17" i="13"/>
  <c r="CQ26" i="12"/>
  <c r="CQ28" i="10"/>
  <c r="N27" i="10"/>
  <c r="CQ31" i="7"/>
  <c r="N27" i="7"/>
  <c r="N12" i="11"/>
  <c r="N26" i="12" l="1"/>
  <c r="CQ27" i="12"/>
  <c r="CQ45" i="12" s="1"/>
  <c r="CQ34" i="7"/>
  <c r="J34" i="7" s="1"/>
  <c r="J36" i="7" s="1"/>
  <c r="K160" i="3" s="1"/>
  <c r="N31" i="7"/>
  <c r="N15" i="11"/>
  <c r="CQ64" i="13"/>
  <c r="N19" i="13"/>
  <c r="J21" i="13"/>
  <c r="E3" i="3" s="1"/>
  <c r="I30" i="17" s="1"/>
  <c r="CQ84" i="1" l="1"/>
  <c r="J84" i="1" s="1"/>
  <c r="I23" i="17" s="1"/>
  <c r="N21" i="11"/>
  <c r="CQ13" i="15" l="1"/>
  <c r="CQ15" i="12"/>
  <c r="N26" i="11"/>
  <c r="CQ19" i="12" l="1"/>
  <c r="CQ62" i="18" s="1"/>
  <c r="N15" i="12"/>
  <c r="CQ94" i="8"/>
  <c r="CQ95" i="8" s="1"/>
  <c r="CQ34" i="11" s="1"/>
  <c r="CQ36" i="11" s="1"/>
  <c r="CQ23" i="15"/>
  <c r="N13" i="15"/>
  <c r="CQ88" i="8" l="1"/>
  <c r="CQ60" i="18" s="1"/>
  <c r="CQ25" i="15"/>
  <c r="J25" i="15" s="1"/>
  <c r="Y22" i="17" s="1"/>
  <c r="J23" i="15"/>
  <c r="CQ21" i="12"/>
  <c r="J19" i="12"/>
  <c r="J46" i="8" l="1"/>
  <c r="Y21" i="17" s="1"/>
  <c r="K163" i="3"/>
  <c r="CQ128" i="8"/>
  <c r="CQ89" i="8"/>
  <c r="CR85" i="8" s="1"/>
  <c r="CR87" i="8" l="1"/>
  <c r="CR59" i="18" s="1"/>
  <c r="CR103" i="8"/>
  <c r="CQ125" i="8"/>
  <c r="CQ39" i="11" s="1"/>
  <c r="CQ42" i="11" s="1"/>
  <c r="CQ45" i="13"/>
  <c r="J47" i="13" s="1"/>
  <c r="J56" i="13" s="1"/>
  <c r="I40" i="17" s="1"/>
  <c r="CQ27" i="14"/>
  <c r="CQ80" i="1" s="1"/>
  <c r="J80" i="1" s="1"/>
  <c r="I24" i="17" s="1"/>
  <c r="CQ44" i="11" l="1"/>
  <c r="CR108" i="8"/>
  <c r="CR107" i="8"/>
  <c r="CR29" i="11" s="1"/>
  <c r="CQ126" i="8"/>
  <c r="AG61" i="13"/>
  <c r="AG62" i="13" s="1"/>
  <c r="AG65" i="13" s="1"/>
  <c r="BU61" i="13"/>
  <c r="BU62" i="13" s="1"/>
  <c r="BU65" i="13" s="1"/>
  <c r="CL61" i="13"/>
  <c r="CL62" i="13" s="1"/>
  <c r="CL65" i="13" s="1"/>
  <c r="BM61" i="13"/>
  <c r="BM62" i="13" s="1"/>
  <c r="BM65" i="13" s="1"/>
  <c r="Z61" i="13"/>
  <c r="Z62" i="13" s="1"/>
  <c r="Z65" i="13" s="1"/>
  <c r="AL61" i="13"/>
  <c r="AL62" i="13" s="1"/>
  <c r="AL65" i="13" s="1"/>
  <c r="BP61" i="13"/>
  <c r="BP62" i="13" s="1"/>
  <c r="BP65" i="13" s="1"/>
  <c r="AN61" i="13"/>
  <c r="AN62" i="13" s="1"/>
  <c r="AN65" i="13" s="1"/>
  <c r="BN61" i="13"/>
  <c r="BN62" i="13" s="1"/>
  <c r="BN65" i="13" s="1"/>
  <c r="CF61" i="13"/>
  <c r="CF62" i="13" s="1"/>
  <c r="CF65" i="13" s="1"/>
  <c r="AE61" i="13"/>
  <c r="AE62" i="13" s="1"/>
  <c r="AE65" i="13" s="1"/>
  <c r="BF61" i="13"/>
  <c r="BF62" i="13" s="1"/>
  <c r="BF65" i="13" s="1"/>
  <c r="T61" i="13"/>
  <c r="T62" i="13" s="1"/>
  <c r="T65" i="13" s="1"/>
  <c r="BZ61" i="13"/>
  <c r="BZ62" i="13" s="1"/>
  <c r="BZ65" i="13" s="1"/>
  <c r="BT61" i="13"/>
  <c r="BT62" i="13" s="1"/>
  <c r="BT65" i="13" s="1"/>
  <c r="BO61" i="13"/>
  <c r="BO62" i="13" s="1"/>
  <c r="BO65" i="13" s="1"/>
  <c r="AZ61" i="13"/>
  <c r="AZ62" i="13" s="1"/>
  <c r="AZ65" i="13" s="1"/>
  <c r="AB61" i="13"/>
  <c r="AB62" i="13" s="1"/>
  <c r="AB65" i="13" s="1"/>
  <c r="AS61" i="13"/>
  <c r="AS62" i="13" s="1"/>
  <c r="AS65" i="13" s="1"/>
  <c r="AU61" i="13"/>
  <c r="AU62" i="13" s="1"/>
  <c r="AU65" i="13" s="1"/>
  <c r="CP61" i="13"/>
  <c r="CP62" i="13" s="1"/>
  <c r="CP65" i="13" s="1"/>
  <c r="BG61" i="13"/>
  <c r="BG62" i="13" s="1"/>
  <c r="BG65" i="13" s="1"/>
  <c r="AJ61" i="13"/>
  <c r="AJ62" i="13" s="1"/>
  <c r="AJ65" i="13" s="1"/>
  <c r="BH61" i="13"/>
  <c r="BH62" i="13" s="1"/>
  <c r="BH65" i="13" s="1"/>
  <c r="BK61" i="13"/>
  <c r="BK62" i="13" s="1"/>
  <c r="BK65" i="13" s="1"/>
  <c r="BB61" i="13"/>
  <c r="BB62" i="13" s="1"/>
  <c r="BB65" i="13" s="1"/>
  <c r="W61" i="13"/>
  <c r="W62" i="13" s="1"/>
  <c r="W65" i="13" s="1"/>
  <c r="BJ61" i="13"/>
  <c r="BJ62" i="13" s="1"/>
  <c r="BJ65" i="13" s="1"/>
  <c r="BE61" i="13"/>
  <c r="BE62" i="13" s="1"/>
  <c r="BE65" i="13" s="1"/>
  <c r="BY61" i="13"/>
  <c r="BY62" i="13" s="1"/>
  <c r="BY65" i="13" s="1"/>
  <c r="AO61" i="13"/>
  <c r="AO62" i="13" s="1"/>
  <c r="AO65" i="13" s="1"/>
  <c r="BW61" i="13"/>
  <c r="BW62" i="13" s="1"/>
  <c r="BW65" i="13" s="1"/>
  <c r="AR61" i="13"/>
  <c r="AR62" i="13" s="1"/>
  <c r="AR65" i="13" s="1"/>
  <c r="CG61" i="13"/>
  <c r="CG62" i="13" s="1"/>
  <c r="CG65" i="13" s="1"/>
  <c r="AY61" i="13"/>
  <c r="AY62" i="13" s="1"/>
  <c r="AY65" i="13" s="1"/>
  <c r="CB61" i="13"/>
  <c r="CB62" i="13" s="1"/>
  <c r="CB65" i="13" s="1"/>
  <c r="X61" i="13"/>
  <c r="X62" i="13" s="1"/>
  <c r="X65" i="13" s="1"/>
  <c r="AW61" i="13"/>
  <c r="AW62" i="13" s="1"/>
  <c r="AW65" i="13" s="1"/>
  <c r="S61" i="13"/>
  <c r="S62" i="13" s="1"/>
  <c r="S65" i="13" s="1"/>
  <c r="CN61" i="13"/>
  <c r="CN62" i="13" s="1"/>
  <c r="CN65" i="13" s="1"/>
  <c r="BD61" i="13"/>
  <c r="BD62" i="13" s="1"/>
  <c r="BD65" i="13" s="1"/>
  <c r="CA61" i="13"/>
  <c r="CA62" i="13" s="1"/>
  <c r="CA65" i="13" s="1"/>
  <c r="BX61" i="13"/>
  <c r="BX62" i="13" s="1"/>
  <c r="BX65" i="13" s="1"/>
  <c r="BV61" i="13"/>
  <c r="BV62" i="13" s="1"/>
  <c r="BV65" i="13" s="1"/>
  <c r="AP61" i="13"/>
  <c r="AP62" i="13" s="1"/>
  <c r="AP65" i="13" s="1"/>
  <c r="BC61" i="13"/>
  <c r="BC62" i="13" s="1"/>
  <c r="BC65" i="13" s="1"/>
  <c r="V61" i="13"/>
  <c r="V62" i="13" s="1"/>
  <c r="V65" i="13" s="1"/>
  <c r="BI61" i="13"/>
  <c r="BI62" i="13" s="1"/>
  <c r="BI65" i="13" s="1"/>
  <c r="AT61" i="13"/>
  <c r="AT62" i="13" s="1"/>
  <c r="AT65" i="13" s="1"/>
  <c r="R61" i="13"/>
  <c r="R62" i="13" s="1"/>
  <c r="R65" i="13" s="1"/>
  <c r="CE61" i="13"/>
  <c r="CE62" i="13" s="1"/>
  <c r="CE65" i="13" s="1"/>
  <c r="AC61" i="13"/>
  <c r="AC62" i="13" s="1"/>
  <c r="AC65" i="13" s="1"/>
  <c r="AM61" i="13"/>
  <c r="AM62" i="13" s="1"/>
  <c r="AM65" i="13" s="1"/>
  <c r="AI61" i="13"/>
  <c r="AI62" i="13" s="1"/>
  <c r="AI65" i="13" s="1"/>
  <c r="AA61" i="13"/>
  <c r="AA62" i="13" s="1"/>
  <c r="AA65" i="13" s="1"/>
  <c r="BS61" i="13"/>
  <c r="BS62" i="13" s="1"/>
  <c r="BS65" i="13" s="1"/>
  <c r="AK61" i="13"/>
  <c r="AK62" i="13" s="1"/>
  <c r="AK65" i="13" s="1"/>
  <c r="AX61" i="13"/>
  <c r="AX62" i="13" s="1"/>
  <c r="AX65" i="13" s="1"/>
  <c r="CQ61" i="13"/>
  <c r="CQ62" i="13" s="1"/>
  <c r="CQ65" i="13" s="1"/>
  <c r="P61" i="13"/>
  <c r="P62" i="13" s="1"/>
  <c r="P65" i="13" s="1"/>
  <c r="Q61" i="13"/>
  <c r="Q62" i="13" s="1"/>
  <c r="Q65" i="13" s="1"/>
  <c r="CH61" i="13"/>
  <c r="CH62" i="13" s="1"/>
  <c r="CH65" i="13" s="1"/>
  <c r="AH61" i="13"/>
  <c r="AH62" i="13" s="1"/>
  <c r="AH65" i="13" s="1"/>
  <c r="AD61" i="13"/>
  <c r="AD62" i="13" s="1"/>
  <c r="AD65" i="13" s="1"/>
  <c r="CC61" i="13"/>
  <c r="CC62" i="13" s="1"/>
  <c r="CC65" i="13" s="1"/>
  <c r="AQ61" i="13"/>
  <c r="AQ62" i="13" s="1"/>
  <c r="AQ65" i="13" s="1"/>
  <c r="CO61" i="13"/>
  <c r="CO62" i="13" s="1"/>
  <c r="CO65" i="13" s="1"/>
  <c r="BQ61" i="13"/>
  <c r="BQ62" i="13" s="1"/>
  <c r="BQ65" i="13" s="1"/>
  <c r="CD61" i="13"/>
  <c r="CD62" i="13" s="1"/>
  <c r="CD65" i="13" s="1"/>
  <c r="CM61" i="13"/>
  <c r="CM62" i="13" s="1"/>
  <c r="CM65" i="13" s="1"/>
  <c r="CJ61" i="13"/>
  <c r="CJ62" i="13" s="1"/>
  <c r="CJ65" i="13" s="1"/>
  <c r="BL61" i="13"/>
  <c r="BL62" i="13" s="1"/>
  <c r="BL65" i="13" s="1"/>
  <c r="CK61" i="13"/>
  <c r="CK62" i="13" s="1"/>
  <c r="CK65" i="13" s="1"/>
  <c r="U61" i="13"/>
  <c r="U62" i="13" s="1"/>
  <c r="U65" i="13" s="1"/>
  <c r="BR61" i="13"/>
  <c r="BR62" i="13" s="1"/>
  <c r="BR65" i="13" s="1"/>
  <c r="CI61" i="13"/>
  <c r="CI62" i="13" s="1"/>
  <c r="CI65" i="13" s="1"/>
  <c r="AV61" i="13"/>
  <c r="AV62" i="13" s="1"/>
  <c r="AV65" i="13" s="1"/>
  <c r="AF61" i="13"/>
  <c r="AF62" i="13" s="1"/>
  <c r="AF65" i="13" s="1"/>
  <c r="BA61" i="13"/>
  <c r="BA62" i="13" s="1"/>
  <c r="BA65" i="13" s="1"/>
  <c r="Y61" i="13"/>
  <c r="Y62" i="13" s="1"/>
  <c r="Y65" i="13" s="1"/>
  <c r="CR30" i="11" l="1"/>
  <c r="CR61" i="18"/>
  <c r="CR109" i="8"/>
  <c r="CQ28" i="14"/>
  <c r="CR123" i="8"/>
  <c r="J65" i="13"/>
  <c r="I33" i="17" s="1"/>
  <c r="CR32" i="11" l="1"/>
  <c r="CR16" i="12"/>
  <c r="CR120" i="8"/>
  <c r="CR130" i="8"/>
  <c r="CR138" i="8"/>
  <c r="CR94" i="8" l="1"/>
  <c r="CR95" i="8" s="1"/>
  <c r="CR121" i="8"/>
  <c r="CR19" i="12"/>
  <c r="CQ58" i="12"/>
  <c r="CQ26" i="13"/>
  <c r="N26" i="13" s="1"/>
  <c r="CQ36" i="12"/>
  <c r="CR21" i="12" l="1"/>
  <c r="CR62" i="18"/>
  <c r="CR34" i="11"/>
  <c r="CR88" i="8"/>
  <c r="CR124" i="8"/>
  <c r="CR38" i="11" s="1"/>
  <c r="CQ37" i="12"/>
  <c r="CQ46" i="12" s="1"/>
  <c r="CQ48" i="12" s="1"/>
  <c r="CQ50" i="12" s="1"/>
  <c r="CQ46" i="11" s="1"/>
  <c r="CQ48" i="11" s="1"/>
  <c r="CR60" i="18" l="1"/>
  <c r="CR89" i="8"/>
  <c r="CS85" i="8" s="1"/>
  <c r="CR36" i="11"/>
  <c r="CQ30" i="10"/>
  <c r="CQ27" i="13" s="1"/>
  <c r="CQ29" i="12"/>
  <c r="CQ31" i="12" s="1"/>
  <c r="CR25" i="12" s="1"/>
  <c r="CR27" i="12" s="1"/>
  <c r="CR45" i="12" s="1"/>
  <c r="CQ39" i="12"/>
  <c r="CQ41" i="12" s="1"/>
  <c r="CR35" i="12" s="1"/>
  <c r="CR128" i="8" l="1"/>
  <c r="CS103" i="8"/>
  <c r="CS108" i="8" s="1"/>
  <c r="CS87" i="8"/>
  <c r="CQ32" i="10"/>
  <c r="CQ64" i="12" s="1"/>
  <c r="N30" i="10"/>
  <c r="CQ70" i="12"/>
  <c r="N27" i="13"/>
  <c r="CQ28" i="13"/>
  <c r="CQ36" i="1" s="1"/>
  <c r="CS30" i="11" l="1"/>
  <c r="CS61" i="18"/>
  <c r="CR125" i="8"/>
  <c r="CS59" i="18"/>
  <c r="CS107" i="8"/>
  <c r="N32" i="10"/>
  <c r="CQ45" i="1"/>
  <c r="N45" i="1" s="1"/>
  <c r="CQ38" i="1"/>
  <c r="N36" i="1"/>
  <c r="CQ77" i="13"/>
  <c r="CQ78" i="13"/>
  <c r="J78" i="13" s="1"/>
  <c r="I34" i="17" s="1"/>
  <c r="J30" i="13"/>
  <c r="E4" i="3" s="1"/>
  <c r="I31" i="17" s="1"/>
  <c r="N28" i="13"/>
  <c r="N64" i="12"/>
  <c r="CQ65" i="12"/>
  <c r="CQ71" i="12"/>
  <c r="CS29" i="11" l="1"/>
  <c r="CS109" i="8"/>
  <c r="CR39" i="11"/>
  <c r="CR126" i="8"/>
  <c r="CS123" i="8" s="1"/>
  <c r="CQ40" i="1"/>
  <c r="CQ79" i="1" s="1"/>
  <c r="CQ81" i="1" s="1"/>
  <c r="CQ83" i="1" s="1"/>
  <c r="CQ85" i="1" s="1"/>
  <c r="S40" i="1"/>
  <c r="S79" i="1" s="1"/>
  <c r="S81" i="1" s="1"/>
  <c r="S83" i="1" s="1"/>
  <c r="S85" i="1" s="1"/>
  <c r="R40" i="1"/>
  <c r="R79" i="1" s="1"/>
  <c r="R81" i="1" s="1"/>
  <c r="R83" i="1" s="1"/>
  <c r="R85" i="1" s="1"/>
  <c r="Q40" i="1"/>
  <c r="Q79" i="1" s="1"/>
  <c r="Q81" i="1" s="1"/>
  <c r="Q83" i="1" s="1"/>
  <c r="Q85" i="1" s="1"/>
  <c r="P40" i="1"/>
  <c r="N38" i="1"/>
  <c r="T40" i="1"/>
  <c r="T79" i="1" s="1"/>
  <c r="T81" i="1" s="1"/>
  <c r="T83" i="1" s="1"/>
  <c r="T85" i="1" s="1"/>
  <c r="U40" i="1"/>
  <c r="U79" i="1" s="1"/>
  <c r="U81" i="1" s="1"/>
  <c r="U83" i="1" s="1"/>
  <c r="U85" i="1" s="1"/>
  <c r="V40" i="1"/>
  <c r="V79" i="1" s="1"/>
  <c r="V81" i="1" s="1"/>
  <c r="V83" i="1" s="1"/>
  <c r="V85" i="1" s="1"/>
  <c r="W40" i="1"/>
  <c r="W79" i="1" s="1"/>
  <c r="W81" i="1" s="1"/>
  <c r="W83" i="1" s="1"/>
  <c r="W85" i="1" s="1"/>
  <c r="X40" i="1"/>
  <c r="X79" i="1" s="1"/>
  <c r="X81" i="1" s="1"/>
  <c r="X83" i="1" s="1"/>
  <c r="X85" i="1" s="1"/>
  <c r="Y40" i="1"/>
  <c r="Y79" i="1" s="1"/>
  <c r="Y81" i="1" s="1"/>
  <c r="Y83" i="1" s="1"/>
  <c r="Y85" i="1" s="1"/>
  <c r="Z40" i="1"/>
  <c r="Z79" i="1" s="1"/>
  <c r="Z81" i="1" s="1"/>
  <c r="Z83" i="1" s="1"/>
  <c r="Z85" i="1" s="1"/>
  <c r="AA40" i="1"/>
  <c r="AA79" i="1" s="1"/>
  <c r="AA81" i="1" s="1"/>
  <c r="AA83" i="1" s="1"/>
  <c r="AA85" i="1" s="1"/>
  <c r="AB40" i="1"/>
  <c r="AB79" i="1" s="1"/>
  <c r="AB81" i="1" s="1"/>
  <c r="AB83" i="1" s="1"/>
  <c r="AB85" i="1" s="1"/>
  <c r="AC40" i="1"/>
  <c r="AC79" i="1" s="1"/>
  <c r="AC81" i="1" s="1"/>
  <c r="AC83" i="1" s="1"/>
  <c r="AC85" i="1" s="1"/>
  <c r="AD40" i="1"/>
  <c r="AD79" i="1" s="1"/>
  <c r="AD81" i="1" s="1"/>
  <c r="AD83" i="1" s="1"/>
  <c r="AD85" i="1" s="1"/>
  <c r="AE40" i="1"/>
  <c r="AE79" i="1" s="1"/>
  <c r="AE81" i="1" s="1"/>
  <c r="AE83" i="1" s="1"/>
  <c r="AE85" i="1" s="1"/>
  <c r="AF40" i="1"/>
  <c r="AF79" i="1" s="1"/>
  <c r="AF81" i="1" s="1"/>
  <c r="AF83" i="1" s="1"/>
  <c r="AF85" i="1" s="1"/>
  <c r="AG40" i="1"/>
  <c r="AG79" i="1" s="1"/>
  <c r="AG81" i="1" s="1"/>
  <c r="AG83" i="1" s="1"/>
  <c r="AG85" i="1" s="1"/>
  <c r="AH40" i="1"/>
  <c r="AH79" i="1" s="1"/>
  <c r="AH81" i="1" s="1"/>
  <c r="AH83" i="1" s="1"/>
  <c r="AH85" i="1" s="1"/>
  <c r="AI40" i="1"/>
  <c r="AI79" i="1" s="1"/>
  <c r="AI81" i="1" s="1"/>
  <c r="AI83" i="1" s="1"/>
  <c r="AI85" i="1" s="1"/>
  <c r="AJ40" i="1"/>
  <c r="AJ79" i="1" s="1"/>
  <c r="AJ81" i="1" s="1"/>
  <c r="AJ83" i="1" s="1"/>
  <c r="AJ85" i="1" s="1"/>
  <c r="AK40" i="1"/>
  <c r="AK79" i="1" s="1"/>
  <c r="AK81" i="1" s="1"/>
  <c r="AK83" i="1" s="1"/>
  <c r="AK85" i="1" s="1"/>
  <c r="AL40" i="1"/>
  <c r="AL79" i="1" s="1"/>
  <c r="AL81" i="1" s="1"/>
  <c r="AL83" i="1" s="1"/>
  <c r="AL85" i="1" s="1"/>
  <c r="AM40" i="1"/>
  <c r="AM79" i="1" s="1"/>
  <c r="AM81" i="1" s="1"/>
  <c r="AM83" i="1" s="1"/>
  <c r="AM85" i="1" s="1"/>
  <c r="AN40" i="1"/>
  <c r="AN79" i="1" s="1"/>
  <c r="AN81" i="1" s="1"/>
  <c r="AN83" i="1" s="1"/>
  <c r="AN85" i="1" s="1"/>
  <c r="AO40" i="1"/>
  <c r="AO79" i="1" s="1"/>
  <c r="AO81" i="1" s="1"/>
  <c r="AO83" i="1" s="1"/>
  <c r="AO85" i="1" s="1"/>
  <c r="AP40" i="1"/>
  <c r="AP79" i="1" s="1"/>
  <c r="AP81" i="1" s="1"/>
  <c r="AP83" i="1" s="1"/>
  <c r="AP85" i="1" s="1"/>
  <c r="AQ40" i="1"/>
  <c r="AQ79" i="1" s="1"/>
  <c r="AQ81" i="1" s="1"/>
  <c r="AQ83" i="1" s="1"/>
  <c r="AQ85" i="1" s="1"/>
  <c r="AR40" i="1"/>
  <c r="AR79" i="1" s="1"/>
  <c r="AR81" i="1" s="1"/>
  <c r="AR83" i="1" s="1"/>
  <c r="AR85" i="1" s="1"/>
  <c r="AS40" i="1"/>
  <c r="AS79" i="1" s="1"/>
  <c r="AS81" i="1" s="1"/>
  <c r="AS83" i="1" s="1"/>
  <c r="AS85" i="1" s="1"/>
  <c r="AT40" i="1"/>
  <c r="AT79" i="1" s="1"/>
  <c r="AT81" i="1" s="1"/>
  <c r="AT83" i="1" s="1"/>
  <c r="AT85" i="1" s="1"/>
  <c r="AU40" i="1"/>
  <c r="AU79" i="1" s="1"/>
  <c r="AU81" i="1" s="1"/>
  <c r="AU83" i="1" s="1"/>
  <c r="AU85" i="1" s="1"/>
  <c r="AV40" i="1"/>
  <c r="AV79" i="1" s="1"/>
  <c r="AV81" i="1" s="1"/>
  <c r="AV83" i="1" s="1"/>
  <c r="AV85" i="1" s="1"/>
  <c r="AW40" i="1"/>
  <c r="AW79" i="1" s="1"/>
  <c r="AW81" i="1" s="1"/>
  <c r="AW83" i="1" s="1"/>
  <c r="AW85" i="1" s="1"/>
  <c r="AX40" i="1"/>
  <c r="AX79" i="1" s="1"/>
  <c r="AX81" i="1" s="1"/>
  <c r="AX83" i="1" s="1"/>
  <c r="AX85" i="1" s="1"/>
  <c r="AY40" i="1"/>
  <c r="AY79" i="1" s="1"/>
  <c r="AY81" i="1" s="1"/>
  <c r="AY83" i="1" s="1"/>
  <c r="AY85" i="1" s="1"/>
  <c r="AZ40" i="1"/>
  <c r="AZ79" i="1" s="1"/>
  <c r="AZ81" i="1" s="1"/>
  <c r="AZ83" i="1" s="1"/>
  <c r="AZ85" i="1" s="1"/>
  <c r="BA40" i="1"/>
  <c r="BA79" i="1" s="1"/>
  <c r="BA81" i="1" s="1"/>
  <c r="BA83" i="1" s="1"/>
  <c r="BA85" i="1" s="1"/>
  <c r="BB40" i="1"/>
  <c r="BB79" i="1" s="1"/>
  <c r="BB81" i="1" s="1"/>
  <c r="BB83" i="1" s="1"/>
  <c r="BB85" i="1" s="1"/>
  <c r="BC40" i="1"/>
  <c r="BC79" i="1" s="1"/>
  <c r="BC81" i="1" s="1"/>
  <c r="BC83" i="1" s="1"/>
  <c r="BC85" i="1" s="1"/>
  <c r="BD40" i="1"/>
  <c r="BD79" i="1" s="1"/>
  <c r="BD81" i="1" s="1"/>
  <c r="BD83" i="1" s="1"/>
  <c r="BD85" i="1" s="1"/>
  <c r="BE40" i="1"/>
  <c r="BE79" i="1" s="1"/>
  <c r="BE81" i="1" s="1"/>
  <c r="BE83" i="1" s="1"/>
  <c r="BE85" i="1" s="1"/>
  <c r="BF40" i="1"/>
  <c r="BF79" i="1" s="1"/>
  <c r="BF81" i="1" s="1"/>
  <c r="BF83" i="1" s="1"/>
  <c r="BF85" i="1" s="1"/>
  <c r="BG40" i="1"/>
  <c r="BG79" i="1" s="1"/>
  <c r="BG81" i="1" s="1"/>
  <c r="BG83" i="1" s="1"/>
  <c r="BG85" i="1" s="1"/>
  <c r="BH40" i="1"/>
  <c r="BH79" i="1" s="1"/>
  <c r="BH81" i="1" s="1"/>
  <c r="BH83" i="1" s="1"/>
  <c r="BH85" i="1" s="1"/>
  <c r="BI40" i="1"/>
  <c r="BI79" i="1" s="1"/>
  <c r="BI81" i="1" s="1"/>
  <c r="BI83" i="1" s="1"/>
  <c r="BI85" i="1" s="1"/>
  <c r="BJ40" i="1"/>
  <c r="BJ79" i="1" s="1"/>
  <c r="BJ81" i="1" s="1"/>
  <c r="BJ83" i="1" s="1"/>
  <c r="BJ85" i="1" s="1"/>
  <c r="BK40" i="1"/>
  <c r="BK79" i="1" s="1"/>
  <c r="BK81" i="1" s="1"/>
  <c r="BK83" i="1" s="1"/>
  <c r="BK85" i="1" s="1"/>
  <c r="BL40" i="1"/>
  <c r="BL79" i="1" s="1"/>
  <c r="BL81" i="1" s="1"/>
  <c r="BL83" i="1" s="1"/>
  <c r="BL85" i="1" s="1"/>
  <c r="BM40" i="1"/>
  <c r="BM79" i="1" s="1"/>
  <c r="BM81" i="1" s="1"/>
  <c r="BM83" i="1" s="1"/>
  <c r="BM85" i="1" s="1"/>
  <c r="BN40" i="1"/>
  <c r="BN79" i="1" s="1"/>
  <c r="BN81" i="1" s="1"/>
  <c r="BN83" i="1" s="1"/>
  <c r="BN85" i="1" s="1"/>
  <c r="BO40" i="1"/>
  <c r="BO79" i="1" s="1"/>
  <c r="BO81" i="1" s="1"/>
  <c r="BO83" i="1" s="1"/>
  <c r="BO85" i="1" s="1"/>
  <c r="BP40" i="1"/>
  <c r="BP79" i="1" s="1"/>
  <c r="BP81" i="1" s="1"/>
  <c r="BP83" i="1" s="1"/>
  <c r="BP85" i="1" s="1"/>
  <c r="BQ40" i="1"/>
  <c r="BQ79" i="1" s="1"/>
  <c r="BQ81" i="1" s="1"/>
  <c r="BQ83" i="1" s="1"/>
  <c r="BQ85" i="1" s="1"/>
  <c r="BR40" i="1"/>
  <c r="BR79" i="1" s="1"/>
  <c r="BR81" i="1" s="1"/>
  <c r="BR83" i="1" s="1"/>
  <c r="BR85" i="1" s="1"/>
  <c r="BS40" i="1"/>
  <c r="BS79" i="1" s="1"/>
  <c r="BS81" i="1" s="1"/>
  <c r="BS83" i="1" s="1"/>
  <c r="BS85" i="1" s="1"/>
  <c r="BT40" i="1"/>
  <c r="BT79" i="1" s="1"/>
  <c r="BT81" i="1" s="1"/>
  <c r="BT83" i="1" s="1"/>
  <c r="BT85" i="1" s="1"/>
  <c r="BU40" i="1"/>
  <c r="BU79" i="1" s="1"/>
  <c r="BU81" i="1" s="1"/>
  <c r="BU83" i="1" s="1"/>
  <c r="BU85" i="1" s="1"/>
  <c r="BV40" i="1"/>
  <c r="BV79" i="1" s="1"/>
  <c r="BV81" i="1" s="1"/>
  <c r="BV83" i="1" s="1"/>
  <c r="BV85" i="1" s="1"/>
  <c r="BW40" i="1"/>
  <c r="BW79" i="1" s="1"/>
  <c r="BW81" i="1" s="1"/>
  <c r="BW83" i="1" s="1"/>
  <c r="BW85" i="1" s="1"/>
  <c r="BX40" i="1"/>
  <c r="BX79" i="1" s="1"/>
  <c r="BX81" i="1" s="1"/>
  <c r="BX83" i="1" s="1"/>
  <c r="BX85" i="1" s="1"/>
  <c r="BY40" i="1"/>
  <c r="BY79" i="1" s="1"/>
  <c r="BY81" i="1" s="1"/>
  <c r="BY83" i="1" s="1"/>
  <c r="BY85" i="1" s="1"/>
  <c r="BZ40" i="1"/>
  <c r="BZ79" i="1" s="1"/>
  <c r="BZ81" i="1" s="1"/>
  <c r="BZ83" i="1" s="1"/>
  <c r="BZ85" i="1" s="1"/>
  <c r="CA40" i="1"/>
  <c r="CA79" i="1" s="1"/>
  <c r="CA81" i="1" s="1"/>
  <c r="CA83" i="1" s="1"/>
  <c r="CA85" i="1" s="1"/>
  <c r="CB40" i="1"/>
  <c r="CB79" i="1" s="1"/>
  <c r="CB81" i="1" s="1"/>
  <c r="CB83" i="1" s="1"/>
  <c r="CB85" i="1" s="1"/>
  <c r="CC40" i="1"/>
  <c r="CC79" i="1" s="1"/>
  <c r="CC81" i="1" s="1"/>
  <c r="CC83" i="1" s="1"/>
  <c r="CC85" i="1" s="1"/>
  <c r="CD40" i="1"/>
  <c r="CD79" i="1" s="1"/>
  <c r="CD81" i="1" s="1"/>
  <c r="CD83" i="1" s="1"/>
  <c r="CD85" i="1" s="1"/>
  <c r="CE40" i="1"/>
  <c r="CE79" i="1" s="1"/>
  <c r="CE81" i="1" s="1"/>
  <c r="CE83" i="1" s="1"/>
  <c r="CE85" i="1" s="1"/>
  <c r="CF40" i="1"/>
  <c r="CF79" i="1" s="1"/>
  <c r="CF81" i="1" s="1"/>
  <c r="CF83" i="1" s="1"/>
  <c r="CF85" i="1" s="1"/>
  <c r="CG40" i="1"/>
  <c r="CG79" i="1" s="1"/>
  <c r="CG81" i="1" s="1"/>
  <c r="CG83" i="1" s="1"/>
  <c r="CG85" i="1" s="1"/>
  <c r="CH40" i="1"/>
  <c r="CH79" i="1" s="1"/>
  <c r="CH81" i="1" s="1"/>
  <c r="CH83" i="1" s="1"/>
  <c r="CH85" i="1" s="1"/>
  <c r="CI40" i="1"/>
  <c r="CI79" i="1" s="1"/>
  <c r="CI81" i="1" s="1"/>
  <c r="CI83" i="1" s="1"/>
  <c r="CI85" i="1" s="1"/>
  <c r="CJ40" i="1"/>
  <c r="CJ79" i="1" s="1"/>
  <c r="CJ81" i="1" s="1"/>
  <c r="CJ83" i="1" s="1"/>
  <c r="CJ85" i="1" s="1"/>
  <c r="CK40" i="1"/>
  <c r="CK79" i="1" s="1"/>
  <c r="CK81" i="1" s="1"/>
  <c r="CK83" i="1" s="1"/>
  <c r="CK85" i="1" s="1"/>
  <c r="CP40" i="1"/>
  <c r="CP79" i="1" s="1"/>
  <c r="CP81" i="1" s="1"/>
  <c r="CP83" i="1" s="1"/>
  <c r="CP85" i="1" s="1"/>
  <c r="CM40" i="1"/>
  <c r="CM79" i="1" s="1"/>
  <c r="CM81" i="1" s="1"/>
  <c r="CM83" i="1" s="1"/>
  <c r="CM85" i="1" s="1"/>
  <c r="CO40" i="1"/>
  <c r="CO79" i="1" s="1"/>
  <c r="CO81" i="1" s="1"/>
  <c r="CO83" i="1" s="1"/>
  <c r="CO85" i="1" s="1"/>
  <c r="CN40" i="1"/>
  <c r="CN79" i="1" s="1"/>
  <c r="CN81" i="1" s="1"/>
  <c r="CN83" i="1" s="1"/>
  <c r="CN85" i="1" s="1"/>
  <c r="CL40" i="1"/>
  <c r="CL79" i="1" s="1"/>
  <c r="CL81" i="1" s="1"/>
  <c r="CL83" i="1" s="1"/>
  <c r="CL85" i="1" s="1"/>
  <c r="CQ33" i="14"/>
  <c r="CQ36" i="14" s="1"/>
  <c r="CR63" i="12"/>
  <c r="CR65" i="12" s="1"/>
  <c r="CS63" i="12" s="1"/>
  <c r="CS65" i="12" s="1"/>
  <c r="CT63" i="12" s="1"/>
  <c r="CT65" i="12" s="1"/>
  <c r="CQ19" i="14"/>
  <c r="CQ21" i="14" s="1"/>
  <c r="CR69" i="12"/>
  <c r="CS138" i="8" l="1"/>
  <c r="CS130" i="8"/>
  <c r="CR42" i="11"/>
  <c r="CS16" i="12"/>
  <c r="CS19" i="12" s="1"/>
  <c r="CS120" i="8"/>
  <c r="CS121" i="8" s="1"/>
  <c r="CS124" i="8" s="1"/>
  <c r="CS38" i="11" s="1"/>
  <c r="CS32" i="11"/>
  <c r="CQ39" i="14"/>
  <c r="CQ41" i="14" s="1"/>
  <c r="CP23" i="1"/>
  <c r="CP25" i="1" s="1"/>
  <c r="CL23" i="1"/>
  <c r="CL25" i="1" s="1"/>
  <c r="BZ23" i="1"/>
  <c r="BZ25" i="1" s="1"/>
  <c r="CN23" i="1"/>
  <c r="CN25" i="1" s="1"/>
  <c r="CG23" i="1"/>
  <c r="CG25" i="1" s="1"/>
  <c r="BY23" i="1"/>
  <c r="BY25" i="1" s="1"/>
  <c r="BQ23" i="1"/>
  <c r="BQ25" i="1" s="1"/>
  <c r="BI23" i="1"/>
  <c r="BI25" i="1" s="1"/>
  <c r="BA23" i="1"/>
  <c r="BA25" i="1" s="1"/>
  <c r="AS23" i="1"/>
  <c r="AS25" i="1" s="1"/>
  <c r="AK23" i="1"/>
  <c r="AK25" i="1" s="1"/>
  <c r="AC23" i="1"/>
  <c r="AC25" i="1" s="1"/>
  <c r="U23" i="1"/>
  <c r="U25" i="1" s="1"/>
  <c r="CB23" i="1"/>
  <c r="CB25" i="1" s="1"/>
  <c r="CH23" i="1"/>
  <c r="CH25" i="1" s="1"/>
  <c r="CO23" i="1"/>
  <c r="CO25" i="1" s="1"/>
  <c r="CF23" i="1"/>
  <c r="CF25" i="1" s="1"/>
  <c r="BX23" i="1"/>
  <c r="BX25" i="1" s="1"/>
  <c r="BP23" i="1"/>
  <c r="BP25" i="1" s="1"/>
  <c r="BH23" i="1"/>
  <c r="BH25" i="1" s="1"/>
  <c r="AZ23" i="1"/>
  <c r="AZ25" i="1" s="1"/>
  <c r="AR23" i="1"/>
  <c r="AR25" i="1" s="1"/>
  <c r="AJ23" i="1"/>
  <c r="AJ25" i="1" s="1"/>
  <c r="AB23" i="1"/>
  <c r="AB25" i="1" s="1"/>
  <c r="T23" i="1"/>
  <c r="T25" i="1" s="1"/>
  <c r="CM23" i="1"/>
  <c r="CM25" i="1" s="1"/>
  <c r="CE23" i="1"/>
  <c r="CE25" i="1" s="1"/>
  <c r="BW23" i="1"/>
  <c r="BW25" i="1" s="1"/>
  <c r="BO23" i="1"/>
  <c r="BO25" i="1" s="1"/>
  <c r="BG23" i="1"/>
  <c r="BG25" i="1" s="1"/>
  <c r="AY23" i="1"/>
  <c r="AY25" i="1" s="1"/>
  <c r="AQ23" i="1"/>
  <c r="AQ25" i="1" s="1"/>
  <c r="AI23" i="1"/>
  <c r="AI25" i="1" s="1"/>
  <c r="AA23" i="1"/>
  <c r="AA25" i="1" s="1"/>
  <c r="BV23" i="1"/>
  <c r="BV25" i="1" s="1"/>
  <c r="BF23" i="1"/>
  <c r="BF25" i="1" s="1"/>
  <c r="AX23" i="1"/>
  <c r="AX25" i="1" s="1"/>
  <c r="AP23" i="1"/>
  <c r="AP25" i="1" s="1"/>
  <c r="AH23" i="1"/>
  <c r="AH25" i="1" s="1"/>
  <c r="Z23" i="1"/>
  <c r="Z25" i="1" s="1"/>
  <c r="P79" i="1"/>
  <c r="P23" i="1"/>
  <c r="CD23" i="1"/>
  <c r="CD25" i="1" s="1"/>
  <c r="BN23" i="1"/>
  <c r="BN25" i="1" s="1"/>
  <c r="CK23" i="1"/>
  <c r="CK25" i="1" s="1"/>
  <c r="CC23" i="1"/>
  <c r="CC25" i="1" s="1"/>
  <c r="BU23" i="1"/>
  <c r="BU25" i="1" s="1"/>
  <c r="BM23" i="1"/>
  <c r="BM25" i="1" s="1"/>
  <c r="BE23" i="1"/>
  <c r="BE25" i="1" s="1"/>
  <c r="AW23" i="1"/>
  <c r="AW25" i="1" s="1"/>
  <c r="AO23" i="1"/>
  <c r="AO25" i="1" s="1"/>
  <c r="AG23" i="1"/>
  <c r="AG25" i="1" s="1"/>
  <c r="Y23" i="1"/>
  <c r="Y25" i="1" s="1"/>
  <c r="Q23" i="1"/>
  <c r="Q25" i="1" s="1"/>
  <c r="CJ23" i="1"/>
  <c r="CJ25" i="1" s="1"/>
  <c r="BD23" i="1"/>
  <c r="BD25" i="1" s="1"/>
  <c r="AV23" i="1"/>
  <c r="AV25" i="1" s="1"/>
  <c r="AN23" i="1"/>
  <c r="AN25" i="1" s="1"/>
  <c r="AF23" i="1"/>
  <c r="AF25" i="1" s="1"/>
  <c r="X23" i="1"/>
  <c r="X25" i="1" s="1"/>
  <c r="R23" i="1"/>
  <c r="R25" i="1" s="1"/>
  <c r="BL23" i="1"/>
  <c r="BL25" i="1" s="1"/>
  <c r="CI23" i="1"/>
  <c r="CI25" i="1" s="1"/>
  <c r="CA23" i="1"/>
  <c r="CA25" i="1" s="1"/>
  <c r="BS23" i="1"/>
  <c r="BS25" i="1" s="1"/>
  <c r="BK23" i="1"/>
  <c r="BK25" i="1" s="1"/>
  <c r="BC23" i="1"/>
  <c r="BC25" i="1" s="1"/>
  <c r="AU23" i="1"/>
  <c r="AU25" i="1" s="1"/>
  <c r="AM23" i="1"/>
  <c r="AM25" i="1" s="1"/>
  <c r="AE23" i="1"/>
  <c r="AE25" i="1" s="1"/>
  <c r="W23" i="1"/>
  <c r="W25" i="1" s="1"/>
  <c r="S23" i="1"/>
  <c r="S25" i="1" s="1"/>
  <c r="BT23" i="1"/>
  <c r="BT25" i="1" s="1"/>
  <c r="BR23" i="1"/>
  <c r="BR25" i="1" s="1"/>
  <c r="BJ23" i="1"/>
  <c r="BJ25" i="1" s="1"/>
  <c r="BB23" i="1"/>
  <c r="BB25" i="1" s="1"/>
  <c r="AT23" i="1"/>
  <c r="AT25" i="1" s="1"/>
  <c r="AL23" i="1"/>
  <c r="AL25" i="1" s="1"/>
  <c r="AD23" i="1"/>
  <c r="AD25" i="1" s="1"/>
  <c r="V23" i="1"/>
  <c r="V25" i="1" s="1"/>
  <c r="CQ23" i="1"/>
  <c r="CQ25" i="1" s="1"/>
  <c r="N39" i="14" l="1"/>
  <c r="J41" i="14" s="1"/>
  <c r="K162" i="3" s="1"/>
  <c r="K164" i="3" s="1"/>
  <c r="H4" i="3" s="1"/>
  <c r="CS21" i="12"/>
  <c r="CS62" i="18"/>
  <c r="CR44" i="11"/>
  <c r="CR36" i="12" s="1"/>
  <c r="Y23" i="17"/>
  <c r="CS94" i="8"/>
  <c r="CS95" i="8" s="1"/>
  <c r="BR28" i="1"/>
  <c r="BR31" i="1"/>
  <c r="P25" i="1"/>
  <c r="N23" i="1"/>
  <c r="J23" i="1" s="1"/>
  <c r="X11" i="17" s="1"/>
  <c r="X13" i="17" s="1"/>
  <c r="AT28" i="1"/>
  <c r="AT31" i="1"/>
  <c r="BT28" i="1"/>
  <c r="BT31" i="1"/>
  <c r="AM28" i="1"/>
  <c r="AM31" i="1"/>
  <c r="Y31" i="1"/>
  <c r="Y28" i="1"/>
  <c r="CK28" i="1"/>
  <c r="CK31" i="1"/>
  <c r="BF31" i="1"/>
  <c r="BF28" i="1"/>
  <c r="AB31" i="1"/>
  <c r="AB28" i="1"/>
  <c r="BH28" i="1"/>
  <c r="BH31" i="1"/>
  <c r="CO28" i="1"/>
  <c r="CO31" i="1"/>
  <c r="BI28" i="1"/>
  <c r="BI31" i="1"/>
  <c r="CN28" i="1"/>
  <c r="CN31" i="1"/>
  <c r="BK31" i="1"/>
  <c r="BK28" i="1"/>
  <c r="CQ31" i="1"/>
  <c r="CQ28" i="1"/>
  <c r="BS28" i="1"/>
  <c r="BS31" i="1"/>
  <c r="R31" i="1"/>
  <c r="R28" i="1"/>
  <c r="AV28" i="1"/>
  <c r="AV31" i="1"/>
  <c r="BE28" i="1"/>
  <c r="BE31" i="1"/>
  <c r="Z28" i="1"/>
  <c r="Z31" i="1" s="1"/>
  <c r="AQ28" i="1"/>
  <c r="AQ31" i="1"/>
  <c r="BW28" i="1"/>
  <c r="BW31" i="1"/>
  <c r="AC31" i="1"/>
  <c r="AC28" i="1"/>
  <c r="X28" i="1"/>
  <c r="X31" i="1"/>
  <c r="BD28" i="1"/>
  <c r="BD31" i="1"/>
  <c r="BM28" i="1"/>
  <c r="BM31" i="1"/>
  <c r="AH28" i="1"/>
  <c r="AH31" i="1"/>
  <c r="CE31" i="1"/>
  <c r="CE28" i="1"/>
  <c r="AJ31" i="1"/>
  <c r="AJ28" i="1"/>
  <c r="BP31" i="1"/>
  <c r="BP28" i="1"/>
  <c r="CH28" i="1"/>
  <c r="CH31" i="1"/>
  <c r="AK28" i="1"/>
  <c r="AK31" i="1"/>
  <c r="BB28" i="1"/>
  <c r="BB31" i="1"/>
  <c r="S31" i="1"/>
  <c r="S28" i="1"/>
  <c r="AU31" i="1"/>
  <c r="AU28" i="1"/>
  <c r="CA31" i="1"/>
  <c r="CA28" i="1"/>
  <c r="AG31" i="1"/>
  <c r="AG28" i="1"/>
  <c r="BN28" i="1"/>
  <c r="BN31" i="1"/>
  <c r="BV28" i="1"/>
  <c r="BV31" i="1"/>
  <c r="AY31" i="1"/>
  <c r="AY28" i="1"/>
  <c r="BQ31" i="1"/>
  <c r="BQ28" i="1"/>
  <c r="BZ28" i="1"/>
  <c r="BZ31" i="1"/>
  <c r="BJ28" i="1"/>
  <c r="BJ31" i="1"/>
  <c r="BC28" i="1"/>
  <c r="BC31" i="1"/>
  <c r="AF28" i="1"/>
  <c r="AF31" i="1"/>
  <c r="CJ28" i="1"/>
  <c r="CJ31" i="1"/>
  <c r="AO31" i="1"/>
  <c r="AO28" i="1"/>
  <c r="BU28" i="1"/>
  <c r="BU31" i="1"/>
  <c r="CD31" i="1"/>
  <c r="CD28" i="1"/>
  <c r="AP28" i="1"/>
  <c r="AP31" i="1"/>
  <c r="BG31" i="1"/>
  <c r="BG28" i="1"/>
  <c r="CM28" i="1"/>
  <c r="CM31" i="1"/>
  <c r="AR31" i="1"/>
  <c r="AR28" i="1"/>
  <c r="CB31" i="1"/>
  <c r="CB28" i="1"/>
  <c r="AS31" i="1"/>
  <c r="AS28" i="1"/>
  <c r="V28" i="1"/>
  <c r="V31" i="1"/>
  <c r="AD31" i="1"/>
  <c r="AD28" i="1"/>
  <c r="W31" i="1"/>
  <c r="W28" i="1"/>
  <c r="CI31" i="1"/>
  <c r="CI28" i="1"/>
  <c r="AA31" i="1"/>
  <c r="AA28" i="1"/>
  <c r="BX28" i="1"/>
  <c r="BX31" i="1"/>
  <c r="BY31" i="1"/>
  <c r="BY28" i="1"/>
  <c r="CL31" i="1"/>
  <c r="CL28" i="1"/>
  <c r="AN31" i="1"/>
  <c r="AN28" i="1"/>
  <c r="CC28" i="1"/>
  <c r="CC31" i="1"/>
  <c r="BO28" i="1"/>
  <c r="BO31" i="1"/>
  <c r="U28" i="1"/>
  <c r="U31" i="1" s="1"/>
  <c r="AE31" i="1"/>
  <c r="AE28" i="1"/>
  <c r="AI28" i="1"/>
  <c r="AI31" i="1"/>
  <c r="AZ31" i="1"/>
  <c r="AZ28" i="1"/>
  <c r="AL28" i="1"/>
  <c r="AL31" i="1"/>
  <c r="BL28" i="1"/>
  <c r="BL31" i="1"/>
  <c r="Q31" i="1"/>
  <c r="Q28" i="1"/>
  <c r="AW28" i="1"/>
  <c r="AW31" i="1"/>
  <c r="J79" i="1"/>
  <c r="P81" i="1"/>
  <c r="P83" i="1" s="1"/>
  <c r="AX28" i="1"/>
  <c r="AX31" i="1"/>
  <c r="T31" i="1"/>
  <c r="T28" i="1"/>
  <c r="CF31" i="1"/>
  <c r="CF28" i="1"/>
  <c r="BA28" i="1"/>
  <c r="BA31" i="1"/>
  <c r="CG31" i="1"/>
  <c r="CG28" i="1"/>
  <c r="CP28" i="1"/>
  <c r="CP31" i="1"/>
  <c r="CR37" i="12" l="1"/>
  <c r="CR46" i="12" s="1"/>
  <c r="CR48" i="12" s="1"/>
  <c r="CR50" i="12" s="1"/>
  <c r="CR58" i="12"/>
  <c r="CS34" i="11"/>
  <c r="CS88" i="8"/>
  <c r="J25" i="1"/>
  <c r="I15" i="17"/>
  <c r="I17" i="17" s="1"/>
  <c r="AY29" i="1"/>
  <c r="AY44" i="1"/>
  <c r="AY47" i="1" s="1"/>
  <c r="CA44" i="1"/>
  <c r="CA47" i="1" s="1"/>
  <c r="CA29" i="1"/>
  <c r="CE44" i="1"/>
  <c r="CE47" i="1" s="1"/>
  <c r="CE29" i="1"/>
  <c r="Z44" i="1"/>
  <c r="Z47" i="1" s="1"/>
  <c r="Z29" i="1"/>
  <c r="BF29" i="1"/>
  <c r="BF44" i="1"/>
  <c r="BF47" i="1" s="1"/>
  <c r="AX29" i="1"/>
  <c r="AX44" i="1"/>
  <c r="AX47" i="1" s="1"/>
  <c r="BL29" i="1"/>
  <c r="BL44" i="1"/>
  <c r="BL47" i="1" s="1"/>
  <c r="V29" i="1"/>
  <c r="V44" i="1"/>
  <c r="V47" i="1" s="1"/>
  <c r="CM29" i="1"/>
  <c r="CM44" i="1"/>
  <c r="CM47" i="1" s="1"/>
  <c r="BU29" i="1"/>
  <c r="BU44" i="1"/>
  <c r="BU47" i="1" s="1"/>
  <c r="BC44" i="1"/>
  <c r="BC47" i="1" s="1"/>
  <c r="BC29" i="1"/>
  <c r="AK29" i="1"/>
  <c r="AK44" i="1"/>
  <c r="AK47" i="1" s="1"/>
  <c r="X44" i="1"/>
  <c r="X47" i="1" s="1"/>
  <c r="X29" i="1"/>
  <c r="BS29" i="1"/>
  <c r="BS44" i="1"/>
  <c r="BS47" i="1" s="1"/>
  <c r="BI29" i="1"/>
  <c r="BI44" i="1"/>
  <c r="BI47" i="1" s="1"/>
  <c r="BT29" i="1"/>
  <c r="BT44" i="1"/>
  <c r="BT47" i="1" s="1"/>
  <c r="AA29" i="1"/>
  <c r="AA44" i="1"/>
  <c r="AA47" i="1" s="1"/>
  <c r="BG44" i="1"/>
  <c r="BG47" i="1" s="1"/>
  <c r="BG29" i="1"/>
  <c r="AU29" i="1"/>
  <c r="AU44" i="1"/>
  <c r="AU47" i="1" s="1"/>
  <c r="AC29" i="1"/>
  <c r="AC44" i="1"/>
  <c r="AC47" i="1" s="1"/>
  <c r="CQ29" i="1"/>
  <c r="CQ44" i="1"/>
  <c r="CQ47" i="1" s="1"/>
  <c r="CQ49" i="1" s="1"/>
  <c r="AL44" i="1"/>
  <c r="AL47" i="1" s="1"/>
  <c r="AL29" i="1"/>
  <c r="U44" i="1"/>
  <c r="U47" i="1" s="1"/>
  <c r="U29" i="1"/>
  <c r="BJ44" i="1"/>
  <c r="BJ47" i="1" s="1"/>
  <c r="BJ29" i="1"/>
  <c r="BV44" i="1"/>
  <c r="BV47" i="1" s="1"/>
  <c r="BV29" i="1"/>
  <c r="CH29" i="1"/>
  <c r="CH44" i="1"/>
  <c r="CH47" i="1" s="1"/>
  <c r="AH44" i="1"/>
  <c r="AH47" i="1" s="1"/>
  <c r="AH29" i="1"/>
  <c r="BE44" i="1"/>
  <c r="BE47" i="1" s="1"/>
  <c r="BE29" i="1"/>
  <c r="CO44" i="1"/>
  <c r="CO47" i="1" s="1"/>
  <c r="CO29" i="1"/>
  <c r="CK44" i="1"/>
  <c r="CK47" i="1" s="1"/>
  <c r="CK29" i="1"/>
  <c r="AT29" i="1"/>
  <c r="AT44" i="1"/>
  <c r="AT47" i="1" s="1"/>
  <c r="CG29" i="1"/>
  <c r="CG44" i="1"/>
  <c r="CG47" i="1" s="1"/>
  <c r="AN29" i="1"/>
  <c r="AN44" i="1"/>
  <c r="AN47" i="1" s="1"/>
  <c r="CL44" i="1"/>
  <c r="CL47" i="1" s="1"/>
  <c r="CL29" i="1"/>
  <c r="AS29" i="1"/>
  <c r="AS44" i="1"/>
  <c r="AS47" i="1" s="1"/>
  <c r="AO44" i="1"/>
  <c r="AO47" i="1" s="1"/>
  <c r="AO29" i="1"/>
  <c r="BA29" i="1"/>
  <c r="BA44" i="1"/>
  <c r="BA47" i="1" s="1"/>
  <c r="CF44" i="1"/>
  <c r="CF47" i="1" s="1"/>
  <c r="CF29" i="1"/>
  <c r="AZ44" i="1"/>
  <c r="AZ47" i="1" s="1"/>
  <c r="AZ29" i="1"/>
  <c r="BY29" i="1"/>
  <c r="BY44" i="1"/>
  <c r="BY47" i="1" s="1"/>
  <c r="W44" i="1"/>
  <c r="W47" i="1" s="1"/>
  <c r="W29" i="1"/>
  <c r="CB44" i="1"/>
  <c r="CB47" i="1" s="1"/>
  <c r="CB29" i="1"/>
  <c r="S44" i="1"/>
  <c r="S47" i="1" s="1"/>
  <c r="S29" i="1"/>
  <c r="BP29" i="1"/>
  <c r="BP44" i="1"/>
  <c r="BP47" i="1" s="1"/>
  <c r="BK44" i="1"/>
  <c r="BK47" i="1" s="1"/>
  <c r="BK29" i="1"/>
  <c r="Y44" i="1"/>
  <c r="Y47" i="1" s="1"/>
  <c r="Y29" i="1"/>
  <c r="J83" i="1"/>
  <c r="E107" i="1" s="1"/>
  <c r="P85" i="1"/>
  <c r="J85" i="1" s="1"/>
  <c r="CI44" i="1"/>
  <c r="CI47" i="1" s="1"/>
  <c r="CI29" i="1"/>
  <c r="AW29" i="1"/>
  <c r="AW44" i="1"/>
  <c r="AW47" i="1" s="1"/>
  <c r="BO44" i="1"/>
  <c r="BO47" i="1" s="1"/>
  <c r="BO29" i="1"/>
  <c r="AP29" i="1"/>
  <c r="AP44" i="1"/>
  <c r="AP47" i="1" s="1"/>
  <c r="CJ44" i="1"/>
  <c r="CJ47" i="1" s="1"/>
  <c r="CJ29" i="1"/>
  <c r="BZ44" i="1"/>
  <c r="BZ47" i="1" s="1"/>
  <c r="BZ29" i="1"/>
  <c r="BN29" i="1"/>
  <c r="BN44" i="1"/>
  <c r="BN47" i="1" s="1"/>
  <c r="BM44" i="1"/>
  <c r="BM47" i="1" s="1"/>
  <c r="BM29" i="1"/>
  <c r="BW44" i="1"/>
  <c r="BW47" i="1" s="1"/>
  <c r="BW29" i="1"/>
  <c r="AV44" i="1"/>
  <c r="AV47" i="1" s="1"/>
  <c r="AV29" i="1"/>
  <c r="BH29" i="1"/>
  <c r="BH44" i="1"/>
  <c r="BH47" i="1" s="1"/>
  <c r="P28" i="1"/>
  <c r="N25" i="1"/>
  <c r="P31" i="1"/>
  <c r="J31" i="1" s="1"/>
  <c r="Q44" i="1"/>
  <c r="Q47" i="1" s="1"/>
  <c r="Q29" i="1"/>
  <c r="AR44" i="1"/>
  <c r="AR47" i="1" s="1"/>
  <c r="AR29" i="1"/>
  <c r="BQ44" i="1"/>
  <c r="BQ47" i="1" s="1"/>
  <c r="BQ29" i="1"/>
  <c r="R44" i="1"/>
  <c r="R47" i="1" s="1"/>
  <c r="R29" i="1"/>
  <c r="AB29" i="1"/>
  <c r="AB44" i="1"/>
  <c r="AB47" i="1" s="1"/>
  <c r="AE44" i="1"/>
  <c r="AE47" i="1" s="1"/>
  <c r="AE29" i="1"/>
  <c r="T44" i="1"/>
  <c r="T47" i="1" s="1"/>
  <c r="T29" i="1"/>
  <c r="AD44" i="1"/>
  <c r="AD47" i="1" s="1"/>
  <c r="AD29" i="1"/>
  <c r="CD29" i="1"/>
  <c r="CD44" i="1"/>
  <c r="CD47" i="1" s="1"/>
  <c r="AG44" i="1"/>
  <c r="AG47" i="1" s="1"/>
  <c r="AG29" i="1"/>
  <c r="AJ44" i="1"/>
  <c r="AJ47" i="1" s="1"/>
  <c r="AJ29" i="1"/>
  <c r="CP29" i="1"/>
  <c r="CP44" i="1"/>
  <c r="CP47" i="1" s="1"/>
  <c r="AI29" i="1"/>
  <c r="AI44" i="1"/>
  <c r="AI47" i="1" s="1"/>
  <c r="CC29" i="1"/>
  <c r="CC44" i="1"/>
  <c r="CC47" i="1" s="1"/>
  <c r="BX29" i="1"/>
  <c r="BX44" i="1"/>
  <c r="BX47" i="1" s="1"/>
  <c r="AF44" i="1"/>
  <c r="AF47" i="1" s="1"/>
  <c r="AF29" i="1"/>
  <c r="BB44" i="1"/>
  <c r="BB47" i="1" s="1"/>
  <c r="BB29" i="1"/>
  <c r="BD44" i="1"/>
  <c r="BD47" i="1" s="1"/>
  <c r="BD29" i="1"/>
  <c r="AQ29" i="1"/>
  <c r="AQ44" i="1"/>
  <c r="AQ47" i="1" s="1"/>
  <c r="CN29" i="1"/>
  <c r="CN44" i="1"/>
  <c r="CN47" i="1" s="1"/>
  <c r="AM29" i="1"/>
  <c r="AM44" i="1"/>
  <c r="AM47" i="1" s="1"/>
  <c r="BR44" i="1"/>
  <c r="BR47" i="1" s="1"/>
  <c r="BR29" i="1"/>
  <c r="CS60" i="18" l="1"/>
  <c r="CS89" i="8"/>
  <c r="CT85" i="8" s="1"/>
  <c r="CS36" i="11"/>
  <c r="CR39" i="12"/>
  <c r="CR41" i="12" s="1"/>
  <c r="CS35" i="12" s="1"/>
  <c r="CR46" i="11"/>
  <c r="CR29" i="12"/>
  <c r="CR31" i="12" s="1"/>
  <c r="CS25" i="12" s="1"/>
  <c r="CS27" i="12" s="1"/>
  <c r="CS45" i="12" s="1"/>
  <c r="E124" i="1"/>
  <c r="I25" i="17"/>
  <c r="CN49" i="1"/>
  <c r="CP49" i="1"/>
  <c r="BB49" i="1"/>
  <c r="Q49" i="1"/>
  <c r="BP49" i="1"/>
  <c r="BY49" i="1"/>
  <c r="CG49" i="1"/>
  <c r="BT49" i="1"/>
  <c r="V49" i="1"/>
  <c r="BW49" i="1"/>
  <c r="CJ49" i="1"/>
  <c r="CI49" i="1"/>
  <c r="AO49" i="1"/>
  <c r="BE49" i="1"/>
  <c r="BJ49" i="1"/>
  <c r="Z49" i="1"/>
  <c r="R49" i="1"/>
  <c r="AP49" i="1"/>
  <c r="AS49" i="1"/>
  <c r="AT49" i="1"/>
  <c r="AU49" i="1"/>
  <c r="BI49" i="1"/>
  <c r="BL49" i="1"/>
  <c r="AC49" i="1"/>
  <c r="J28" i="1"/>
  <c r="P44" i="1"/>
  <c r="N28" i="1"/>
  <c r="P29" i="1"/>
  <c r="N29" i="1" s="1"/>
  <c r="BM49" i="1"/>
  <c r="S49" i="1"/>
  <c r="AZ49" i="1"/>
  <c r="AH49" i="1"/>
  <c r="U49" i="1"/>
  <c r="BC49" i="1"/>
  <c r="CE49" i="1"/>
  <c r="AQ49" i="1"/>
  <c r="T49" i="1"/>
  <c r="BQ49" i="1"/>
  <c r="BH49" i="1"/>
  <c r="BN49" i="1"/>
  <c r="CH49" i="1"/>
  <c r="BS49" i="1"/>
  <c r="BU49" i="1"/>
  <c r="AX49" i="1"/>
  <c r="AF49" i="1"/>
  <c r="BX49" i="1"/>
  <c r="AJ49" i="1"/>
  <c r="CC49" i="1"/>
  <c r="BO49" i="1"/>
  <c r="Y49" i="1"/>
  <c r="CB49" i="1"/>
  <c r="CF49" i="1"/>
  <c r="CL49" i="1"/>
  <c r="CK49" i="1"/>
  <c r="AL49" i="1"/>
  <c r="BG49" i="1"/>
  <c r="CA49" i="1"/>
  <c r="AK49" i="1"/>
  <c r="BD49" i="1"/>
  <c r="AE49" i="1"/>
  <c r="BA49" i="1"/>
  <c r="AA49" i="1"/>
  <c r="CM49" i="1"/>
  <c r="BF49" i="1"/>
  <c r="AY49" i="1"/>
  <c r="AD49" i="1"/>
  <c r="BR49" i="1"/>
  <c r="AG49" i="1"/>
  <c r="AR49" i="1"/>
  <c r="AW49" i="1"/>
  <c r="AN49" i="1"/>
  <c r="AM49" i="1"/>
  <c r="AI49" i="1"/>
  <c r="CD49" i="1"/>
  <c r="AB49" i="1"/>
  <c r="AV49" i="1"/>
  <c r="BZ49" i="1"/>
  <c r="BK49" i="1"/>
  <c r="W49" i="1"/>
  <c r="CO49" i="1"/>
  <c r="BV49" i="1"/>
  <c r="X49" i="1"/>
  <c r="CR48" i="11" l="1"/>
  <c r="CS128" i="8"/>
  <c r="CT87" i="8"/>
  <c r="CT103" i="8"/>
  <c r="J7" i="1"/>
  <c r="E90" i="1" s="1"/>
  <c r="X17" i="17"/>
  <c r="P47" i="1"/>
  <c r="N44" i="1"/>
  <c r="CT59" i="18" l="1"/>
  <c r="N87" i="8"/>
  <c r="CT107" i="8"/>
  <c r="CS125" i="8"/>
  <c r="CT108" i="8"/>
  <c r="N103" i="8"/>
  <c r="CR70" i="12"/>
  <c r="P49" i="1"/>
  <c r="J49" i="1" s="1"/>
  <c r="J8" i="1" s="1"/>
  <c r="N47" i="1"/>
  <c r="CR71" i="12" l="1"/>
  <c r="CS69" i="12" s="1"/>
  <c r="N108" i="8"/>
  <c r="CT30" i="11"/>
  <c r="N30" i="11" s="1"/>
  <c r="CT61" i="18"/>
  <c r="CS39" i="11"/>
  <c r="CS126" i="8"/>
  <c r="CT123" i="8" s="1"/>
  <c r="CT29" i="11"/>
  <c r="CT109" i="8"/>
  <c r="N107" i="8"/>
  <c r="Y12" i="17"/>
  <c r="CT32" i="11" l="1"/>
  <c r="N29" i="11"/>
  <c r="CT130" i="8"/>
  <c r="CT138" i="8"/>
  <c r="N138" i="8" s="1"/>
  <c r="CS42" i="11"/>
  <c r="CT16" i="12"/>
  <c r="CT120" i="8"/>
  <c r="N109" i="8"/>
  <c r="Y11" i="17"/>
  <c r="Y13" i="17" s="1"/>
  <c r="CT19" i="12" l="1"/>
  <c r="N16" i="12"/>
  <c r="CS44" i="11"/>
  <c r="CS36" i="12" s="1"/>
  <c r="N120" i="8"/>
  <c r="CT121" i="8"/>
  <c r="CT94" i="8"/>
  <c r="CT95" i="8" s="1"/>
  <c r="N32" i="11"/>
  <c r="X18" i="17"/>
  <c r="Y17" i="17" s="1"/>
  <c r="Y18" i="17" s="1"/>
  <c r="CS37" i="12" l="1"/>
  <c r="CS46" i="12" s="1"/>
  <c r="CS48" i="12" s="1"/>
  <c r="CS50" i="12" s="1"/>
  <c r="N121" i="8"/>
  <c r="CT124" i="8"/>
  <c r="CS58" i="12"/>
  <c r="CT34" i="11"/>
  <c r="CT88" i="8"/>
  <c r="N95" i="8"/>
  <c r="CT21" i="12"/>
  <c r="CT62" i="18"/>
  <c r="F51" i="16"/>
  <c r="N34" i="11" l="1"/>
  <c r="CT36" i="11"/>
  <c r="CT38" i="11"/>
  <c r="N38" i="11" s="1"/>
  <c r="N124" i="8"/>
  <c r="CS29" i="12"/>
  <c r="CS46" i="11"/>
  <c r="CS39" i="12"/>
  <c r="J21" i="12"/>
  <c r="Y24" i="17" s="1"/>
  <c r="Y25" i="17" s="1"/>
  <c r="CT60" i="18"/>
  <c r="N88" i="8"/>
  <c r="CT89" i="8"/>
  <c r="CS48" i="11" l="1"/>
  <c r="CT128" i="8"/>
  <c r="N36" i="11"/>
  <c r="CS31" i="12"/>
  <c r="CT25" i="12" s="1"/>
  <c r="CT27" i="12" s="1"/>
  <c r="CS41" i="12"/>
  <c r="CT35" i="12" s="1"/>
  <c r="CT45" i="12" l="1"/>
  <c r="N128" i="8"/>
  <c r="CT125" i="8"/>
  <c r="CS70" i="12"/>
  <c r="CS71" i="12" l="1"/>
  <c r="CT69" i="12" s="1"/>
  <c r="N125" i="8"/>
  <c r="CT39" i="11"/>
  <c r="CT126" i="8"/>
  <c r="N39" i="11" l="1"/>
  <c r="CT42" i="11"/>
  <c r="CT44" i="11" l="1"/>
  <c r="CT36" i="12" s="1"/>
  <c r="N42" i="11"/>
  <c r="N36" i="12" l="1"/>
  <c r="CT37" i="12"/>
  <c r="CT58" i="12"/>
  <c r="N58" i="12" s="1"/>
  <c r="N44" i="11"/>
  <c r="CT46" i="12" l="1"/>
  <c r="CT48" i="12" s="1"/>
  <c r="N48" i="12" l="1"/>
  <c r="CT50" i="12"/>
  <c r="CT46" i="11" l="1"/>
  <c r="CT39" i="12"/>
  <c r="CT29" i="12"/>
  <c r="N50" i="12"/>
  <c r="N29" i="12" l="1"/>
  <c r="CT31" i="12"/>
  <c r="N39" i="12"/>
  <c r="CT41" i="12"/>
  <c r="N46" i="11"/>
  <c r="CT48" i="11"/>
  <c r="CT70" i="12" l="1"/>
  <c r="N48" i="11"/>
  <c r="N70" i="12" l="1"/>
  <c r="CT71" i="12"/>
</calcChain>
</file>

<file path=xl/sharedStrings.xml><?xml version="1.0" encoding="utf-8"?>
<sst xmlns="http://schemas.openxmlformats.org/spreadsheetml/2006/main" count="1226" uniqueCount="409">
  <si>
    <t>Year:</t>
  </si>
  <si>
    <t>Year #:</t>
  </si>
  <si>
    <t>Buyout Price</t>
  </si>
  <si>
    <t>$m</t>
  </si>
  <si>
    <t>Phase:</t>
  </si>
  <si>
    <t>IRR</t>
  </si>
  <si>
    <t>%</t>
  </si>
  <si>
    <t>Holding Period:</t>
  </si>
  <si>
    <t>Buyout</t>
  </si>
  <si>
    <t>Holding Strategy</t>
  </si>
  <si>
    <t>switch</t>
  </si>
  <si>
    <t>Exit</t>
  </si>
  <si>
    <t>Acquisition Date</t>
  </si>
  <si>
    <t>flag</t>
  </si>
  <si>
    <t>Holding Period</t>
  </si>
  <si>
    <t>Exit Date</t>
  </si>
  <si>
    <t>Dates for NPV</t>
  </si>
  <si>
    <t>date</t>
  </si>
  <si>
    <t>Sources &amp; Uses</t>
  </si>
  <si>
    <t>Uses</t>
  </si>
  <si>
    <t>Price of Equity Stake</t>
  </si>
  <si>
    <t>Financial, Legal, &amp; Advisory Fees</t>
  </si>
  <si>
    <t>Sources</t>
  </si>
  <si>
    <t>Equity</t>
  </si>
  <si>
    <t>Check</t>
  </si>
  <si>
    <t>check</t>
  </si>
  <si>
    <t>Valuation</t>
  </si>
  <si>
    <t>Levered Csahflow to Equity</t>
  </si>
  <si>
    <t>Exit Value</t>
  </si>
  <si>
    <t>Hurdle Rate</t>
  </si>
  <si>
    <t>Rolling Valuation</t>
  </si>
  <si>
    <t>Return</t>
  </si>
  <si>
    <t>(-)</t>
  </si>
  <si>
    <t>Acquisition Equity Injected</t>
  </si>
  <si>
    <t>(+)</t>
  </si>
  <si>
    <t>Exit Valuation</t>
  </si>
  <si>
    <t>Post Holding Period</t>
  </si>
  <si>
    <t>Levered Cash Flow to Equity</t>
  </si>
  <si>
    <t>Levered Cash Flow to Equity - Adjusted</t>
  </si>
  <si>
    <t>Buyer Hurdle</t>
  </si>
  <si>
    <t>Buyer Return</t>
  </si>
  <si>
    <t>Levered Cashflow to Equity</t>
  </si>
  <si>
    <t>Additional Data</t>
  </si>
  <si>
    <t>Enterprise Value</t>
  </si>
  <si>
    <t>Rolling Value of Equity</t>
  </si>
  <si>
    <t>Debt Balance</t>
  </si>
  <si>
    <t>Acquisition Year</t>
  </si>
  <si>
    <t>EV at Acquisition</t>
  </si>
  <si>
    <t>EBITDA</t>
  </si>
  <si>
    <t>EV/EBITDA</t>
  </si>
  <si>
    <t>x</t>
  </si>
  <si>
    <t>Sensitivities</t>
  </si>
  <si>
    <t>Hurdle</t>
  </si>
  <si>
    <t>End Sheet</t>
  </si>
  <si>
    <t>Forecast:</t>
  </si>
  <si>
    <t>Macroeconomic</t>
  </si>
  <si>
    <t>CPI</t>
  </si>
  <si>
    <t>CPI Index</t>
  </si>
  <si>
    <t>#</t>
  </si>
  <si>
    <t>Operations</t>
  </si>
  <si>
    <t>Model Period Counter</t>
  </si>
  <si>
    <t>Label</t>
  </si>
  <si>
    <t>label</t>
  </si>
  <si>
    <t>Construction</t>
  </si>
  <si>
    <t>Construction Start</t>
  </si>
  <si>
    <t>Construction Period</t>
  </si>
  <si>
    <t>Construction End</t>
  </si>
  <si>
    <t>Operation</t>
  </si>
  <si>
    <t>COD</t>
  </si>
  <si>
    <t>Operation Period</t>
  </si>
  <si>
    <t>Decommissioning</t>
  </si>
  <si>
    <t>Operating Period Counter</t>
  </si>
  <si>
    <t>Maintenance Year</t>
  </si>
  <si>
    <t>Debt</t>
  </si>
  <si>
    <t>Senior Debt</t>
  </si>
  <si>
    <t>First Repayment</t>
  </si>
  <si>
    <t>Repayment Period</t>
  </si>
  <si>
    <t>Maturity</t>
  </si>
  <si>
    <t>Repayment Counter</t>
  </si>
  <si>
    <t>Cash Sweep</t>
  </si>
  <si>
    <t>Sweep Start</t>
  </si>
  <si>
    <t>Sweep Active</t>
  </si>
  <si>
    <t>Sweep End</t>
  </si>
  <si>
    <t>Acquisition</t>
  </si>
  <si>
    <t>Holding Period Counter</t>
  </si>
  <si>
    <t>Post-Acquisition Period</t>
  </si>
  <si>
    <t>Post Holding Period (inclusive of acquisition)</t>
  </si>
  <si>
    <t>Unlevered</t>
  </si>
  <si>
    <t>Base Case</t>
  </si>
  <si>
    <t>Spare</t>
  </si>
  <si>
    <t>Levered</t>
  </si>
  <si>
    <t>Timing</t>
  </si>
  <si>
    <t>Construction start date</t>
  </si>
  <si>
    <t>Construction period</t>
  </si>
  <si>
    <t>years</t>
  </si>
  <si>
    <t>Scheduled construction end date</t>
  </si>
  <si>
    <t>Gas Transportation Agreement (GTA)</t>
  </si>
  <si>
    <t>CAPEX</t>
  </si>
  <si>
    <t>Engineering, Construction, &amp; Procurement</t>
  </si>
  <si>
    <t>[Spare]</t>
  </si>
  <si>
    <t>Contingency</t>
  </si>
  <si>
    <t>Capacity</t>
  </si>
  <si>
    <t>bcm p.a.</t>
  </si>
  <si>
    <t>Tariff</t>
  </si>
  <si>
    <t>OPEX</t>
  </si>
  <si>
    <t>Fixed</t>
  </si>
  <si>
    <t>$m p.a.</t>
  </si>
  <si>
    <t>Variable</t>
  </si>
  <si>
    <t>Working Capital</t>
  </si>
  <si>
    <t>Offtake</t>
  </si>
  <si>
    <t>Yr</t>
  </si>
  <si>
    <t>Date</t>
  </si>
  <si>
    <t>Financing</t>
  </si>
  <si>
    <t>Debt Sizing</t>
  </si>
  <si>
    <t>Maximum Gearing</t>
  </si>
  <si>
    <t>DSCR for Sculpting</t>
  </si>
  <si>
    <t>Min DSCR</t>
  </si>
  <si>
    <t>Cost of Equity</t>
  </si>
  <si>
    <t>Shareholder Structure</t>
  </si>
  <si>
    <t>Govt of Senegal</t>
  </si>
  <si>
    <t>Meridiam Infrastructure Partners</t>
  </si>
  <si>
    <t>[spare]</t>
  </si>
  <si>
    <t>Covenants</t>
  </si>
  <si>
    <t>Term Loan</t>
  </si>
  <si>
    <t>1st Repayment</t>
  </si>
  <si>
    <t>Tenor</t>
  </si>
  <si>
    <t>Fees</t>
  </si>
  <si>
    <t>Commitment Fee</t>
  </si>
  <si>
    <t>Upfront Fee</t>
  </si>
  <si>
    <t>Margins</t>
  </si>
  <si>
    <t>Cash Sweep Amount</t>
  </si>
  <si>
    <t>Cash Sweep Start</t>
  </si>
  <si>
    <t>year</t>
  </si>
  <si>
    <t>DSRF</t>
  </si>
  <si>
    <t>Max Facility Amount</t>
  </si>
  <si>
    <t>Availability Start</t>
  </si>
  <si>
    <t>Margin</t>
  </si>
  <si>
    <t>% of margin</t>
  </si>
  <si>
    <t>Reserve Accounts</t>
  </si>
  <si>
    <t>Debt Service Reserve Facility</t>
  </si>
  <si>
    <t>Base Rate</t>
  </si>
  <si>
    <t>LIBOR - 6 month</t>
  </si>
  <si>
    <t>Ratios</t>
  </si>
  <si>
    <t>Tax &amp; Accounting</t>
  </si>
  <si>
    <t>Corporate Tax Rate</t>
  </si>
  <si>
    <t>Data</t>
  </si>
  <si>
    <t>Funding Method</t>
  </si>
  <si>
    <t>Pro Rata</t>
  </si>
  <si>
    <t>Equity First</t>
  </si>
  <si>
    <t>To Maturity</t>
  </si>
  <si>
    <t>END SHEET</t>
  </si>
  <si>
    <t>Inflation</t>
  </si>
  <si>
    <t>Global Inflation Basket</t>
  </si>
  <si>
    <t>Floating Interest Rates</t>
  </si>
  <si>
    <t>CAPEX S Cruve</t>
  </si>
  <si>
    <t>S Curve</t>
  </si>
  <si>
    <t>Flags &amp; Data</t>
  </si>
  <si>
    <t>Constructon Period</t>
  </si>
  <si>
    <t>Operating Period</t>
  </si>
  <si>
    <t>Operating Counter</t>
  </si>
  <si>
    <t>Capital Expenditures</t>
  </si>
  <si>
    <t>EPC</t>
  </si>
  <si>
    <t>Total EPC CAPEX</t>
  </si>
  <si>
    <t>Lifecycle CAPEX</t>
  </si>
  <si>
    <t>Total Lifecycle CAPEX</t>
  </si>
  <si>
    <t>Capacity + Volume</t>
  </si>
  <si>
    <t>p.a.</t>
  </si>
  <si>
    <t>Pipeline Capacity</t>
  </si>
  <si>
    <t>Availability</t>
  </si>
  <si>
    <t>Maintenance Period</t>
  </si>
  <si>
    <t>Reduction</t>
  </si>
  <si>
    <t>Gas Volumes Shipped</t>
  </si>
  <si>
    <t>bcm</t>
  </si>
  <si>
    <t>Revenues</t>
  </si>
  <si>
    <t>$ / 1000 m3</t>
  </si>
  <si>
    <t>$ / m3</t>
  </si>
  <si>
    <t>$</t>
  </si>
  <si>
    <t>Total OPEX</t>
  </si>
  <si>
    <t>Accounts Receivable</t>
  </si>
  <si>
    <t>Opening Balance</t>
  </si>
  <si>
    <t xml:space="preserve"> Revenue</t>
  </si>
  <si>
    <t>Days</t>
  </si>
  <si>
    <t xml:space="preserve"> Cash Receipts</t>
  </si>
  <si>
    <t>Closing Balance</t>
  </si>
  <si>
    <t>Accounts Receivable Movement</t>
  </si>
  <si>
    <t>Accounts Payable</t>
  </si>
  <si>
    <t xml:space="preserve"> Operating Costs</t>
  </si>
  <si>
    <t xml:space="preserve"> Cash Debts</t>
  </si>
  <si>
    <t>Accounts Payable Movement</t>
  </si>
  <si>
    <t>Net Working Capital</t>
  </si>
  <si>
    <t>Net Working Capital Movement</t>
  </si>
  <si>
    <t>Flags</t>
  </si>
  <si>
    <t>Project Capacity</t>
  </si>
  <si>
    <t>Tariff - $ / 1000m3</t>
  </si>
  <si>
    <t>Pipeline km</t>
  </si>
  <si>
    <t>Tariff - $ / 1000m3 / 100km</t>
  </si>
  <si>
    <t>$ / 1000 m3/ 100km</t>
  </si>
  <si>
    <t>Tariff Revenues</t>
  </si>
  <si>
    <t>Income Tax Paid</t>
  </si>
  <si>
    <t>CAPEX - EPC</t>
  </si>
  <si>
    <t>CAPEX - Lifecycle</t>
  </si>
  <si>
    <t>Working Capital Adjustments</t>
  </si>
  <si>
    <t>Unlevered Free Cash Flow</t>
  </si>
  <si>
    <t>Target Unlevered IRR</t>
  </si>
  <si>
    <t>Unlevered IRR</t>
  </si>
  <si>
    <t>Revenue</t>
  </si>
  <si>
    <t>Volumes Shipped</t>
  </si>
  <si>
    <t>Gas Transportation Tariff</t>
  </si>
  <si>
    <t>Funding</t>
  </si>
  <si>
    <t>Drawdown Method</t>
  </si>
  <si>
    <t>Split</t>
  </si>
  <si>
    <t>Interest During Construction</t>
  </si>
  <si>
    <t>Gearing</t>
  </si>
  <si>
    <t>Sources = Uses</t>
  </si>
  <si>
    <t>Sizing</t>
  </si>
  <si>
    <t>CFADS Calculations</t>
  </si>
  <si>
    <t>Repayment Start</t>
  </si>
  <si>
    <t>Repayment End</t>
  </si>
  <si>
    <t>LIBOR</t>
  </si>
  <si>
    <t>Interest Rate</t>
  </si>
  <si>
    <t>All In Rate</t>
  </si>
  <si>
    <t>Cumulative Interest Index</t>
  </si>
  <si>
    <t>Discount Factor</t>
  </si>
  <si>
    <t>CFADS - Macro</t>
  </si>
  <si>
    <t>Discounted CFADS</t>
  </si>
  <si>
    <t>Maximum Debt Constraints</t>
  </si>
  <si>
    <t>Total Project Costs</t>
  </si>
  <si>
    <t>Constraints</t>
  </si>
  <si>
    <t>Max Gearing</t>
  </si>
  <si>
    <t>Min Required DSCR</t>
  </si>
  <si>
    <t>Compliant Debt Service Profile</t>
  </si>
  <si>
    <t>Debt Quantum</t>
  </si>
  <si>
    <t>Adjustment Factor</t>
  </si>
  <si>
    <t>Matching Leverage</t>
  </si>
  <si>
    <t>Adjusted Debt Coverage Profile</t>
  </si>
  <si>
    <t>Min DSCR - Constrained</t>
  </si>
  <si>
    <t>Sculpted Repayment</t>
  </si>
  <si>
    <t>Discounted Debt Service Profile</t>
  </si>
  <si>
    <t>Less: Repayment</t>
  </si>
  <si>
    <t>Interest Expense</t>
  </si>
  <si>
    <t>Repayment</t>
  </si>
  <si>
    <t xml:space="preserve"> Drawdown</t>
  </si>
  <si>
    <t xml:space="preserve"> Repayment</t>
  </si>
  <si>
    <t xml:space="preserve"> Sweep</t>
  </si>
  <si>
    <t>Cash Sweep Active</t>
  </si>
  <si>
    <t>Cash Available for Sweep</t>
  </si>
  <si>
    <t>Sweep %</t>
  </si>
  <si>
    <t>Cash Swept</t>
  </si>
  <si>
    <t>Summary</t>
  </si>
  <si>
    <t>Principal Repayment</t>
  </si>
  <si>
    <t>Interest Expsense</t>
  </si>
  <si>
    <t>DSRF Movements</t>
  </si>
  <si>
    <t>DSRF Active</t>
  </si>
  <si>
    <t>Max DSRF Amount</t>
  </si>
  <si>
    <t>CFADS</t>
  </si>
  <si>
    <t>Debt Service</t>
  </si>
  <si>
    <t>Debt Service Shortfall</t>
  </si>
  <si>
    <t xml:space="preserve"> Repayment Via Cash Sweep</t>
  </si>
  <si>
    <t>Unddrawn DSRF</t>
  </si>
  <si>
    <t>Applied Margin</t>
  </si>
  <si>
    <t>Interest Payable</t>
  </si>
  <si>
    <t>Min DSCR for Sculpting</t>
  </si>
  <si>
    <t>Actual Gearing</t>
  </si>
  <si>
    <t>Actual Min DSCR</t>
  </si>
  <si>
    <t>Constraint Applied</t>
  </si>
  <si>
    <t>Interest</t>
  </si>
  <si>
    <t>Corporate Tax</t>
  </si>
  <si>
    <t>Cash Taxable Income</t>
  </si>
  <si>
    <t>Net Operating Loss Schedule</t>
  </si>
  <si>
    <t xml:space="preserve"> Additions</t>
  </si>
  <si>
    <t xml:space="preserve"> Utilisation</t>
  </si>
  <si>
    <t>Tax Calculation</t>
  </si>
  <si>
    <t>NOLs Utilisation</t>
  </si>
  <si>
    <t>Adjusted Cash Taxable Income</t>
  </si>
  <si>
    <t>Rate</t>
  </si>
  <si>
    <t>Tax Rate</t>
  </si>
  <si>
    <t>Corporate Tax Paid</t>
  </si>
  <si>
    <t>Depreciation</t>
  </si>
  <si>
    <t>Net PP&amp;E Balance</t>
  </si>
  <si>
    <t>Remaining Operating Periods</t>
  </si>
  <si>
    <t>Depreciation Rate</t>
  </si>
  <si>
    <t xml:space="preserve"> CAPEX</t>
  </si>
  <si>
    <t xml:space="preserve"> Capitalised Fees</t>
  </si>
  <si>
    <t xml:space="preserve"> Capitalised Interest</t>
  </si>
  <si>
    <t xml:space="preserve"> Lifecycle Spend</t>
  </si>
  <si>
    <t xml:space="preserve"> Depreciation</t>
  </si>
  <si>
    <t>OpEx</t>
  </si>
  <si>
    <t>Operating Margin</t>
  </si>
  <si>
    <t>EBIT</t>
  </si>
  <si>
    <t xml:space="preserve"> Senior Debt Interest Expense</t>
  </si>
  <si>
    <t xml:space="preserve"> DSRF Interest</t>
  </si>
  <si>
    <t>Earnings Before Tax (EBT)</t>
  </si>
  <si>
    <t xml:space="preserve"> Tax Paid</t>
  </si>
  <si>
    <t>Net Income</t>
  </si>
  <si>
    <t>Net Margin</t>
  </si>
  <si>
    <t>Dividend Distribution</t>
  </si>
  <si>
    <t>Retained Earnings</t>
  </si>
  <si>
    <t>Depreciated</t>
  </si>
  <si>
    <t>Tax Paid</t>
  </si>
  <si>
    <t>Working Capital Adjsutments</t>
  </si>
  <si>
    <t>Operating Cash Flow</t>
  </si>
  <si>
    <t>Cash Flow Before Financing</t>
  </si>
  <si>
    <t>Share Capital Drawdown</t>
  </si>
  <si>
    <t>Senior Debt Drawdown</t>
  </si>
  <si>
    <t>Cash Flow To Sweep</t>
  </si>
  <si>
    <t>Cash Flow to DSRF</t>
  </si>
  <si>
    <t>DSRF Drawdown</t>
  </si>
  <si>
    <t>Cash Sweep - DSRF Repayment</t>
  </si>
  <si>
    <t>DSRF Interest</t>
  </si>
  <si>
    <t>Cash Flow To Equity</t>
  </si>
  <si>
    <t>Shortfall Equity Injected</t>
  </si>
  <si>
    <t>Net Cash Flow</t>
  </si>
  <si>
    <t>Covenant</t>
  </si>
  <si>
    <t>Debt Repayment Counter</t>
  </si>
  <si>
    <t>Total Debt Service</t>
  </si>
  <si>
    <t>Min DSCR Covenant</t>
  </si>
  <si>
    <t>DSCR</t>
  </si>
  <si>
    <t>Distribution Trigger</t>
  </si>
  <si>
    <t>Distributable Earnings</t>
  </si>
  <si>
    <t>Cumulative Distributions - Opening Balance</t>
  </si>
  <si>
    <t xml:space="preserve"> Current Distributable Earnings</t>
  </si>
  <si>
    <t>Cumulative Before Distributions</t>
  </si>
  <si>
    <t>Cumulative Distributions - Closing  Balance</t>
  </si>
  <si>
    <t>Distributable Cash</t>
  </si>
  <si>
    <t>Opening Cash Balance</t>
  </si>
  <si>
    <t xml:space="preserve"> Current Distributable Cash</t>
  </si>
  <si>
    <t>Closing Cash Balance</t>
  </si>
  <si>
    <t>Cumulative Distributable Earnings</t>
  </si>
  <si>
    <t>Cumulative Distributable Cash</t>
  </si>
  <si>
    <t>Dividend Declared</t>
  </si>
  <si>
    <t>Dividend Distributed</t>
  </si>
  <si>
    <t>Accounts</t>
  </si>
  <si>
    <t>Equity Balance</t>
  </si>
  <si>
    <t xml:space="preserve"> Shortfall Equity Injected</t>
  </si>
  <si>
    <t xml:space="preserve"> Retained Earnings</t>
  </si>
  <si>
    <t xml:space="preserve">  </t>
  </si>
  <si>
    <t>Cash</t>
  </si>
  <si>
    <t xml:space="preserve"> Cash In Period</t>
  </si>
  <si>
    <t>Returns</t>
  </si>
  <si>
    <t>Change in Working Capital</t>
  </si>
  <si>
    <t>Levered Free Cash Flow</t>
  </si>
  <si>
    <t>Equity Injected</t>
  </si>
  <si>
    <t>Dividends Distributed</t>
  </si>
  <si>
    <t>Levered IRR</t>
  </si>
  <si>
    <t>Project</t>
  </si>
  <si>
    <t>Weighted Average Cost of Capital</t>
  </si>
  <si>
    <t>Interest Margin</t>
  </si>
  <si>
    <t>Cost of Debt</t>
  </si>
  <si>
    <t>Weighted Average Cost of Debt</t>
  </si>
  <si>
    <t>WACC</t>
  </si>
  <si>
    <t>Cumulative Days</t>
  </si>
  <si>
    <t>Unlevered Cash Flow to Equity</t>
  </si>
  <si>
    <t>Discounted Cash Flow</t>
  </si>
  <si>
    <t>Debt Repayment Period</t>
  </si>
  <si>
    <t>Assets</t>
  </si>
  <si>
    <t>Non-Current Assets</t>
  </si>
  <si>
    <t>Net PP&amp;E</t>
  </si>
  <si>
    <t>Current Assets</t>
  </si>
  <si>
    <t>Total Assets</t>
  </si>
  <si>
    <t>Liabilities &amp; Equity</t>
  </si>
  <si>
    <t>Liabilities</t>
  </si>
  <si>
    <t>Share Capital</t>
  </si>
  <si>
    <t>Total Liabilities &amp; Equity</t>
  </si>
  <si>
    <t>Difference</t>
  </si>
  <si>
    <t>Balanced?</t>
  </si>
  <si>
    <t>Macro</t>
  </si>
  <si>
    <t>Live</t>
  </si>
  <si>
    <t>Paste</t>
  </si>
  <si>
    <t>Aggregate</t>
  </si>
  <si>
    <t>Drawdown</t>
  </si>
  <si>
    <t>Repayment %</t>
  </si>
  <si>
    <t>Interest Payment</t>
  </si>
  <si>
    <t>Period</t>
  </si>
  <si>
    <t>Year</t>
  </si>
  <si>
    <t>Audit</t>
  </si>
  <si>
    <t>S Surve Fully Allocated</t>
  </si>
  <si>
    <t>Tariff Optimised</t>
  </si>
  <si>
    <t>Fully Depreciated</t>
  </si>
  <si>
    <t>Model Balanced</t>
  </si>
  <si>
    <t>Gas Pipeline Acquisition</t>
  </si>
  <si>
    <t>Buyout Metrics</t>
  </si>
  <si>
    <t>Equity Valuation at Acquisition</t>
  </si>
  <si>
    <t>Buyout Capital Structure</t>
  </si>
  <si>
    <t>Project Sources &amp; Uses</t>
  </si>
  <si>
    <t>EV</t>
  </si>
  <si>
    <t>Uses ($m)</t>
  </si>
  <si>
    <t>Exit Year</t>
  </si>
  <si>
    <t>Value of Equity Stake</t>
  </si>
  <si>
    <t>Sources ($m)</t>
  </si>
  <si>
    <t>Buyout Value</t>
  </si>
  <si>
    <t>Integrity</t>
  </si>
  <si>
    <t>Sources = Uses (Buyout)</t>
  </si>
  <si>
    <t>Balance Sheet</t>
  </si>
  <si>
    <t>Project Metrics</t>
  </si>
  <si>
    <t>Project Capital Structure</t>
  </si>
  <si>
    <t>Unleverd IRR</t>
  </si>
  <si>
    <t>Project Valuation</t>
  </si>
  <si>
    <t>Equity Valuation</t>
  </si>
  <si>
    <t>Min DSCR (Sculpted)</t>
  </si>
  <si>
    <t>Senior Debt Commitment</t>
  </si>
  <si>
    <t>Weghted Cost of Debt</t>
  </si>
  <si>
    <t>Operational Data</t>
  </si>
  <si>
    <t>Total CAPEX</t>
  </si>
  <si>
    <t>GTA Tenor</t>
  </si>
  <si>
    <t>Tariff (Unescalated)</t>
  </si>
  <si>
    <t>MW</t>
  </si>
  <si>
    <t>Capacity Factor</t>
  </si>
  <si>
    <t>Operating Costs</t>
  </si>
  <si>
    <t>Electricity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</si>
</sst>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_-;\-* #,##0.00_-;_-* &quot;-&quot;??_-;_-@_-"/>
    <numFmt numFmtId="165" formatCode="#,##0.00;[Red]\-#,##0.00;&quot;-&quot;;"/>
    <numFmt numFmtId="166" formatCode="0%;[Red]\-0%;&quot;-&quot;"/>
    <numFmt numFmtId="167" formatCode="#,##0;\-#,##0;\ &quot;-&quot;"/>
    <numFmt numFmtId="168" formatCode="#,##0;[Red]\-#,##0;&quot;-&quot;"/>
    <numFmt numFmtId="169" formatCode="#,##0.0;\-#,##0.0;\ &quot;-&quot;"/>
    <numFmt numFmtId="170" formatCode="[$-409]dd\-mmm\-yy;@"/>
    <numFmt numFmtId="171" formatCode="0.00&quot; x&quot;"/>
    <numFmt numFmtId="172" formatCode="0.00&quot; x&quot;;[Red]\ \ 0.00&quot; x&quot;;\ &quot;    -&quot;"/>
    <numFmt numFmtId="173" formatCode="0.00%;[Red]\-0.00%;&quot;-&quot;"/>
    <numFmt numFmtId="174" formatCode="#,##0.0;[Red]\-#,##0.0;&quot;-&quot;"/>
    <numFmt numFmtId="175" formatCode="0.0%;[Red]\-0.0%;&quot;-&quot;"/>
    <numFmt numFmtId="176" formatCode="&quot;Buyout&quot;"/>
    <numFmt numFmtId="177" formatCode="&quot;DSCR&quot;"/>
    <numFmt numFmtId="178" formatCode="&quot;&quot;"/>
    <numFmt numFmtId="179" formatCode="&quot;IRR&quot;"/>
    <numFmt numFmtId="180" formatCode="0.0\x_)"/>
    <numFmt numFmtId="181" formatCode="0.00\x_)"/>
    <numFmt numFmtId="182" formatCode="#,##0.00;\-#,##0.00;&quot;-&quot;;"/>
    <numFmt numFmtId="183" formatCode="#,##0.00;[Red]\-#,##0.00;&quot;-&quot;"/>
    <numFmt numFmtId="184" formatCode="0.00\x"/>
    <numFmt numFmtId="185" formatCode="0_ ;[Red]\-0\ 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i/>
      <sz val="10"/>
      <color theme="0"/>
      <name val="Arial"/>
      <family val="2"/>
    </font>
    <font>
      <b/>
      <sz val="10"/>
      <color theme="4"/>
      <name val="Arial"/>
      <family val="2"/>
    </font>
    <font>
      <sz val="10"/>
      <name val="Arial"/>
      <family val="2"/>
    </font>
    <font>
      <b/>
      <u/>
      <sz val="10"/>
      <color theme="1"/>
      <name val="Arial"/>
      <family val="2"/>
    </font>
    <font>
      <sz val="10"/>
      <name val="Calibri"/>
      <family val="2"/>
      <scheme val="minor"/>
    </font>
    <font>
      <sz val="10"/>
      <color theme="4"/>
      <name val="Arial"/>
      <family val="2"/>
    </font>
    <font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i/>
      <sz val="10"/>
      <color theme="0" tint="-0.499984740745262"/>
      <name val="Arial"/>
      <family val="2"/>
    </font>
    <font>
      <sz val="10"/>
      <color rgb="FF000000"/>
      <name val="Arial"/>
      <family val="2"/>
    </font>
    <font>
      <b/>
      <u/>
      <sz val="10"/>
      <color theme="0"/>
      <name val="Arial"/>
      <family val="2"/>
    </font>
    <font>
      <b/>
      <sz val="10"/>
      <color theme="0" tint="-0.499984740745262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theme="2" tint="-0.499984740745262"/>
      <name val="Arial"/>
      <family val="2"/>
    </font>
    <font>
      <sz val="11"/>
      <name val="Calibri"/>
      <family val="2"/>
      <scheme val="minor"/>
    </font>
    <font>
      <i/>
      <sz val="10"/>
      <color theme="1"/>
      <name val="Arial"/>
      <family val="2"/>
    </font>
    <font>
      <b/>
      <sz val="28"/>
      <color theme="0"/>
      <name val="Arial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3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/>
      <top/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1" fontId="11" fillId="0" borderId="0"/>
    <xf numFmtId="0" fontId="9" fillId="0" borderId="0"/>
    <xf numFmtId="0" fontId="1" fillId="0" borderId="0"/>
  </cellStyleXfs>
  <cellXfs count="330">
    <xf numFmtId="0" fontId="0" fillId="0" borderId="0" xfId="0"/>
    <xf numFmtId="0" fontId="3" fillId="2" borderId="0" xfId="0" applyFont="1" applyFill="1"/>
    <xf numFmtId="0" fontId="4" fillId="2" borderId="0" xfId="0" applyFont="1" applyFill="1" applyAlignment="1">
      <alignment horizontal="left"/>
    </xf>
    <xf numFmtId="0" fontId="5" fillId="2" borderId="0" xfId="0" applyFont="1" applyFill="1"/>
    <xf numFmtId="167" fontId="3" fillId="2" borderId="0" xfId="0" applyNumberFormat="1" applyFont="1" applyFill="1" applyAlignment="1">
      <alignment horizontal="right"/>
    </xf>
    <xf numFmtId="0" fontId="5" fillId="3" borderId="0" xfId="0" applyFont="1" applyFill="1"/>
    <xf numFmtId="0" fontId="6" fillId="3" borderId="0" xfId="0" applyFont="1" applyFill="1"/>
    <xf numFmtId="0" fontId="4" fillId="3" borderId="0" xfId="0" applyFont="1" applyFill="1" applyAlignment="1">
      <alignment horizontal="left"/>
    </xf>
    <xf numFmtId="0" fontId="7" fillId="3" borderId="0" xfId="0" applyFont="1" applyFill="1"/>
    <xf numFmtId="0" fontId="4" fillId="0" borderId="0" xfId="0" applyFont="1" applyAlignment="1">
      <alignment horizontal="left"/>
    </xf>
    <xf numFmtId="165" fontId="0" fillId="0" borderId="0" xfId="0" applyNumberFormat="1"/>
    <xf numFmtId="1" fontId="8" fillId="0" borderId="2" xfId="0" applyNumberFormat="1" applyFont="1" applyBorder="1" applyAlignment="1">
      <alignment horizontal="center"/>
    </xf>
    <xf numFmtId="168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9" fillId="0" borderId="2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70" fontId="9" fillId="0" borderId="0" xfId="0" applyNumberFormat="1" applyFont="1" applyAlignment="1">
      <alignment horizontal="center"/>
    </xf>
    <xf numFmtId="0" fontId="10" fillId="0" borderId="0" xfId="0" applyFont="1"/>
    <xf numFmtId="172" fontId="12" fillId="0" borderId="0" xfId="3" applyNumberFormat="1" applyFont="1" applyAlignment="1">
      <alignment horizontal="center"/>
    </xf>
    <xf numFmtId="0" fontId="13" fillId="0" borderId="0" xfId="0" applyFont="1"/>
    <xf numFmtId="173" fontId="9" fillId="0" borderId="0" xfId="0" applyNumberFormat="1" applyFont="1" applyAlignment="1">
      <alignment horizontal="center"/>
    </xf>
    <xf numFmtId="165" fontId="0" fillId="4" borderId="0" xfId="0" applyNumberFormat="1" applyFill="1" applyAlignment="1">
      <alignment horizontal="center"/>
    </xf>
    <xf numFmtId="165" fontId="0" fillId="0" borderId="0" xfId="0" applyNumberFormat="1" applyAlignment="1">
      <alignment horizontal="right"/>
    </xf>
    <xf numFmtId="0" fontId="0" fillId="0" borderId="3" xfId="0" applyBorder="1"/>
    <xf numFmtId="0" fontId="4" fillId="0" borderId="3" xfId="0" applyFont="1" applyBorder="1" applyAlignment="1">
      <alignment horizontal="left"/>
    </xf>
    <xf numFmtId="0" fontId="9" fillId="0" borderId="3" xfId="0" applyFont="1" applyBorder="1"/>
    <xf numFmtId="165" fontId="12" fillId="0" borderId="4" xfId="0" applyNumberFormat="1" applyFont="1" applyBorder="1" applyAlignment="1">
      <alignment horizontal="center"/>
    </xf>
    <xf numFmtId="1" fontId="9" fillId="0" borderId="3" xfId="0" applyNumberFormat="1" applyFont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7" fontId="0" fillId="0" borderId="3" xfId="0" applyNumberFormat="1" applyBorder="1" applyAlignment="1">
      <alignment horizontal="right"/>
    </xf>
    <xf numFmtId="165" fontId="0" fillId="0" borderId="3" xfId="0" applyNumberFormat="1" applyBorder="1" applyAlignment="1">
      <alignment horizontal="right"/>
    </xf>
    <xf numFmtId="165" fontId="14" fillId="4" borderId="0" xfId="0" applyNumberFormat="1" applyFont="1" applyFill="1" applyAlignment="1">
      <alignment horizontal="center"/>
    </xf>
    <xf numFmtId="167" fontId="14" fillId="0" borderId="0" xfId="0" applyNumberFormat="1" applyFont="1" applyAlignment="1">
      <alignment horizontal="right"/>
    </xf>
    <xf numFmtId="165" fontId="14" fillId="0" borderId="0" xfId="0" applyNumberFormat="1" applyFont="1" applyAlignment="1">
      <alignment horizontal="right"/>
    </xf>
    <xf numFmtId="0" fontId="3" fillId="3" borderId="0" xfId="0" applyFont="1" applyFill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5" fillId="0" borderId="0" xfId="0" applyFont="1"/>
    <xf numFmtId="0" fontId="15" fillId="0" borderId="0" xfId="0" applyFont="1"/>
    <xf numFmtId="0" fontId="6" fillId="0" borderId="0" xfId="0" applyFont="1"/>
    <xf numFmtId="0" fontId="7" fillId="0" borderId="0" xfId="0" applyFont="1"/>
    <xf numFmtId="165" fontId="5" fillId="0" borderId="0" xfId="0" applyNumberFormat="1" applyFont="1"/>
    <xf numFmtId="169" fontId="0" fillId="0" borderId="0" xfId="0" applyNumberFormat="1"/>
    <xf numFmtId="174" fontId="0" fillId="0" borderId="0" xfId="0" applyNumberFormat="1"/>
    <xf numFmtId="174" fontId="0" fillId="0" borderId="3" xfId="0" applyNumberFormat="1" applyBorder="1"/>
    <xf numFmtId="174" fontId="14" fillId="0" borderId="0" xfId="0" applyNumberFormat="1" applyFont="1"/>
    <xf numFmtId="175" fontId="8" fillId="0" borderId="2" xfId="0" applyNumberFormat="1" applyFont="1" applyBorder="1" applyAlignment="1">
      <alignment horizontal="center"/>
    </xf>
    <xf numFmtId="165" fontId="14" fillId="0" borderId="0" xfId="0" applyNumberFormat="1" applyFont="1"/>
    <xf numFmtId="175" fontId="8" fillId="0" borderId="0" xfId="0" applyNumberFormat="1" applyFont="1" applyAlignment="1">
      <alignment horizontal="center"/>
    </xf>
    <xf numFmtId="175" fontId="9" fillId="0" borderId="0" xfId="2" applyNumberFormat="1" applyFont="1" applyFill="1" applyBorder="1" applyAlignment="1">
      <alignment horizontal="center"/>
    </xf>
    <xf numFmtId="0" fontId="4" fillId="0" borderId="0" xfId="0" applyFont="1"/>
    <xf numFmtId="175" fontId="0" fillId="0" borderId="0" xfId="0" applyNumberFormat="1"/>
    <xf numFmtId="175" fontId="0" fillId="0" borderId="3" xfId="0" applyNumberFormat="1" applyBorder="1"/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175" fontId="14" fillId="0" borderId="0" xfId="0" applyNumberFormat="1" applyFont="1" applyAlignment="1">
      <alignment vertical="top"/>
    </xf>
    <xf numFmtId="168" fontId="14" fillId="0" borderId="0" xfId="0" applyNumberFormat="1" applyFont="1" applyAlignment="1">
      <alignment vertical="top"/>
    </xf>
    <xf numFmtId="175" fontId="9" fillId="0" borderId="2" xfId="0" applyNumberFormat="1" applyFont="1" applyBorder="1" applyAlignment="1">
      <alignment horizontal="center"/>
    </xf>
    <xf numFmtId="166" fontId="0" fillId="0" borderId="0" xfId="0" applyNumberFormat="1"/>
    <xf numFmtId="166" fontId="9" fillId="0" borderId="0" xfId="0" applyNumberFormat="1" applyFont="1" applyAlignment="1">
      <alignment horizontal="center"/>
    </xf>
    <xf numFmtId="0" fontId="14" fillId="0" borderId="0" xfId="0" applyFont="1"/>
    <xf numFmtId="176" fontId="14" fillId="0" borderId="0" xfId="0" applyNumberFormat="1" applyFont="1" applyAlignment="1">
      <alignment horizontal="center"/>
    </xf>
    <xf numFmtId="177" fontId="4" fillId="0" borderId="0" xfId="0" applyNumberFormat="1" applyFont="1" applyAlignment="1">
      <alignment horizontal="left"/>
    </xf>
    <xf numFmtId="168" fontId="0" fillId="0" borderId="0" xfId="0" applyNumberFormat="1"/>
    <xf numFmtId="173" fontId="12" fillId="0" borderId="0" xfId="3" applyNumberFormat="1" applyFont="1" applyAlignment="1">
      <alignment horizontal="center"/>
    </xf>
    <xf numFmtId="178" fontId="0" fillId="0" borderId="0" xfId="0" applyNumberFormat="1"/>
    <xf numFmtId="172" fontId="4" fillId="0" borderId="0" xfId="3" applyNumberFormat="1" applyFont="1" applyAlignment="1">
      <alignment horizontal="left"/>
    </xf>
    <xf numFmtId="166" fontId="13" fillId="0" borderId="0" xfId="0" applyNumberFormat="1" applyFont="1" applyAlignment="1">
      <alignment horizontal="center"/>
    </xf>
    <xf numFmtId="172" fontId="9" fillId="0" borderId="0" xfId="3" applyNumberFormat="1" applyFont="1"/>
    <xf numFmtId="173" fontId="9" fillId="0" borderId="0" xfId="3" applyNumberFormat="1" applyFont="1" applyAlignment="1">
      <alignment horizontal="center"/>
    </xf>
    <xf numFmtId="166" fontId="8" fillId="0" borderId="2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179" fontId="14" fillId="0" borderId="0" xfId="0" applyNumberFormat="1" applyFont="1" applyAlignment="1">
      <alignment horizontal="center"/>
    </xf>
    <xf numFmtId="178" fontId="0" fillId="0" borderId="3" xfId="0" applyNumberFormat="1" applyBorder="1"/>
    <xf numFmtId="173" fontId="0" fillId="0" borderId="3" xfId="0" applyNumberFormat="1" applyBorder="1"/>
    <xf numFmtId="172" fontId="4" fillId="0" borderId="3" xfId="3" applyNumberFormat="1" applyFont="1" applyBorder="1" applyAlignment="1">
      <alignment horizontal="left"/>
    </xf>
    <xf numFmtId="173" fontId="0" fillId="0" borderId="0" xfId="0" applyNumberFormat="1"/>
    <xf numFmtId="172" fontId="9" fillId="0" borderId="0" xfId="3" applyNumberFormat="1" applyFont="1" applyAlignment="1">
      <alignment horizontal="center"/>
    </xf>
    <xf numFmtId="166" fontId="9" fillId="0" borderId="2" xfId="0" applyNumberFormat="1" applyFont="1" applyBorder="1" applyAlignment="1">
      <alignment horizontal="center"/>
    </xf>
    <xf numFmtId="165" fontId="9" fillId="0" borderId="2" xfId="0" applyNumberFormat="1" applyFont="1" applyBorder="1" applyAlignment="1">
      <alignment horizontal="center"/>
    </xf>
    <xf numFmtId="180" fontId="9" fillId="0" borderId="2" xfId="4" applyNumberFormat="1" applyBorder="1" applyAlignment="1">
      <alignment horizontal="center"/>
    </xf>
    <xf numFmtId="172" fontId="0" fillId="0" borderId="0" xfId="0" applyNumberFormat="1"/>
    <xf numFmtId="0" fontId="1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172" fontId="14" fillId="0" borderId="0" xfId="0" applyNumberFormat="1" applyFont="1"/>
    <xf numFmtId="0" fontId="17" fillId="0" borderId="0" xfId="0" applyFont="1"/>
    <xf numFmtId="173" fontId="9" fillId="0" borderId="0" xfId="0" applyNumberFormat="1" applyFont="1"/>
    <xf numFmtId="1" fontId="5" fillId="0" borderId="0" xfId="0" applyNumberFormat="1" applyFon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5" fontId="9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80" fontId="9" fillId="0" borderId="0" xfId="4" applyNumberFormat="1" applyAlignment="1">
      <alignment horizontal="center"/>
    </xf>
    <xf numFmtId="0" fontId="4" fillId="2" borderId="0" xfId="0" applyFont="1" applyFill="1"/>
    <xf numFmtId="0" fontId="12" fillId="0" borderId="0" xfId="0" applyFont="1"/>
    <xf numFmtId="0" fontId="0" fillId="0" borderId="0" xfId="0" applyAlignment="1">
      <alignment horizontal="right"/>
    </xf>
    <xf numFmtId="167" fontId="0" fillId="0" borderId="0" xfId="0" applyNumberFormat="1"/>
    <xf numFmtId="1" fontId="12" fillId="0" borderId="0" xfId="0" applyNumberFormat="1" applyFont="1" applyAlignment="1">
      <alignment horizontal="center"/>
    </xf>
    <xf numFmtId="168" fontId="0" fillId="0" borderId="0" xfId="0" applyNumberFormat="1" applyAlignment="1">
      <alignment horizontal="right"/>
    </xf>
    <xf numFmtId="0" fontId="8" fillId="0" borderId="5" xfId="0" applyFont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3" borderId="9" xfId="0" applyFont="1" applyFill="1" applyBorder="1"/>
    <xf numFmtId="0" fontId="20" fillId="3" borderId="9" xfId="0" applyFont="1" applyFill="1" applyBorder="1" applyAlignment="1">
      <alignment horizontal="left"/>
    </xf>
    <xf numFmtId="0" fontId="7" fillId="3" borderId="9" xfId="0" applyFont="1" applyFill="1" applyBorder="1"/>
    <xf numFmtId="170" fontId="12" fillId="0" borderId="0" xfId="0" applyNumberFormat="1" applyFont="1"/>
    <xf numFmtId="168" fontId="0" fillId="0" borderId="2" xfId="2" applyNumberFormat="1" applyFont="1" applyBorder="1" applyAlignment="1">
      <alignment horizontal="center"/>
    </xf>
    <xf numFmtId="1" fontId="12" fillId="0" borderId="0" xfId="0" applyNumberFormat="1" applyFont="1"/>
    <xf numFmtId="165" fontId="0" fillId="0" borderId="2" xfId="2" applyNumberFormat="1" applyFont="1" applyBorder="1" applyAlignment="1">
      <alignment horizontal="center"/>
    </xf>
    <xf numFmtId="165" fontId="14" fillId="0" borderId="2" xfId="2" applyNumberFormat="1" applyFont="1" applyBorder="1" applyAlignment="1">
      <alignment horizontal="center"/>
    </xf>
    <xf numFmtId="173" fontId="9" fillId="0" borderId="2" xfId="2" applyNumberFormat="1" applyFont="1" applyBorder="1" applyAlignment="1">
      <alignment horizontal="center"/>
    </xf>
    <xf numFmtId="165" fontId="9" fillId="0" borderId="0" xfId="0" applyNumberFormat="1" applyFont="1"/>
    <xf numFmtId="4" fontId="12" fillId="0" borderId="0" xfId="0" applyNumberFormat="1" applyFont="1"/>
    <xf numFmtId="4" fontId="15" fillId="0" borderId="0" xfId="0" applyNumberFormat="1" applyFont="1"/>
    <xf numFmtId="4" fontId="4" fillId="0" borderId="0" xfId="0" applyNumberFormat="1" applyFont="1" applyAlignment="1">
      <alignment horizontal="left"/>
    </xf>
    <xf numFmtId="4" fontId="9" fillId="0" borderId="0" xfId="0" applyNumberFormat="1" applyFont="1"/>
    <xf numFmtId="165" fontId="9" fillId="0" borderId="2" xfId="2" applyNumberFormat="1" applyFont="1" applyBorder="1" applyAlignment="1">
      <alignment horizontal="center"/>
    </xf>
    <xf numFmtId="0" fontId="0" fillId="4" borderId="10" xfId="0" applyFill="1" applyBorder="1" applyAlignment="1">
      <alignment vertical="top"/>
    </xf>
    <xf numFmtId="0" fontId="14" fillId="4" borderId="10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182" fontId="8" fillId="4" borderId="10" xfId="0" applyNumberFormat="1" applyFont="1" applyFill="1" applyBorder="1" applyAlignment="1">
      <alignment vertical="top"/>
    </xf>
    <xf numFmtId="165" fontId="14" fillId="4" borderId="10" xfId="0" applyNumberFormat="1" applyFont="1" applyFill="1" applyBorder="1" applyAlignment="1">
      <alignment vertical="top"/>
    </xf>
    <xf numFmtId="10" fontId="9" fillId="0" borderId="0" xfId="2" applyNumberFormat="1" applyFont="1" applyFill="1" applyBorder="1" applyAlignment="1">
      <alignment horizontal="center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83" fontId="0" fillId="0" borderId="2" xfId="2" applyNumberFormat="1" applyFont="1" applyBorder="1" applyAlignment="1">
      <alignment horizontal="center"/>
    </xf>
    <xf numFmtId="4" fontId="9" fillId="0" borderId="0" xfId="0" applyNumberFormat="1" applyFont="1" applyAlignment="1">
      <alignment horizontal="left"/>
    </xf>
    <xf numFmtId="173" fontId="0" fillId="0" borderId="2" xfId="2" applyNumberFormat="1" applyFont="1" applyBorder="1" applyAlignment="1">
      <alignment horizontal="center"/>
    </xf>
    <xf numFmtId="0" fontId="5" fillId="3" borderId="0" xfId="0" applyFont="1" applyFill="1" applyAlignment="1">
      <alignment horizontal="center"/>
    </xf>
    <xf numFmtId="10" fontId="0" fillId="0" borderId="0" xfId="0" applyNumberFormat="1"/>
    <xf numFmtId="0" fontId="20" fillId="3" borderId="0" xfId="0" applyFont="1" applyFill="1" applyAlignment="1">
      <alignment horizontal="left"/>
    </xf>
    <xf numFmtId="0" fontId="22" fillId="0" borderId="0" xfId="0" applyFont="1"/>
    <xf numFmtId="0" fontId="21" fillId="0" borderId="0" xfId="0" applyFont="1"/>
    <xf numFmtId="181" fontId="9" fillId="0" borderId="2" xfId="4" applyNumberFormat="1" applyBorder="1" applyAlignment="1">
      <alignment horizontal="center"/>
    </xf>
    <xf numFmtId="0" fontId="9" fillId="0" borderId="0" xfId="0" applyFont="1" applyAlignment="1">
      <alignment horizontal="left"/>
    </xf>
    <xf numFmtId="9" fontId="17" fillId="0" borderId="0" xfId="0" applyNumberFormat="1" applyFont="1"/>
    <xf numFmtId="9" fontId="12" fillId="0" borderId="0" xfId="2" applyFont="1" applyFill="1" applyBorder="1"/>
    <xf numFmtId="3" fontId="12" fillId="0" borderId="11" xfId="0" applyNumberFormat="1" applyFont="1" applyBorder="1" applyAlignment="1">
      <alignment horizontal="center"/>
    </xf>
    <xf numFmtId="9" fontId="0" fillId="0" borderId="0" xfId="2" applyFont="1"/>
    <xf numFmtId="170" fontId="9" fillId="0" borderId="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185" fontId="5" fillId="0" borderId="0" xfId="0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2" applyNumberFormat="1" applyFont="1" applyFill="1" applyBorder="1"/>
    <xf numFmtId="9" fontId="0" fillId="0" borderId="0" xfId="2" applyFont="1" applyFill="1" applyBorder="1"/>
    <xf numFmtId="0" fontId="23" fillId="0" borderId="0" xfId="0" applyFont="1"/>
    <xf numFmtId="173" fontId="0" fillId="4" borderId="0" xfId="0" applyNumberFormat="1" applyFill="1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2" applyFont="1" applyBorder="1" applyAlignment="1">
      <alignment horizontal="center"/>
    </xf>
    <xf numFmtId="170" fontId="6" fillId="0" borderId="0" xfId="0" applyNumberFormat="1" applyFont="1" applyAlignment="1">
      <alignment horizontal="center"/>
    </xf>
    <xf numFmtId="173" fontId="9" fillId="0" borderId="0" xfId="2" applyNumberFormat="1" applyFont="1" applyBorder="1"/>
    <xf numFmtId="2" fontId="0" fillId="0" borderId="0" xfId="0" applyNumberFormat="1"/>
    <xf numFmtId="0" fontId="4" fillId="0" borderId="3" xfId="0" applyFont="1" applyBorder="1"/>
    <xf numFmtId="165" fontId="0" fillId="0" borderId="3" xfId="0" applyNumberFormat="1" applyBorder="1"/>
    <xf numFmtId="0" fontId="14" fillId="0" borderId="12" xfId="0" applyFont="1" applyBorder="1"/>
    <xf numFmtId="0" fontId="0" fillId="0" borderId="12" xfId="0" applyBorder="1"/>
    <xf numFmtId="0" fontId="4" fillId="0" borderId="12" xfId="0" applyFont="1" applyBorder="1"/>
    <xf numFmtId="165" fontId="14" fillId="4" borderId="12" xfId="0" applyNumberFormat="1" applyFont="1" applyFill="1" applyBorder="1" applyAlignment="1">
      <alignment horizontal="center"/>
    </xf>
    <xf numFmtId="165" fontId="14" fillId="0" borderId="12" xfId="0" applyNumberFormat="1" applyFont="1" applyBorder="1"/>
    <xf numFmtId="168" fontId="9" fillId="0" borderId="2" xfId="0" applyNumberFormat="1" applyFont="1" applyBorder="1" applyAlignment="1">
      <alignment horizontal="center"/>
    </xf>
    <xf numFmtId="182" fontId="9" fillId="0" borderId="0" xfId="0" applyNumberFormat="1" applyFont="1"/>
    <xf numFmtId="165" fontId="0" fillId="4" borderId="12" xfId="0" applyNumberFormat="1" applyFill="1" applyBorder="1" applyAlignment="1">
      <alignment horizontal="center"/>
    </xf>
    <xf numFmtId="168" fontId="0" fillId="0" borderId="3" xfId="0" applyNumberFormat="1" applyBorder="1"/>
    <xf numFmtId="168" fontId="14" fillId="0" borderId="0" xfId="0" applyNumberFormat="1" applyFont="1"/>
    <xf numFmtId="168" fontId="14" fillId="0" borderId="12" xfId="0" applyNumberFormat="1" applyFont="1" applyBorder="1"/>
    <xf numFmtId="182" fontId="12" fillId="0" borderId="0" xfId="0" applyNumberFormat="1" applyFont="1"/>
    <xf numFmtId="173" fontId="9" fillId="0" borderId="2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8" fontId="14" fillId="4" borderId="0" xfId="0" applyNumberFormat="1" applyFont="1" applyFill="1" applyAlignment="1">
      <alignment horizontal="center"/>
    </xf>
    <xf numFmtId="4" fontId="0" fillId="0" borderId="0" xfId="0" applyNumberFormat="1"/>
    <xf numFmtId="4" fontId="0" fillId="0" borderId="3" xfId="0" applyNumberFormat="1" applyBorder="1"/>
    <xf numFmtId="168" fontId="14" fillId="4" borderId="12" xfId="0" applyNumberFormat="1" applyFont="1" applyFill="1" applyBorder="1" applyAlignment="1">
      <alignment horizontal="center"/>
    </xf>
    <xf numFmtId="168" fontId="9" fillId="0" borderId="2" xfId="2" applyNumberFormat="1" applyFont="1" applyFill="1" applyBorder="1" applyAlignment="1">
      <alignment horizontal="center"/>
    </xf>
    <xf numFmtId="165" fontId="16" fillId="0" borderId="0" xfId="1" applyNumberFormat="1" applyFont="1"/>
    <xf numFmtId="165" fontId="0" fillId="0" borderId="0" xfId="1" applyNumberFormat="1" applyFont="1" applyFill="1" applyBorder="1"/>
    <xf numFmtId="165" fontId="6" fillId="0" borderId="13" xfId="0" applyNumberFormat="1" applyFont="1" applyBorder="1" applyAlignment="1">
      <alignment horizontal="center"/>
    </xf>
    <xf numFmtId="0" fontId="24" fillId="0" borderId="0" xfId="0" applyFont="1"/>
    <xf numFmtId="165" fontId="9" fillId="6" borderId="2" xfId="0" applyNumberFormat="1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182" fontId="12" fillId="0" borderId="3" xfId="0" applyNumberFormat="1" applyFont="1" applyBorder="1"/>
    <xf numFmtId="166" fontId="6" fillId="0" borderId="2" xfId="0" applyNumberFormat="1" applyFont="1" applyBorder="1" applyAlignment="1">
      <alignment horizontal="center"/>
    </xf>
    <xf numFmtId="166" fontId="6" fillId="0" borderId="13" xfId="0" applyNumberFormat="1" applyFont="1" applyBorder="1" applyAlignment="1">
      <alignment horizontal="center"/>
    </xf>
    <xf numFmtId="173" fontId="14" fillId="0" borderId="0" xfId="0" applyNumberFormat="1" applyFont="1"/>
    <xf numFmtId="168" fontId="8" fillId="0" borderId="2" xfId="2" applyNumberFormat="1" applyFont="1" applyFill="1" applyBorder="1" applyAlignment="1">
      <alignment horizontal="center"/>
    </xf>
    <xf numFmtId="165" fontId="9" fillId="0" borderId="2" xfId="2" applyNumberFormat="1" applyFont="1" applyFill="1" applyBorder="1" applyAlignment="1">
      <alignment horizontal="center"/>
    </xf>
    <xf numFmtId="9" fontId="9" fillId="0" borderId="2" xfId="2" applyFont="1" applyBorder="1" applyAlignment="1">
      <alignment horizontal="center"/>
    </xf>
    <xf numFmtId="173" fontId="9" fillId="0" borderId="0" xfId="3" applyNumberFormat="1" applyFont="1"/>
    <xf numFmtId="173" fontId="9" fillId="0" borderId="2" xfId="2" applyNumberFormat="1" applyFont="1" applyFill="1" applyBorder="1" applyAlignment="1">
      <alignment horizontal="center"/>
    </xf>
    <xf numFmtId="173" fontId="9" fillId="0" borderId="0" xfId="2" applyNumberFormat="1" applyFont="1" applyFill="1" applyBorder="1" applyAlignment="1">
      <alignment horizontal="center"/>
    </xf>
    <xf numFmtId="10" fontId="14" fillId="0" borderId="0" xfId="0" applyNumberFormat="1" applyFont="1"/>
    <xf numFmtId="173" fontId="25" fillId="0" borderId="0" xfId="2" applyNumberFormat="1" applyFont="1" applyFill="1" applyAlignment="1">
      <alignment horizontal="right"/>
    </xf>
    <xf numFmtId="9" fontId="9" fillId="0" borderId="0" xfId="2" applyFont="1" applyFill="1" applyBorder="1" applyAlignment="1">
      <alignment horizontal="center"/>
    </xf>
    <xf numFmtId="173" fontId="25" fillId="0" borderId="0" xfId="0" applyNumberFormat="1" applyFont="1"/>
    <xf numFmtId="0" fontId="24" fillId="0" borderId="3" xfId="0" applyFont="1" applyBorder="1"/>
    <xf numFmtId="165" fontId="6" fillId="0" borderId="0" xfId="0" applyNumberFormat="1" applyFont="1"/>
    <xf numFmtId="0" fontId="14" fillId="0" borderId="0" xfId="0" applyFont="1" applyAlignment="1">
      <alignment horizontal="right"/>
    </xf>
    <xf numFmtId="173" fontId="9" fillId="0" borderId="0" xfId="4" applyNumberFormat="1" applyAlignment="1">
      <alignment horizontal="center"/>
    </xf>
    <xf numFmtId="10" fontId="12" fillId="0" borderId="0" xfId="2" applyNumberFormat="1" applyFont="1" applyFill="1" applyBorder="1" applyAlignment="1">
      <alignment horizontal="center"/>
    </xf>
    <xf numFmtId="4" fontId="12" fillId="0" borderId="0" xfId="0" applyNumberFormat="1" applyFont="1" applyAlignment="1">
      <alignment horizontal="center"/>
    </xf>
    <xf numFmtId="4" fontId="9" fillId="0" borderId="0" xfId="0" applyNumberFormat="1" applyFont="1" applyAlignment="1">
      <alignment horizontal="center"/>
    </xf>
    <xf numFmtId="165" fontId="12" fillId="0" borderId="0" xfId="0" applyNumberFormat="1" applyFont="1" applyAlignment="1">
      <alignment horizontal="center"/>
    </xf>
    <xf numFmtId="4" fontId="6" fillId="0" borderId="0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173" fontId="12" fillId="0" borderId="0" xfId="2" applyNumberFormat="1" applyFont="1" applyFill="1" applyBorder="1" applyAlignment="1">
      <alignment horizontal="center"/>
    </xf>
    <xf numFmtId="184" fontId="12" fillId="0" borderId="0" xfId="5" applyNumberFormat="1" applyFont="1" applyAlignment="1">
      <alignment horizontal="center"/>
    </xf>
    <xf numFmtId="173" fontId="6" fillId="0" borderId="0" xfId="2" applyNumberFormat="1" applyFont="1" applyFill="1" applyBorder="1" applyAlignment="1">
      <alignment horizontal="center"/>
    </xf>
    <xf numFmtId="185" fontId="9" fillId="0" borderId="0" xfId="0" applyNumberFormat="1" applyFont="1" applyAlignment="1">
      <alignment horizontal="center"/>
    </xf>
    <xf numFmtId="3" fontId="12" fillId="0" borderId="0" xfId="0" applyNumberFormat="1" applyFont="1" applyAlignment="1">
      <alignment horizontal="center"/>
    </xf>
    <xf numFmtId="170" fontId="12" fillId="0" borderId="0" xfId="0" applyNumberFormat="1" applyFont="1" applyAlignment="1">
      <alignment horizontal="center"/>
    </xf>
    <xf numFmtId="173" fontId="9" fillId="0" borderId="2" xfId="4" applyNumberFormat="1" applyBorder="1" applyAlignment="1">
      <alignment horizontal="center"/>
    </xf>
    <xf numFmtId="171" fontId="9" fillId="0" borderId="0" xfId="3" applyFont="1"/>
    <xf numFmtId="165" fontId="9" fillId="0" borderId="2" xfId="4" applyNumberFormat="1" applyBorder="1" applyAlignment="1">
      <alignment horizontal="center"/>
    </xf>
    <xf numFmtId="173" fontId="2" fillId="0" borderId="0" xfId="0" applyNumberFormat="1" applyFont="1"/>
    <xf numFmtId="0" fontId="0" fillId="6" borderId="0" xfId="0" applyFill="1"/>
    <xf numFmtId="0" fontId="4" fillId="6" borderId="0" xfId="0" applyFont="1" applyFill="1"/>
    <xf numFmtId="165" fontId="0" fillId="6" borderId="0" xfId="0" applyNumberFormat="1" applyFill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9" fillId="7" borderId="0" xfId="0" applyFont="1" applyFill="1" applyAlignment="1">
      <alignment horizontal="center"/>
    </xf>
    <xf numFmtId="1" fontId="9" fillId="7" borderId="0" xfId="0" applyNumberFormat="1" applyFont="1" applyFill="1" applyAlignment="1">
      <alignment horizontal="center"/>
    </xf>
    <xf numFmtId="165" fontId="9" fillId="7" borderId="0" xfId="0" applyNumberFormat="1" applyFont="1" applyFill="1" applyAlignment="1">
      <alignment horizontal="center"/>
    </xf>
    <xf numFmtId="165" fontId="9" fillId="7" borderId="14" xfId="0" applyNumberFormat="1" applyFont="1" applyFill="1" applyBorder="1" applyAlignment="1">
      <alignment horizontal="center"/>
    </xf>
    <xf numFmtId="0" fontId="9" fillId="7" borderId="14" xfId="0" applyFont="1" applyFill="1" applyBorder="1" applyAlignment="1">
      <alignment horizontal="center"/>
    </xf>
    <xf numFmtId="1" fontId="9" fillId="7" borderId="14" xfId="0" applyNumberFormat="1" applyFont="1" applyFill="1" applyBorder="1" applyAlignment="1">
      <alignment horizontal="center"/>
    </xf>
    <xf numFmtId="0" fontId="6" fillId="0" borderId="0" xfId="0" applyFont="1" applyAlignment="1">
      <alignment horizontal="left"/>
    </xf>
    <xf numFmtId="173" fontId="9" fillId="7" borderId="0" xfId="2" applyNumberFormat="1" applyFont="1" applyFill="1" applyAlignment="1">
      <alignment horizontal="center"/>
    </xf>
    <xf numFmtId="173" fontId="9" fillId="0" borderId="0" xfId="2" applyNumberFormat="1" applyFont="1" applyAlignment="1">
      <alignment horizontal="center"/>
    </xf>
    <xf numFmtId="173" fontId="9" fillId="7" borderId="14" xfId="2" applyNumberFormat="1" applyFont="1" applyFill="1" applyBorder="1" applyAlignment="1">
      <alignment horizontal="center"/>
    </xf>
    <xf numFmtId="173" fontId="6" fillId="0" borderId="0" xfId="2" applyNumberFormat="1" applyFont="1" applyAlignment="1">
      <alignment horizont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center"/>
    </xf>
    <xf numFmtId="1" fontId="9" fillId="0" borderId="1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5" borderId="0" xfId="0" applyFill="1"/>
    <xf numFmtId="0" fontId="4" fillId="5" borderId="0" xfId="0" applyFont="1" applyFill="1"/>
    <xf numFmtId="0" fontId="0" fillId="5" borderId="0" xfId="0" applyFill="1" applyAlignment="1">
      <alignment horizontal="center"/>
    </xf>
    <xf numFmtId="0" fontId="5" fillId="5" borderId="0" xfId="0" applyFont="1" applyFill="1"/>
    <xf numFmtId="0" fontId="5" fillId="5" borderId="0" xfId="0" applyFont="1" applyFill="1" applyAlignment="1">
      <alignment horizontal="left"/>
    </xf>
    <xf numFmtId="0" fontId="0" fillId="5" borderId="15" xfId="0" applyFill="1" applyBorder="1"/>
    <xf numFmtId="0" fontId="0" fillId="0" borderId="16" xfId="0" applyBorder="1"/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68" fontId="9" fillId="0" borderId="0" xfId="3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5" borderId="0" xfId="0" applyFill="1" applyAlignment="1">
      <alignment vertical="center"/>
    </xf>
    <xf numFmtId="175" fontId="9" fillId="0" borderId="0" xfId="0" applyNumberFormat="1" applyFont="1" applyAlignment="1">
      <alignment horizontal="center"/>
    </xf>
    <xf numFmtId="165" fontId="0" fillId="5" borderId="0" xfId="0" applyNumberFormat="1" applyFill="1" applyAlignment="1">
      <alignment vertical="center"/>
    </xf>
    <xf numFmtId="166" fontId="9" fillId="5" borderId="0" xfId="0" applyNumberFormat="1" applyFont="1" applyFill="1" applyAlignment="1">
      <alignment horizontal="center" vertical="center"/>
    </xf>
    <xf numFmtId="175" fontId="9" fillId="0" borderId="3" xfId="0" applyNumberFormat="1" applyFont="1" applyBorder="1" applyAlignment="1">
      <alignment horizontal="center"/>
    </xf>
    <xf numFmtId="175" fontId="14" fillId="0" borderId="0" xfId="0" applyNumberFormat="1" applyFont="1" applyAlignment="1">
      <alignment horizontal="center"/>
    </xf>
    <xf numFmtId="175" fontId="0" fillId="0" borderId="0" xfId="0" applyNumberFormat="1" applyAlignment="1">
      <alignment horizontal="center"/>
    </xf>
    <xf numFmtId="0" fontId="4" fillId="5" borderId="0" xfId="0" applyFont="1" applyFill="1" applyAlignment="1">
      <alignment vertical="center"/>
    </xf>
    <xf numFmtId="0" fontId="14" fillId="5" borderId="0" xfId="0" applyFont="1" applyFill="1" applyAlignment="1">
      <alignment vertical="center"/>
    </xf>
    <xf numFmtId="166" fontId="14" fillId="5" borderId="0" xfId="0" applyNumberFormat="1" applyFont="1" applyFill="1" applyAlignment="1">
      <alignment horizontal="center" vertical="center"/>
    </xf>
    <xf numFmtId="0" fontId="0" fillId="5" borderId="17" xfId="0" applyFill="1" applyBorder="1"/>
    <xf numFmtId="1" fontId="0" fillId="0" borderId="0" xfId="0" applyNumberFormat="1" applyAlignment="1">
      <alignment horizontal="center"/>
    </xf>
    <xf numFmtId="0" fontId="13" fillId="0" borderId="0" xfId="0" applyFont="1" applyAlignment="1">
      <alignment horizontal="left"/>
    </xf>
    <xf numFmtId="168" fontId="14" fillId="0" borderId="3" xfId="0" applyNumberFormat="1" applyFont="1" applyBorder="1"/>
    <xf numFmtId="0" fontId="9" fillId="0" borderId="0" xfId="3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9" fillId="5" borderId="0" xfId="0" applyFont="1" applyFill="1"/>
    <xf numFmtId="165" fontId="9" fillId="5" borderId="0" xfId="0" applyNumberFormat="1" applyFont="1" applyFill="1"/>
    <xf numFmtId="166" fontId="9" fillId="5" borderId="0" xfId="0" applyNumberFormat="1" applyFont="1" applyFill="1" applyAlignment="1">
      <alignment horizontal="center"/>
    </xf>
    <xf numFmtId="0" fontId="14" fillId="5" borderId="0" xfId="0" applyFont="1" applyFill="1"/>
    <xf numFmtId="166" fontId="14" fillId="5" borderId="0" xfId="0" applyNumberFormat="1" applyFont="1" applyFill="1" applyAlignment="1">
      <alignment horizontal="center"/>
    </xf>
    <xf numFmtId="168" fontId="9" fillId="0" borderId="3" xfId="0" applyNumberFormat="1" applyFont="1" applyBorder="1"/>
    <xf numFmtId="0" fontId="2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181" fontId="9" fillId="0" borderId="0" xfId="4" applyNumberFormat="1" applyAlignment="1">
      <alignment horizontal="center"/>
    </xf>
    <xf numFmtId="0" fontId="20" fillId="0" borderId="0" xfId="0" applyFont="1" applyAlignment="1">
      <alignment horizontal="left"/>
    </xf>
    <xf numFmtId="0" fontId="3" fillId="8" borderId="0" xfId="0" applyFont="1" applyFill="1"/>
    <xf numFmtId="0" fontId="9" fillId="8" borderId="0" xfId="0" applyFont="1" applyFill="1"/>
    <xf numFmtId="0" fontId="4" fillId="8" borderId="0" xfId="0" applyFont="1" applyFill="1"/>
    <xf numFmtId="9" fontId="3" fillId="8" borderId="0" xfId="2" applyFont="1" applyFill="1" applyBorder="1" applyAlignment="1">
      <alignment horizontal="center"/>
    </xf>
    <xf numFmtId="181" fontId="3" fillId="8" borderId="0" xfId="4" applyNumberFormat="1" applyFont="1" applyFill="1" applyAlignment="1">
      <alignment horizontal="center"/>
    </xf>
    <xf numFmtId="1" fontId="5" fillId="8" borderId="0" xfId="0" applyNumberFormat="1" applyFont="1" applyFill="1"/>
    <xf numFmtId="167" fontId="3" fillId="8" borderId="0" xfId="0" applyNumberFormat="1" applyFont="1" applyFill="1"/>
    <xf numFmtId="0" fontId="5" fillId="8" borderId="0" xfId="0" applyFont="1" applyFill="1" applyAlignment="1">
      <alignment horizontal="right"/>
    </xf>
    <xf numFmtId="9" fontId="3" fillId="8" borderId="2" xfId="2" applyFont="1" applyFill="1" applyBorder="1" applyAlignment="1">
      <alignment horizontal="center"/>
    </xf>
    <xf numFmtId="181" fontId="3" fillId="8" borderId="2" xfId="4" applyNumberFormat="1" applyFont="1" applyFill="1" applyBorder="1" applyAlignment="1">
      <alignment horizontal="center"/>
    </xf>
    <xf numFmtId="0" fontId="0" fillId="8" borderId="0" xfId="0" applyFill="1"/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center"/>
    </xf>
    <xf numFmtId="173" fontId="3" fillId="8" borderId="0" xfId="0" applyNumberFormat="1" applyFont="1" applyFill="1"/>
    <xf numFmtId="181" fontId="3" fillId="8" borderId="0" xfId="0" applyNumberFormat="1" applyFont="1" applyFill="1"/>
    <xf numFmtId="0" fontId="19" fillId="8" borderId="0" xfId="0" applyFont="1" applyFill="1"/>
    <xf numFmtId="0" fontId="4" fillId="8" borderId="0" xfId="0" applyFont="1" applyFill="1" applyAlignment="1">
      <alignment horizontal="left"/>
    </xf>
    <xf numFmtId="0" fontId="5" fillId="8" borderId="0" xfId="0" applyFont="1" applyFill="1"/>
    <xf numFmtId="14" fontId="3" fillId="8" borderId="0" xfId="0" applyNumberFormat="1" applyFont="1" applyFill="1"/>
    <xf numFmtId="1" fontId="3" fillId="8" borderId="0" xfId="0" applyNumberFormat="1" applyFont="1" applyFill="1"/>
    <xf numFmtId="165" fontId="5" fillId="8" borderId="1" xfId="0" applyNumberFormat="1" applyFont="1" applyFill="1" applyBorder="1" applyAlignment="1">
      <alignment horizontal="center"/>
    </xf>
    <xf numFmtId="1" fontId="3" fillId="8" borderId="0" xfId="0" applyNumberFormat="1" applyFont="1" applyFill="1" applyAlignment="1">
      <alignment horizontal="right"/>
    </xf>
    <xf numFmtId="166" fontId="3" fillId="8" borderId="1" xfId="0" applyNumberFormat="1" applyFont="1" applyFill="1" applyBorder="1" applyAlignment="1">
      <alignment horizontal="center"/>
    </xf>
    <xf numFmtId="167" fontId="3" fillId="8" borderId="0" xfId="0" applyNumberFormat="1" applyFont="1" applyFill="1" applyAlignment="1">
      <alignment horizontal="right"/>
    </xf>
    <xf numFmtId="165" fontId="4" fillId="0" borderId="0" xfId="0" applyNumberFormat="1" applyFont="1"/>
    <xf numFmtId="165" fontId="16" fillId="0" borderId="0" xfId="0" applyNumberFormat="1" applyFont="1"/>
    <xf numFmtId="185" fontId="27" fillId="0" borderId="0" xfId="0" applyNumberFormat="1" applyFont="1"/>
    <xf numFmtId="166" fontId="14" fillId="9" borderId="10" xfId="0" applyNumberFormat="1" applyFont="1" applyFill="1" applyBorder="1" applyAlignment="1">
      <alignment horizontal="center" vertical="center"/>
    </xf>
    <xf numFmtId="173" fontId="8" fillId="9" borderId="10" xfId="0" applyNumberFormat="1" applyFont="1" applyFill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168" fontId="9" fillId="0" borderId="0" xfId="0" applyNumberFormat="1" applyFont="1"/>
    <xf numFmtId="0" fontId="17" fillId="8" borderId="0" xfId="0" applyFont="1" applyFill="1"/>
    <xf numFmtId="165" fontId="3" fillId="8" borderId="0" xfId="0" applyNumberFormat="1" applyFont="1" applyFill="1" applyAlignment="1">
      <alignment horizontal="center"/>
    </xf>
    <xf numFmtId="9" fontId="12" fillId="0" borderId="0" xfId="2" applyFont="1" applyFill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3" applyNumberFormat="1" applyFont="1" applyAlignment="1">
      <alignment horizontal="center"/>
    </xf>
    <xf numFmtId="166" fontId="8" fillId="0" borderId="0" xfId="3" applyNumberFormat="1" applyFont="1" applyAlignment="1">
      <alignment horizontal="center"/>
    </xf>
    <xf numFmtId="0" fontId="26" fillId="5" borderId="0" xfId="0" applyFont="1" applyFill="1" applyAlignment="1">
      <alignment horizontal="left" vertical="center"/>
    </xf>
    <xf numFmtId="166" fontId="14" fillId="9" borderId="10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0" fontId="5" fillId="5" borderId="0" xfId="0" applyFont="1" applyFill="1" applyAlignment="1">
      <alignment horizontal="center" vertical="center" wrapText="1"/>
    </xf>
  </cellXfs>
  <cellStyles count="6">
    <cellStyle name="Comma" xfId="1" builtinId="3"/>
    <cellStyle name="Normal" xfId="0" builtinId="0"/>
    <cellStyle name="Normal 2" xfId="4" xr:uid="{1A609C2B-830C-430E-9767-1148E7A085D3}"/>
    <cellStyle name="Normal 2 2" xfId="5" xr:uid="{F4DECA3D-03AC-446D-A321-E2E8063DB875}"/>
    <cellStyle name="Percent" xfId="2" builtinId="5"/>
    <cellStyle name="Ratio X" xfId="3" xr:uid="{B9C7ADA7-4665-4CB4-9FB5-8088A9769F86}"/>
  </cellStyles>
  <dxfs count="217"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b val="0"/>
        <i val="0"/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4"/>
      </font>
      <fill>
        <patternFill patternType="none">
          <bgColor auto="1"/>
        </patternFill>
      </fill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/>
        <horizontal/>
      </border>
    </dxf>
    <dxf>
      <font>
        <color theme="4"/>
      </font>
      <fill>
        <patternFill patternType="none">
          <bgColor auto="1"/>
        </patternFill>
      </fill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/>
        <horizontal/>
      </border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4"/>
      </font>
      <fill>
        <patternFill patternType="none">
          <bgColor auto="1"/>
        </patternFill>
      </fill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/>
        <horizontal/>
      </border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4"/>
      </font>
      <fill>
        <patternFill>
          <bgColor rgb="FFFFFF99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4"/>
      </font>
      <fill>
        <patternFill>
          <bgColor rgb="FFFFFF99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4"/>
      </font>
      <fill>
        <patternFill>
          <bgColor rgb="FFFFFF99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/>
      </font>
      <fill>
        <patternFill patternType="none">
          <bgColor auto="1"/>
        </patternFill>
      </fill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/>
        <horizontal/>
      </border>
    </dxf>
    <dxf>
      <font>
        <b val="0"/>
        <i val="0"/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b val="0"/>
        <i val="0"/>
        <color theme="0"/>
      </font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2" tint="-0.499984740745262"/>
      </font>
      <fill>
        <patternFill>
          <bgColor theme="0" tint="-0.34998626667073579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Graphs!$I$13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Graphs!$J$13:$K$13</c:f>
              <c:numCache>
                <c:formatCode>General</c:formatCode>
                <c:ptCount val="2"/>
                <c:pt idx="0" formatCode="#,##0.00;[Red]\-#,##0.00;&quot;-&quot;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1-46EA-8CBB-9FAB3176A119}"/>
            </c:ext>
          </c:extLst>
        </c:ser>
        <c:ser>
          <c:idx val="1"/>
          <c:order val="1"/>
          <c:tx>
            <c:strRef>
              <c:f>Graphs!$I$14</c:f>
              <c:strCache>
                <c:ptCount val="1"/>
                <c:pt idx="0">
                  <c:v>Fees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Graphs!$J$14:$K$14</c:f>
              <c:numCache>
                <c:formatCode>General</c:formatCode>
                <c:ptCount val="2"/>
                <c:pt idx="0" formatCode="#,##0.00;[Red]\-#,##0.00;&quot;-&quot;;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1-46EA-8CBB-9FAB3176A119}"/>
            </c:ext>
          </c:extLst>
        </c:ser>
        <c:ser>
          <c:idx val="2"/>
          <c:order val="2"/>
          <c:tx>
            <c:strRef>
              <c:f>Graphs!$I$15</c:f>
              <c:strCache>
                <c:ptCount val="1"/>
                <c:pt idx="0">
                  <c:v>Interest During Construction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Graphs!$J$15:$K$15</c:f>
              <c:numCache>
                <c:formatCode>General</c:formatCode>
                <c:ptCount val="2"/>
                <c:pt idx="0" formatCode="#,##0.00;[Red]\-#,##0.00;&quot;-&quot;;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E1-46EA-8CBB-9FAB3176A119}"/>
            </c:ext>
          </c:extLst>
        </c:ser>
        <c:ser>
          <c:idx val="3"/>
          <c:order val="3"/>
          <c:tx>
            <c:strRef>
              <c:f>Graphs!$I$16</c:f>
              <c:strCache>
                <c:ptCount val="1"/>
                <c:pt idx="0">
                  <c:v>Equity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Graphs!$J$16:$K$16</c:f>
              <c:numCache>
                <c:formatCode>#,##0.00;[Red]\-#,##0.00;"-";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E1-46EA-8CBB-9FAB3176A119}"/>
            </c:ext>
          </c:extLst>
        </c:ser>
        <c:ser>
          <c:idx val="4"/>
          <c:order val="4"/>
          <c:tx>
            <c:strRef>
              <c:f>Graphs!$I$17</c:f>
              <c:strCache>
                <c:ptCount val="1"/>
                <c:pt idx="0">
                  <c:v>Senior Debt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Graphs!$J$17:$K$17</c:f>
              <c:numCache>
                <c:formatCode>#,##0.00;[Red]\-#,##0.00;"-";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E1-46EA-8CBB-9FAB3176A1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742076256"/>
        <c:axId val="1742077088"/>
      </c:barChart>
      <c:catAx>
        <c:axId val="17420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77088"/>
        <c:crosses val="autoZero"/>
        <c:auto val="1"/>
        <c:lblAlgn val="ctr"/>
        <c:lblOffset val="100"/>
        <c:noMultiLvlLbl val="0"/>
      </c:catAx>
      <c:valAx>
        <c:axId val="174207708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4207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Graphs!$D$58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Graphs!$P$58:$AX$58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689.23646455462131</c:v>
                </c:pt>
                <c:pt idx="4">
                  <c:v>726.07617346983329</c:v>
                </c:pt>
                <c:pt idx="5">
                  <c:v>724.84726961310537</c:v>
                </c:pt>
                <c:pt idx="6">
                  <c:v>721.96016533128272</c:v>
                </c:pt>
                <c:pt idx="7">
                  <c:v>695.31556848982996</c:v>
                </c:pt>
                <c:pt idx="8">
                  <c:v>715.36459821689311</c:v>
                </c:pt>
                <c:pt idx="9">
                  <c:v>713.20072603653944</c:v>
                </c:pt>
                <c:pt idx="10">
                  <c:v>711.44951405903475</c:v>
                </c:pt>
                <c:pt idx="11">
                  <c:v>708.32579318035619</c:v>
                </c:pt>
                <c:pt idx="12">
                  <c:v>680.98730996863117</c:v>
                </c:pt>
                <c:pt idx="13">
                  <c:v>701.27340845456899</c:v>
                </c:pt>
                <c:pt idx="14">
                  <c:v>698.84138998335129</c:v>
                </c:pt>
                <c:pt idx="15">
                  <c:v>696.51199800159645</c:v>
                </c:pt>
                <c:pt idx="16">
                  <c:v>693.11467781459464</c:v>
                </c:pt>
                <c:pt idx="17">
                  <c:v>665.02373588888156</c:v>
                </c:pt>
                <c:pt idx="18">
                  <c:v>685.5324636195769</c:v>
                </c:pt>
                <c:pt idx="19">
                  <c:v>682.79129418916682</c:v>
                </c:pt>
                <c:pt idx="20">
                  <c:v>679.81559859515005</c:v>
                </c:pt>
                <c:pt idx="21">
                  <c:v>676.09994621196131</c:v>
                </c:pt>
                <c:pt idx="22">
                  <c:v>647.19019686492595</c:v>
                </c:pt>
                <c:pt idx="23">
                  <c:v>667.90008451344318</c:v>
                </c:pt>
                <c:pt idx="24">
                  <c:v>664.80014662273754</c:v>
                </c:pt>
                <c:pt idx="25">
                  <c:v>661.09514885070848</c:v>
                </c:pt>
                <c:pt idx="26">
                  <c:v>657.00684880437257</c:v>
                </c:pt>
                <c:pt idx="27">
                  <c:v>627.20327059094939</c:v>
                </c:pt>
                <c:pt idx="28">
                  <c:v>648.08390300336418</c:v>
                </c:pt>
                <c:pt idx="29">
                  <c:v>646.98601261377337</c:v>
                </c:pt>
                <c:pt idx="30">
                  <c:v>645.10118881380924</c:v>
                </c:pt>
                <c:pt idx="31">
                  <c:v>643.19751677584543</c:v>
                </c:pt>
                <c:pt idx="32">
                  <c:v>615.09828022476381</c:v>
                </c:pt>
                <c:pt idx="33">
                  <c:v>638.74858850222404</c:v>
                </c:pt>
                <c:pt idx="34">
                  <c:v>637.53557238905933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C-42EE-B44D-3E400A791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761775"/>
        <c:axId val="790764687"/>
      </c:areaChart>
      <c:barChart>
        <c:barDir val="col"/>
        <c:grouping val="stacked"/>
        <c:varyColors val="0"/>
        <c:ser>
          <c:idx val="1"/>
          <c:order val="1"/>
          <c:tx>
            <c:strRef>
              <c:f>Graphs!$D$59</c:f>
              <c:strCache>
                <c:ptCount val="1"/>
                <c:pt idx="0">
                  <c:v>Principal Repayment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Graphs!$P$59:$AX$59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C-42EE-B44D-3E400A791117}"/>
            </c:ext>
          </c:extLst>
        </c:ser>
        <c:ser>
          <c:idx val="2"/>
          <c:order val="2"/>
          <c:tx>
            <c:strRef>
              <c:f>Graphs!$D$60</c:f>
              <c:strCache>
                <c:ptCount val="1"/>
                <c:pt idx="0">
                  <c:v>Cash Swept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Graphs!$P$60:$AX$60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5C-42EE-B44D-3E400A791117}"/>
            </c:ext>
          </c:extLst>
        </c:ser>
        <c:ser>
          <c:idx val="3"/>
          <c:order val="3"/>
          <c:tx>
            <c:strRef>
              <c:f>Graphs!$D$61</c:f>
              <c:strCache>
                <c:ptCount val="1"/>
                <c:pt idx="0">
                  <c:v>Interest Expense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Graphs!$P$61:$AX$61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5C-42EE-B44D-3E400A791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761775"/>
        <c:axId val="790764687"/>
      </c:barChart>
      <c:lineChart>
        <c:grouping val="standard"/>
        <c:varyColors val="0"/>
        <c:ser>
          <c:idx val="4"/>
          <c:order val="4"/>
          <c:tx>
            <c:strRef>
              <c:f>Graphs!$D$62</c:f>
              <c:strCache>
                <c:ptCount val="1"/>
                <c:pt idx="0">
                  <c:v>DSCR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Graphs!$P$62:$AX$62</c:f>
              <c:numCache>
                <c:formatCode>0.00" x";[Red]\ \ 0.00" x";\ "    -"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5C-42EE-B44D-3E400A791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65935"/>
        <c:axId val="790765519"/>
      </c:lineChart>
      <c:catAx>
        <c:axId val="790761775"/>
        <c:scaling>
          <c:orientation val="minMax"/>
        </c:scaling>
        <c:delete val="0"/>
        <c:axPos val="b"/>
        <c:numFmt formatCode="0_ ;[Red]\-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4687"/>
        <c:crosses val="autoZero"/>
        <c:auto val="1"/>
        <c:lblAlgn val="ctr"/>
        <c:lblOffset val="100"/>
        <c:noMultiLvlLbl val="0"/>
      </c:catAx>
      <c:valAx>
        <c:axId val="79076468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1775"/>
        <c:crosses val="autoZero"/>
        <c:crossBetween val="between"/>
      </c:valAx>
      <c:valAx>
        <c:axId val="790765519"/>
        <c:scaling>
          <c:orientation val="minMax"/>
        </c:scaling>
        <c:delete val="0"/>
        <c:axPos val="r"/>
        <c:numFmt formatCode="0.00&quot; x&quot;;[Red]\ \ 0.00&quot; x&quot;;\ &quot;    -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5935"/>
        <c:crosses val="max"/>
        <c:crossBetween val="between"/>
      </c:valAx>
      <c:catAx>
        <c:axId val="790765935"/>
        <c:scaling>
          <c:orientation val="minMax"/>
        </c:scaling>
        <c:delete val="1"/>
        <c:axPos val="b"/>
        <c:numFmt formatCode="0_ ;[Red]\-0\ " sourceLinked="1"/>
        <c:majorTickMark val="out"/>
        <c:minorTickMark val="none"/>
        <c:tickLblPos val="nextTo"/>
        <c:crossAx val="790765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Graphs!$I$13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Graphs!$J$13:$K$13</c:f>
              <c:numCache>
                <c:formatCode>General</c:formatCode>
                <c:ptCount val="2"/>
                <c:pt idx="0" formatCode="#,##0.00;[Red]\-#,##0.00;&quot;-&quot;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3-4EB7-8E43-50C8285FC01D}"/>
            </c:ext>
          </c:extLst>
        </c:ser>
        <c:ser>
          <c:idx val="1"/>
          <c:order val="1"/>
          <c:tx>
            <c:strRef>
              <c:f>Graphs!$I$14</c:f>
              <c:strCache>
                <c:ptCount val="1"/>
                <c:pt idx="0">
                  <c:v>Fees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Graphs!$J$14:$K$14</c:f>
              <c:numCache>
                <c:formatCode>General</c:formatCode>
                <c:ptCount val="2"/>
                <c:pt idx="0" formatCode="#,##0.00;[Red]\-#,##0.00;&quot;-&quot;;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83-4EB7-8E43-50C8285FC01D}"/>
            </c:ext>
          </c:extLst>
        </c:ser>
        <c:ser>
          <c:idx val="2"/>
          <c:order val="2"/>
          <c:tx>
            <c:strRef>
              <c:f>Graphs!$I$15</c:f>
              <c:strCache>
                <c:ptCount val="1"/>
                <c:pt idx="0">
                  <c:v>Interest During Construction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Graphs!$J$15:$K$15</c:f>
              <c:numCache>
                <c:formatCode>General</c:formatCode>
                <c:ptCount val="2"/>
                <c:pt idx="0" formatCode="#,##0.00;[Red]\-#,##0.00;&quot;-&quot;;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83-4EB7-8E43-50C8285FC01D}"/>
            </c:ext>
          </c:extLst>
        </c:ser>
        <c:ser>
          <c:idx val="3"/>
          <c:order val="3"/>
          <c:tx>
            <c:strRef>
              <c:f>Graphs!$I$16</c:f>
              <c:strCache>
                <c:ptCount val="1"/>
                <c:pt idx="0">
                  <c:v>Equity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Graphs!$J$16:$K$16</c:f>
              <c:numCache>
                <c:formatCode>#,##0.00;[Red]\-#,##0.00;"-";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83-4EB7-8E43-50C8285FC01D}"/>
            </c:ext>
          </c:extLst>
        </c:ser>
        <c:ser>
          <c:idx val="4"/>
          <c:order val="4"/>
          <c:tx>
            <c:strRef>
              <c:f>Graphs!$I$17</c:f>
              <c:strCache>
                <c:ptCount val="1"/>
                <c:pt idx="0">
                  <c:v>Senior Debt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Graphs!$J$12:$K$12</c:f>
              <c:strCache>
                <c:ptCount val="2"/>
                <c:pt idx="0">
                  <c:v>Uses</c:v>
                </c:pt>
                <c:pt idx="1">
                  <c:v>Sources</c:v>
                </c:pt>
              </c:strCache>
            </c:strRef>
          </c:cat>
          <c:val>
            <c:numRef>
              <c:f>Graphs!$J$17:$K$17</c:f>
              <c:numCache>
                <c:formatCode>#,##0.00;[Red]\-#,##0.00;"-";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83-4EB7-8E43-50C8285FC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2076256"/>
        <c:axId val="1742077088"/>
      </c:barChart>
      <c:catAx>
        <c:axId val="17420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77088"/>
        <c:crosses val="autoZero"/>
        <c:auto val="1"/>
        <c:lblAlgn val="ctr"/>
        <c:lblOffset val="100"/>
        <c:noMultiLvlLbl val="0"/>
      </c:catAx>
      <c:valAx>
        <c:axId val="17420770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7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Graphs!$D$58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Graphs!$P$58:$AX$58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689.23646455462131</c:v>
                </c:pt>
                <c:pt idx="4">
                  <c:v>726.07617346983329</c:v>
                </c:pt>
                <c:pt idx="5">
                  <c:v>724.84726961310537</c:v>
                </c:pt>
                <c:pt idx="6">
                  <c:v>721.96016533128272</c:v>
                </c:pt>
                <c:pt idx="7">
                  <c:v>695.31556848982996</c:v>
                </c:pt>
                <c:pt idx="8">
                  <c:v>715.36459821689311</c:v>
                </c:pt>
                <c:pt idx="9">
                  <c:v>713.20072603653944</c:v>
                </c:pt>
                <c:pt idx="10">
                  <c:v>711.44951405903475</c:v>
                </c:pt>
                <c:pt idx="11">
                  <c:v>708.32579318035619</c:v>
                </c:pt>
                <c:pt idx="12">
                  <c:v>680.98730996863117</c:v>
                </c:pt>
                <c:pt idx="13">
                  <c:v>701.27340845456899</c:v>
                </c:pt>
                <c:pt idx="14">
                  <c:v>698.84138998335129</c:v>
                </c:pt>
                <c:pt idx="15">
                  <c:v>696.51199800159645</c:v>
                </c:pt>
                <c:pt idx="16">
                  <c:v>693.11467781459464</c:v>
                </c:pt>
                <c:pt idx="17">
                  <c:v>665.02373588888156</c:v>
                </c:pt>
                <c:pt idx="18">
                  <c:v>685.5324636195769</c:v>
                </c:pt>
                <c:pt idx="19">
                  <c:v>682.79129418916682</c:v>
                </c:pt>
                <c:pt idx="20">
                  <c:v>679.81559859515005</c:v>
                </c:pt>
                <c:pt idx="21">
                  <c:v>676.09994621196131</c:v>
                </c:pt>
                <c:pt idx="22">
                  <c:v>647.19019686492595</c:v>
                </c:pt>
                <c:pt idx="23">
                  <c:v>667.90008451344318</c:v>
                </c:pt>
                <c:pt idx="24">
                  <c:v>664.80014662273754</c:v>
                </c:pt>
                <c:pt idx="25">
                  <c:v>661.09514885070848</c:v>
                </c:pt>
                <c:pt idx="26">
                  <c:v>657.00684880437257</c:v>
                </c:pt>
                <c:pt idx="27">
                  <c:v>627.20327059094939</c:v>
                </c:pt>
                <c:pt idx="28">
                  <c:v>648.08390300336418</c:v>
                </c:pt>
                <c:pt idx="29">
                  <c:v>646.98601261377337</c:v>
                </c:pt>
                <c:pt idx="30">
                  <c:v>645.10118881380924</c:v>
                </c:pt>
                <c:pt idx="31">
                  <c:v>643.19751677584543</c:v>
                </c:pt>
                <c:pt idx="32">
                  <c:v>615.09828022476381</c:v>
                </c:pt>
                <c:pt idx="33">
                  <c:v>638.74858850222404</c:v>
                </c:pt>
                <c:pt idx="34">
                  <c:v>637.53557238905933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1-47CC-B43A-19B3D636F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761775"/>
        <c:axId val="790764687"/>
      </c:areaChart>
      <c:barChart>
        <c:barDir val="col"/>
        <c:grouping val="stacked"/>
        <c:varyColors val="0"/>
        <c:ser>
          <c:idx val="1"/>
          <c:order val="1"/>
          <c:tx>
            <c:strRef>
              <c:f>Graphs!$D$59</c:f>
              <c:strCache>
                <c:ptCount val="1"/>
                <c:pt idx="0">
                  <c:v>Principal Repayment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Graphs!$P$59:$AX$59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1-47CC-B43A-19B3D636FFFF}"/>
            </c:ext>
          </c:extLst>
        </c:ser>
        <c:ser>
          <c:idx val="2"/>
          <c:order val="2"/>
          <c:tx>
            <c:strRef>
              <c:f>Graphs!$D$60</c:f>
              <c:strCache>
                <c:ptCount val="1"/>
                <c:pt idx="0">
                  <c:v>Cash Swept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Graphs!$P$60:$AX$60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D1-47CC-B43A-19B3D636FFFF}"/>
            </c:ext>
          </c:extLst>
        </c:ser>
        <c:ser>
          <c:idx val="3"/>
          <c:order val="3"/>
          <c:tx>
            <c:strRef>
              <c:f>Graphs!$D$61</c:f>
              <c:strCache>
                <c:ptCount val="1"/>
                <c:pt idx="0">
                  <c:v>Interest Expense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Graphs!$P$61:$AX$61</c:f>
              <c:numCache>
                <c:formatCode>#,##0.00;[Red]\-#,##0.00;"-";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D1-47CC-B43A-19B3D636F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90761775"/>
        <c:axId val="790764687"/>
      </c:barChart>
      <c:lineChart>
        <c:grouping val="standard"/>
        <c:varyColors val="0"/>
        <c:ser>
          <c:idx val="4"/>
          <c:order val="4"/>
          <c:tx>
            <c:strRef>
              <c:f>Graphs!$D$62</c:f>
              <c:strCache>
                <c:ptCount val="1"/>
                <c:pt idx="0">
                  <c:v>DSCR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Graphs!$P$57:$AX$57</c:f>
              <c:numCache>
                <c:formatCode>0_ ;[Red]\-0\ </c:formatCode>
                <c:ptCount val="3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</c:numCache>
            </c:numRef>
          </c:cat>
          <c:val>
            <c:numRef>
              <c:f>Graphs!$P$62:$AX$62</c:f>
              <c:numCache>
                <c:formatCode>0.00" x";[Red]\ \ 0.00" x";\ "    -"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D1-47CC-B43A-19B3D636F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65935"/>
        <c:axId val="790765519"/>
      </c:lineChart>
      <c:catAx>
        <c:axId val="790761775"/>
        <c:scaling>
          <c:orientation val="minMax"/>
        </c:scaling>
        <c:delete val="0"/>
        <c:axPos val="b"/>
        <c:numFmt formatCode="0_ ;[Red]\-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4687"/>
        <c:crosses val="autoZero"/>
        <c:auto val="1"/>
        <c:lblAlgn val="ctr"/>
        <c:lblOffset val="100"/>
        <c:noMultiLvlLbl val="0"/>
      </c:catAx>
      <c:valAx>
        <c:axId val="79076468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1775"/>
        <c:crosses val="autoZero"/>
        <c:crossBetween val="between"/>
      </c:valAx>
      <c:valAx>
        <c:axId val="790765519"/>
        <c:scaling>
          <c:orientation val="minMax"/>
        </c:scaling>
        <c:delete val="0"/>
        <c:axPos val="r"/>
        <c:numFmt formatCode="0.00&quot; x&quot;;[Red]\ \ 0.00&quot; x&quot;;\ &quot;    -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5935"/>
        <c:crosses val="max"/>
        <c:crossBetween val="between"/>
      </c:valAx>
      <c:catAx>
        <c:axId val="790765935"/>
        <c:scaling>
          <c:orientation val="minMax"/>
        </c:scaling>
        <c:delete val="1"/>
        <c:axPos val="b"/>
        <c:numFmt formatCode="0_ ;[Red]\-0\ " sourceLinked="1"/>
        <c:majorTickMark val="out"/>
        <c:minorTickMark val="none"/>
        <c:tickLblPos val="nextTo"/>
        <c:crossAx val="790765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K$2" max="5" min="1" page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7</xdr:row>
      <xdr:rowOff>38100</xdr:rowOff>
    </xdr:from>
    <xdr:to>
      <xdr:col>32</xdr:col>
      <xdr:colOff>0</xdr:colOff>
      <xdr:row>45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28</xdr:row>
      <xdr:rowOff>19050</xdr:rowOff>
    </xdr:from>
    <xdr:to>
      <xdr:col>18</xdr:col>
      <xdr:colOff>857250</xdr:colOff>
      <xdr:row>45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95250</xdr:rowOff>
        </xdr:from>
        <xdr:to>
          <xdr:col>4</xdr:col>
          <xdr:colOff>590550</xdr:colOff>
          <xdr:row>7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Model</a:t>
              </a: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152400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3</xdr:row>
          <xdr:rowOff>152400</xdr:rowOff>
        </xdr:from>
        <xdr:to>
          <xdr:col>4</xdr:col>
          <xdr:colOff>285750</xdr:colOff>
          <xdr:row>6</xdr:row>
          <xdr:rowOff>114300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A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Optimise Tariff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114300</xdr:rowOff>
        </xdr:from>
        <xdr:to>
          <xdr:col>4</xdr:col>
          <xdr:colOff>247650</xdr:colOff>
          <xdr:row>6</xdr:row>
          <xdr:rowOff>114300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CFADS Fix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20</xdr:row>
      <xdr:rowOff>28574</xdr:rowOff>
    </xdr:from>
    <xdr:to>
      <xdr:col>13</xdr:col>
      <xdr:colOff>247650</xdr:colOff>
      <xdr:row>50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800100</xdr:colOff>
      <xdr:row>53</xdr:row>
      <xdr:rowOff>76212</xdr:rowOff>
    </xdr:from>
    <xdr:to>
      <xdr:col>13</xdr:col>
      <xdr:colOff>381000</xdr:colOff>
      <xdr:row>69</xdr:row>
      <xdr:rowOff>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te/OneDrive/Desktop/My%20Project%20Finance%20Models/MS%20Excel%20Help/Gas%20Pipeline%20Acqui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- SPV"/>
      <sheetName val="Statements - SPV"/>
      <sheetName val="Sheet2"/>
      <sheetName val="Summary"/>
      <sheetName val="Buyout"/>
      <sheetName val="Statements - SPV (2)"/>
      <sheetName val="Sens"/>
      <sheetName val="InputC"/>
      <sheetName val="InputT"/>
      <sheetName val="Medgaz"/>
      <sheetName val="Timing"/>
      <sheetName val="IS"/>
      <sheetName val="CF"/>
      <sheetName val="BS"/>
      <sheetName val="CAPEX"/>
      <sheetName val="Ops"/>
      <sheetName val="Tariff"/>
      <sheetName val="Financing"/>
      <sheetName val="T&amp;D"/>
      <sheetName val="Equity"/>
      <sheetName val="Valuation"/>
      <sheetName val="Macro"/>
      <sheetName val="Amortisation"/>
      <sheetName val="Statements"/>
      <sheetName val="Graph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9">
          <cell r="J39">
            <v>41.522984604052155</v>
          </cell>
        </row>
      </sheetData>
      <sheetData sheetId="17">
        <row r="22">
          <cell r="C22" t="str">
            <v>CAPEX</v>
          </cell>
        </row>
      </sheetData>
      <sheetData sheetId="18"/>
      <sheetData sheetId="19">
        <row r="28">
          <cell r="J28" t="b">
            <v>1</v>
          </cell>
        </row>
      </sheetData>
      <sheetData sheetId="20"/>
      <sheetData sheetId="21">
        <row r="23">
          <cell r="J23" t="b">
            <v>1</v>
          </cell>
        </row>
      </sheetData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D2B3-D459-4A15-85B0-C4F6C6BAC05C}">
  <sheetPr codeName="Sheet17">
    <tabColor theme="1"/>
  </sheetPr>
  <dimension ref="A1:DC140"/>
  <sheetViews>
    <sheetView showGridLines="0" zoomScale="50" zoomScaleNormal="50" workbookViewId="0">
      <selection activeCell="Y5" sqref="Y5"/>
    </sheetView>
  </sheetViews>
  <sheetFormatPr defaultColWidth="0" defaultRowHeight="0" customHeight="1" zeroHeight="1" x14ac:dyDescent="0.25"/>
  <cols>
    <col min="1" max="2" width="3.28515625" customWidth="1"/>
    <col min="3" max="3" width="3.28515625" style="184" customWidth="1"/>
    <col min="4" max="7" width="14" customWidth="1"/>
    <col min="8" max="9" width="12.28515625" customWidth="1"/>
    <col min="10" max="10" width="4.28515625" customWidth="1"/>
    <col min="11" max="11" width="2.85546875" customWidth="1"/>
    <col min="12" max="12" width="3.140625" customWidth="1"/>
    <col min="13" max="13" width="14.5703125" customWidth="1"/>
    <col min="14" max="14" width="14" customWidth="1"/>
    <col min="15" max="15" width="12.5703125" customWidth="1"/>
    <col min="16" max="19" width="13.7109375" customWidth="1"/>
    <col min="20" max="20" width="2.85546875" customWidth="1"/>
    <col min="21" max="21" width="3.140625" customWidth="1"/>
    <col min="22" max="25" width="13.7109375" customWidth="1"/>
    <col min="26" max="26" width="5.140625" customWidth="1"/>
    <col min="27" max="27" width="3.140625" customWidth="1"/>
    <col min="28" max="32" width="13.7109375" customWidth="1"/>
    <col min="33" max="33" width="6.28515625" customWidth="1"/>
    <col min="34" max="97" width="13.7109375" hidden="1" customWidth="1"/>
    <col min="98" max="16384" width="9.140625" hidden="1"/>
  </cols>
  <sheetData>
    <row r="1" spans="1:97" s="242" customFormat="1" ht="12.75" customHeight="1" x14ac:dyDescent="0.25">
      <c r="F1" s="243"/>
      <c r="G1" s="243"/>
      <c r="I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4"/>
      <c r="AA1" s="244"/>
      <c r="AB1" s="244"/>
      <c r="AC1" s="244"/>
      <c r="AD1" s="244"/>
      <c r="AE1" s="244"/>
      <c r="AF1" s="244"/>
      <c r="AG1" s="244"/>
      <c r="AH1" s="148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</row>
    <row r="2" spans="1:97" s="242" customFormat="1" ht="12.75" customHeight="1" x14ac:dyDescent="0.25">
      <c r="C2" s="320" t="s">
        <v>379</v>
      </c>
      <c r="D2" s="320"/>
      <c r="E2" s="320"/>
      <c r="F2" s="320"/>
      <c r="G2" s="320"/>
      <c r="H2" s="320"/>
      <c r="I2" s="320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14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</row>
    <row r="3" spans="1:97" s="242" customFormat="1" ht="12.75" customHeight="1" x14ac:dyDescent="0.25">
      <c r="C3" s="320"/>
      <c r="D3" s="320"/>
      <c r="E3" s="320"/>
      <c r="F3" s="320"/>
      <c r="G3" s="320"/>
      <c r="H3" s="320"/>
      <c r="I3" s="320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148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</row>
    <row r="4" spans="1:97" s="242" customFormat="1" ht="12.75" customHeight="1" x14ac:dyDescent="0.25">
      <c r="C4" s="320"/>
      <c r="D4" s="320"/>
      <c r="E4" s="320"/>
      <c r="F4" s="320"/>
      <c r="G4" s="320"/>
      <c r="H4" s="320"/>
      <c r="I4" s="320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148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</row>
    <row r="5" spans="1:97" s="242" customFormat="1" ht="12.75" customHeight="1" x14ac:dyDescent="0.25">
      <c r="C5" s="320"/>
      <c r="D5" s="320"/>
      <c r="E5" s="320"/>
      <c r="F5" s="320"/>
      <c r="G5" s="320"/>
      <c r="H5" s="320"/>
      <c r="I5" s="320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4"/>
      <c r="Z5" s="244"/>
      <c r="AA5" s="244"/>
      <c r="AB5" s="244"/>
      <c r="AC5" s="244"/>
      <c r="AD5" s="244"/>
      <c r="AE5" s="244"/>
      <c r="AF5" s="244"/>
      <c r="AG5" s="244"/>
      <c r="AH5" s="148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</row>
    <row r="6" spans="1:97" s="242" customFormat="1" ht="12.75" customHeight="1" x14ac:dyDescent="0.25">
      <c r="F6" s="243"/>
      <c r="G6" s="243"/>
      <c r="I6" s="244"/>
      <c r="N6" s="244"/>
      <c r="O6" s="244"/>
      <c r="P6" s="244"/>
      <c r="Q6" s="244"/>
      <c r="R6" s="244"/>
      <c r="S6" s="244"/>
      <c r="T6" s="244"/>
      <c r="U6" s="244"/>
      <c r="V6" s="244"/>
      <c r="W6" s="244"/>
      <c r="X6" s="244"/>
      <c r="Y6" s="244"/>
      <c r="Z6" s="244"/>
      <c r="AA6" s="244"/>
      <c r="AB6" s="244"/>
      <c r="AC6" s="244"/>
      <c r="AD6" s="244"/>
      <c r="AE6" s="244"/>
      <c r="AF6" s="244"/>
      <c r="AG6" s="244"/>
      <c r="AH6" s="148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</row>
    <row r="7" spans="1:97" ht="12.75" customHeight="1" x14ac:dyDescent="0.25">
      <c r="A7" s="242"/>
      <c r="B7" s="242"/>
      <c r="C7" s="245" t="s">
        <v>380</v>
      </c>
      <c r="D7" s="242"/>
      <c r="E7" s="242"/>
      <c r="F7" s="243"/>
      <c r="G7" s="243"/>
      <c r="H7" s="242"/>
      <c r="I7" s="244"/>
      <c r="J7" s="244"/>
      <c r="K7" s="242"/>
      <c r="L7" s="246"/>
      <c r="M7" s="246" t="s">
        <v>381</v>
      </c>
      <c r="N7" s="246"/>
      <c r="O7" s="246"/>
      <c r="P7" s="246"/>
      <c r="Q7" s="246"/>
      <c r="R7" s="246"/>
      <c r="S7" s="246"/>
      <c r="T7" s="246"/>
      <c r="U7" s="242"/>
      <c r="V7" s="245" t="s">
        <v>382</v>
      </c>
      <c r="W7" s="242"/>
      <c r="X7" s="242"/>
      <c r="Y7" s="244"/>
      <c r="Z7" s="244"/>
      <c r="AA7" s="242"/>
      <c r="AB7" s="245" t="s">
        <v>383</v>
      </c>
      <c r="AC7" s="242"/>
      <c r="AD7" s="242"/>
      <c r="AE7" s="244"/>
      <c r="AF7" s="244"/>
      <c r="AG7" s="244"/>
      <c r="AH7" s="148"/>
      <c r="AI7" s="148"/>
    </row>
    <row r="8" spans="1:97" ht="12.75" customHeight="1" x14ac:dyDescent="0.25">
      <c r="A8" s="242"/>
      <c r="C8"/>
      <c r="F8" s="54"/>
      <c r="G8" s="54"/>
      <c r="I8" s="148"/>
      <c r="K8" s="247"/>
      <c r="L8" s="321" t="s">
        <v>29</v>
      </c>
      <c r="M8" s="321"/>
      <c r="N8" s="309">
        <v>1</v>
      </c>
      <c r="O8" s="310">
        <v>0.8</v>
      </c>
      <c r="P8" s="310">
        <v>0.5</v>
      </c>
      <c r="Q8" s="310">
        <v>0.3</v>
      </c>
      <c r="R8" s="311" t="s">
        <v>384</v>
      </c>
      <c r="S8" s="311" t="s">
        <v>49</v>
      </c>
      <c r="T8" s="244"/>
      <c r="V8" s="248"/>
      <c r="W8" s="248"/>
      <c r="X8" s="248"/>
      <c r="Y8" s="248"/>
      <c r="AA8" s="242"/>
      <c r="AB8" s="242"/>
      <c r="AC8" s="242"/>
      <c r="AD8" s="242"/>
      <c r="AE8" s="242"/>
      <c r="AF8" s="242"/>
      <c r="AG8" s="244"/>
      <c r="AH8" s="148"/>
      <c r="AI8" s="148"/>
    </row>
    <row r="9" spans="1:97" ht="12.75" customHeight="1" x14ac:dyDescent="0.25">
      <c r="A9" s="242"/>
      <c r="C9" t="s">
        <v>46</v>
      </c>
      <c r="F9" s="54" t="s">
        <v>17</v>
      </c>
      <c r="G9" s="54"/>
      <c r="I9" s="16">
        <f>Buyout!J14</f>
        <v>2026</v>
      </c>
      <c r="K9" s="247"/>
      <c r="N9" s="148"/>
      <c r="O9" s="148"/>
      <c r="P9" s="148"/>
      <c r="Q9" s="148"/>
      <c r="R9" s="148"/>
      <c r="S9" s="148"/>
      <c r="T9" s="244"/>
      <c r="V9" s="249" t="s">
        <v>385</v>
      </c>
      <c r="W9" s="250"/>
      <c r="X9" s="250"/>
      <c r="Y9" s="250"/>
      <c r="Z9" s="54"/>
      <c r="AA9" s="242"/>
      <c r="AB9" s="251"/>
      <c r="AC9" s="252"/>
      <c r="AD9" s="253"/>
      <c r="AE9" s="253"/>
      <c r="AF9" s="243"/>
      <c r="AG9" s="244"/>
      <c r="AH9" s="148"/>
      <c r="AI9" s="148"/>
    </row>
    <row r="10" spans="1:97" ht="12.75" customHeight="1" x14ac:dyDescent="0.25">
      <c r="A10" s="242"/>
      <c r="C10" t="s">
        <v>14</v>
      </c>
      <c r="F10" s="54" t="s">
        <v>132</v>
      </c>
      <c r="G10" s="54"/>
      <c r="I10" s="16">
        <f>Buyout!J15</f>
        <v>10</v>
      </c>
      <c r="K10" s="247"/>
      <c r="L10" s="319">
        <v>7.0000000000000007E-2</v>
      </c>
      <c r="M10" s="319"/>
      <c r="N10" s="94" t="e">
        <f>Buyout!E91</f>
        <v>#REF!</v>
      </c>
      <c r="O10" s="254" t="e">
        <f t="shared" ref="O10:Q24" si="0">O$8*$N10</f>
        <v>#REF!</v>
      </c>
      <c r="P10" s="254" t="e">
        <f t="shared" si="0"/>
        <v>#REF!</v>
      </c>
      <c r="Q10" s="254" t="e">
        <f t="shared" si="0"/>
        <v>#REF!</v>
      </c>
      <c r="R10" s="94" t="e">
        <f>Buyout!E108</f>
        <v>#REF!</v>
      </c>
      <c r="S10" s="255">
        <f>Buyout!E125</f>
        <v>0</v>
      </c>
      <c r="T10" s="244"/>
      <c r="W10" s="148"/>
      <c r="Z10" s="148"/>
      <c r="AA10" s="242"/>
      <c r="AB10" s="256"/>
      <c r="AC10" s="253"/>
      <c r="AD10" s="256"/>
      <c r="AE10" s="256"/>
      <c r="AF10" s="244"/>
      <c r="AG10" s="244"/>
      <c r="AH10" s="148"/>
      <c r="AI10" s="148"/>
    </row>
    <row r="11" spans="1:97" ht="12.75" customHeight="1" x14ac:dyDescent="0.25">
      <c r="A11" s="242"/>
      <c r="C11" t="s">
        <v>386</v>
      </c>
      <c r="F11" s="54" t="s">
        <v>17</v>
      </c>
      <c r="G11" s="54"/>
      <c r="I11" s="16">
        <f>Buyout!J16</f>
        <v>2036</v>
      </c>
      <c r="K11" s="247"/>
      <c r="L11" s="319">
        <f t="shared" ref="L11:L24" si="1">L10+1%</f>
        <v>0.08</v>
      </c>
      <c r="M11" s="319"/>
      <c r="N11" s="94" t="e">
        <f>Buyout!E92</f>
        <v>#REF!</v>
      </c>
      <c r="O11" s="254" t="e">
        <f t="shared" si="0"/>
        <v>#REF!</v>
      </c>
      <c r="P11" s="254" t="e">
        <f t="shared" si="0"/>
        <v>#REF!</v>
      </c>
      <c r="Q11" s="254" t="e">
        <f t="shared" si="0"/>
        <v>#REF!</v>
      </c>
      <c r="R11" s="94" t="e">
        <f>Buyout!E109</f>
        <v>#REF!</v>
      </c>
      <c r="S11" s="255">
        <f>Buyout!E126</f>
        <v>0</v>
      </c>
      <c r="T11" s="244"/>
      <c r="V11" t="s">
        <v>20</v>
      </c>
      <c r="W11" s="148"/>
      <c r="X11" s="68" t="e">
        <f>Buyout!J23</f>
        <v>#REF!</v>
      </c>
      <c r="Y11" s="257" t="e">
        <f>X11/$X$13</f>
        <v>#REF!</v>
      </c>
      <c r="Z11" s="148"/>
      <c r="AA11" s="242"/>
      <c r="AB11" s="256"/>
      <c r="AC11" s="253"/>
      <c r="AD11" s="258"/>
      <c r="AE11" s="259"/>
      <c r="AF11" s="244"/>
      <c r="AG11" s="244"/>
      <c r="AH11" s="148"/>
      <c r="AI11" s="148"/>
    </row>
    <row r="12" spans="1:97" ht="12.75" customHeight="1" x14ac:dyDescent="0.25">
      <c r="A12" s="242"/>
      <c r="C12" s="23"/>
      <c r="F12" s="54"/>
      <c r="G12" s="54"/>
      <c r="I12" s="148"/>
      <c r="K12" s="247"/>
      <c r="L12" s="319">
        <f t="shared" si="1"/>
        <v>0.09</v>
      </c>
      <c r="M12" s="319"/>
      <c r="N12" s="94" t="e">
        <f>Buyout!E93</f>
        <v>#REF!</v>
      </c>
      <c r="O12" s="254" t="e">
        <f t="shared" si="0"/>
        <v>#REF!</v>
      </c>
      <c r="P12" s="254" t="e">
        <f t="shared" si="0"/>
        <v>#REF!</v>
      </c>
      <c r="Q12" s="254" t="e">
        <f t="shared" si="0"/>
        <v>#REF!</v>
      </c>
      <c r="R12" s="94" t="e">
        <f>Buyout!E110</f>
        <v>#REF!</v>
      </c>
      <c r="S12" s="255">
        <f>Buyout!E127</f>
        <v>0</v>
      </c>
      <c r="T12" s="244"/>
      <c r="V12" s="27" t="s">
        <v>21</v>
      </c>
      <c r="W12" s="225"/>
      <c r="X12" s="170">
        <f>Buyout!J24</f>
        <v>40</v>
      </c>
      <c r="Y12" s="260" t="e">
        <f>X12/$X$13</f>
        <v>#REF!</v>
      </c>
      <c r="Z12" s="148"/>
      <c r="AA12" s="242"/>
      <c r="AB12" s="256"/>
      <c r="AC12" s="253"/>
      <c r="AD12" s="258"/>
      <c r="AE12" s="259"/>
      <c r="AF12" s="244"/>
      <c r="AG12" s="244"/>
      <c r="AH12" s="148"/>
      <c r="AI12" s="148"/>
    </row>
    <row r="13" spans="1:97" ht="12.75" customHeight="1" x14ac:dyDescent="0.25">
      <c r="A13" s="242"/>
      <c r="C13" t="s">
        <v>29</v>
      </c>
      <c r="F13" s="54" t="s">
        <v>6</v>
      </c>
      <c r="G13" s="54"/>
      <c r="I13" s="24" t="e">
        <f>InputC!#REF!</f>
        <v>#REF!</v>
      </c>
      <c r="K13" s="247"/>
      <c r="L13" s="319">
        <f t="shared" si="1"/>
        <v>9.9999999999999992E-2</v>
      </c>
      <c r="M13" s="319"/>
      <c r="N13" s="94" t="e">
        <f>Buyout!E94</f>
        <v>#REF!</v>
      </c>
      <c r="O13" s="254" t="e">
        <f t="shared" si="0"/>
        <v>#REF!</v>
      </c>
      <c r="P13" s="254" t="e">
        <f t="shared" si="0"/>
        <v>#REF!</v>
      </c>
      <c r="Q13" s="254" t="e">
        <f t="shared" si="0"/>
        <v>#REF!</v>
      </c>
      <c r="R13" s="94" t="e">
        <f>Buyout!E111</f>
        <v>#REF!</v>
      </c>
      <c r="S13" s="255">
        <f>Buyout!E128</f>
        <v>0</v>
      </c>
      <c r="T13" s="244"/>
      <c r="W13" s="148"/>
      <c r="X13" s="171" t="e">
        <f>SUM(X11:X12)</f>
        <v>#REF!</v>
      </c>
      <c r="Y13" s="261" t="e">
        <f>SUM(Y11:Y12)</f>
        <v>#REF!</v>
      </c>
      <c r="Z13" s="148"/>
      <c r="AA13" s="242"/>
      <c r="AB13" s="256"/>
      <c r="AC13" s="253"/>
      <c r="AD13" s="258"/>
      <c r="AE13" s="259"/>
      <c r="AF13" s="244"/>
      <c r="AG13" s="244"/>
      <c r="AH13" s="148"/>
      <c r="AI13" s="148"/>
    </row>
    <row r="14" spans="1:97" ht="12.75" customHeight="1" x14ac:dyDescent="0.25">
      <c r="A14" s="242"/>
      <c r="C14"/>
      <c r="F14" s="54"/>
      <c r="G14" s="54"/>
      <c r="I14" s="148"/>
      <c r="K14" s="247"/>
      <c r="L14" s="319">
        <f t="shared" si="1"/>
        <v>0.10999999999999999</v>
      </c>
      <c r="M14" s="319"/>
      <c r="N14" s="94" t="e">
        <f>Buyout!E95</f>
        <v>#REF!</v>
      </c>
      <c r="O14" s="254" t="e">
        <f t="shared" si="0"/>
        <v>#REF!</v>
      </c>
      <c r="P14" s="254" t="e">
        <f t="shared" si="0"/>
        <v>#REF!</v>
      </c>
      <c r="Q14" s="254" t="e">
        <f t="shared" si="0"/>
        <v>#REF!</v>
      </c>
      <c r="R14" s="94" t="e">
        <f>Buyout!E112</f>
        <v>#REF!</v>
      </c>
      <c r="S14" s="255">
        <f>Buyout!E129</f>
        <v>0</v>
      </c>
      <c r="T14" s="244"/>
      <c r="W14" s="54"/>
      <c r="X14" s="148"/>
      <c r="Y14" s="262"/>
      <c r="Z14" s="148"/>
      <c r="AA14" s="242"/>
      <c r="AB14" s="256"/>
      <c r="AC14" s="263"/>
      <c r="AD14" s="264"/>
      <c r="AE14" s="265"/>
      <c r="AF14" s="244"/>
      <c r="AG14" s="244"/>
      <c r="AH14" s="148"/>
      <c r="AI14" s="148"/>
    </row>
    <row r="15" spans="1:97" ht="12.75" customHeight="1" x14ac:dyDescent="0.25">
      <c r="A15" s="242"/>
      <c r="C15" t="s">
        <v>387</v>
      </c>
      <c r="F15" s="54" t="s">
        <v>3</v>
      </c>
      <c r="G15" s="54"/>
      <c r="I15" s="97" t="e">
        <f>Buyout!J23</f>
        <v>#REF!</v>
      </c>
      <c r="K15" s="247"/>
      <c r="L15" s="319">
        <f t="shared" si="1"/>
        <v>0.11999999999999998</v>
      </c>
      <c r="M15" s="319"/>
      <c r="N15" s="94" t="e">
        <f>Buyout!E96</f>
        <v>#REF!</v>
      </c>
      <c r="O15" s="254" t="e">
        <f t="shared" si="0"/>
        <v>#REF!</v>
      </c>
      <c r="P15" s="254" t="e">
        <f t="shared" si="0"/>
        <v>#REF!</v>
      </c>
      <c r="Q15" s="254" t="e">
        <f t="shared" si="0"/>
        <v>#REF!</v>
      </c>
      <c r="R15" s="94" t="e">
        <f>Buyout!E113</f>
        <v>#REF!</v>
      </c>
      <c r="S15" s="255">
        <f>Buyout!E130</f>
        <v>0</v>
      </c>
      <c r="T15" s="244"/>
      <c r="V15" s="249" t="s">
        <v>388</v>
      </c>
      <c r="W15" s="250"/>
      <c r="X15" s="250"/>
      <c r="Y15" s="250"/>
      <c r="Z15" s="148"/>
      <c r="AA15" s="242"/>
      <c r="AB15" s="256"/>
      <c r="AC15" s="256"/>
      <c r="AD15" s="256"/>
      <c r="AE15" s="263"/>
      <c r="AF15" s="244"/>
      <c r="AG15" s="244"/>
      <c r="AH15" s="148"/>
      <c r="AI15" s="148"/>
    </row>
    <row r="16" spans="1:97" ht="12.75" customHeight="1" x14ac:dyDescent="0.25">
      <c r="A16" s="242"/>
      <c r="C16" t="s">
        <v>21</v>
      </c>
      <c r="F16" s="54" t="s">
        <v>3</v>
      </c>
      <c r="G16" s="54"/>
      <c r="I16" s="97">
        <f>Buyout!J24</f>
        <v>40</v>
      </c>
      <c r="K16" s="247"/>
      <c r="L16" s="319">
        <f t="shared" si="1"/>
        <v>0.12999999999999998</v>
      </c>
      <c r="M16" s="319"/>
      <c r="N16" s="94" t="e">
        <f>Buyout!E97</f>
        <v>#REF!</v>
      </c>
      <c r="O16" s="254" t="e">
        <f t="shared" si="0"/>
        <v>#REF!</v>
      </c>
      <c r="P16" s="254" t="e">
        <f t="shared" si="0"/>
        <v>#REF!</v>
      </c>
      <c r="Q16" s="254" t="e">
        <f t="shared" si="0"/>
        <v>#REF!</v>
      </c>
      <c r="R16" s="94" t="e">
        <f>Buyout!E114</f>
        <v>#REF!</v>
      </c>
      <c r="S16" s="255">
        <f>Buyout!E131</f>
        <v>0</v>
      </c>
      <c r="T16" s="244"/>
      <c r="W16" s="54"/>
      <c r="Y16" s="55"/>
      <c r="Z16" s="54"/>
      <c r="AA16" s="242"/>
      <c r="AB16" s="253"/>
      <c r="AC16" s="253"/>
      <c r="AD16" s="253"/>
      <c r="AE16" s="253"/>
      <c r="AF16" s="243"/>
      <c r="AG16" s="244"/>
      <c r="AH16" s="148"/>
      <c r="AI16" s="148"/>
    </row>
    <row r="17" spans="1:97" ht="12.75" customHeight="1" x14ac:dyDescent="0.25">
      <c r="A17" s="242"/>
      <c r="C17" s="65" t="s">
        <v>389</v>
      </c>
      <c r="F17" s="54" t="s">
        <v>3</v>
      </c>
      <c r="G17" s="54"/>
      <c r="I17" s="99" t="e">
        <f>SUM(I15:I16)</f>
        <v>#REF!</v>
      </c>
      <c r="K17" s="247"/>
      <c r="L17" s="319">
        <f t="shared" si="1"/>
        <v>0.13999999999999999</v>
      </c>
      <c r="M17" s="319"/>
      <c r="N17" s="94" t="e">
        <f>Buyout!E98</f>
        <v>#REF!</v>
      </c>
      <c r="O17" s="254" t="e">
        <f t="shared" si="0"/>
        <v>#REF!</v>
      </c>
      <c r="P17" s="254" t="e">
        <f t="shared" si="0"/>
        <v>#REF!</v>
      </c>
      <c r="Q17" s="254" t="e">
        <f t="shared" si="0"/>
        <v>#REF!</v>
      </c>
      <c r="R17" s="94" t="e">
        <f>Buyout!E115</f>
        <v>#REF!</v>
      </c>
      <c r="S17" s="255">
        <f>Buyout!E132</f>
        <v>0</v>
      </c>
      <c r="T17" s="244"/>
      <c r="V17" s="29" t="s">
        <v>23</v>
      </c>
      <c r="W17" s="29"/>
      <c r="X17" s="170" t="e">
        <f>Buyout!J28</f>
        <v>#REF!</v>
      </c>
      <c r="Y17" s="260" t="e">
        <f>X17/X18</f>
        <v>#REF!</v>
      </c>
      <c r="Z17" s="54"/>
      <c r="AA17" s="242"/>
      <c r="AB17" s="253"/>
      <c r="AC17" s="253"/>
      <c r="AD17" s="253"/>
      <c r="AE17" s="253"/>
      <c r="AF17" s="243"/>
      <c r="AG17" s="244"/>
      <c r="AH17" s="148"/>
      <c r="AI17" s="148"/>
    </row>
    <row r="18" spans="1:97" ht="12.75" customHeight="1" x14ac:dyDescent="0.25">
      <c r="A18" s="242"/>
      <c r="C18"/>
      <c r="F18" s="54"/>
      <c r="G18" s="54"/>
      <c r="I18" s="148"/>
      <c r="K18" s="247"/>
      <c r="L18" s="319">
        <f t="shared" si="1"/>
        <v>0.15</v>
      </c>
      <c r="M18" s="319"/>
      <c r="N18" s="94" t="e">
        <f>Buyout!E99</f>
        <v>#REF!</v>
      </c>
      <c r="O18" s="254" t="e">
        <f t="shared" si="0"/>
        <v>#REF!</v>
      </c>
      <c r="P18" s="254" t="e">
        <f t="shared" si="0"/>
        <v>#REF!</v>
      </c>
      <c r="Q18" s="254" t="e">
        <f t="shared" si="0"/>
        <v>#REF!</v>
      </c>
      <c r="R18" s="94" t="e">
        <f>Buyout!E116</f>
        <v>#REF!</v>
      </c>
      <c r="S18" s="255">
        <f>Buyout!E133</f>
        <v>0</v>
      </c>
      <c r="T18" s="244"/>
      <c r="V18" s="17"/>
      <c r="W18" s="17"/>
      <c r="X18" s="171" t="e">
        <f>SUM(X17)</f>
        <v>#REF!</v>
      </c>
      <c r="Y18" s="261" t="e">
        <f>SUM(Y17)</f>
        <v>#REF!</v>
      </c>
      <c r="Z18" s="54"/>
      <c r="AA18" s="242"/>
      <c r="AB18" s="251"/>
      <c r="AC18" s="252"/>
      <c r="AD18" s="253"/>
      <c r="AE18" s="253"/>
      <c r="AF18" s="243"/>
      <c r="AG18" s="244"/>
      <c r="AH18" s="148"/>
    </row>
    <row r="19" spans="1:97" ht="12.75" customHeight="1" x14ac:dyDescent="0.25">
      <c r="A19" s="266"/>
      <c r="C19" t="s">
        <v>9</v>
      </c>
      <c r="F19" s="54" t="s">
        <v>10</v>
      </c>
      <c r="G19" s="54"/>
      <c r="I19" s="267" t="str">
        <f>Buyout!J12</f>
        <v>Exit</v>
      </c>
      <c r="K19" s="247"/>
      <c r="L19" s="319">
        <f t="shared" si="1"/>
        <v>0.16</v>
      </c>
      <c r="M19" s="319"/>
      <c r="N19" s="94" t="e">
        <f>Buyout!E100</f>
        <v>#REF!</v>
      </c>
      <c r="O19" s="254" t="e">
        <f t="shared" si="0"/>
        <v>#REF!</v>
      </c>
      <c r="P19" s="254" t="e">
        <f t="shared" si="0"/>
        <v>#REF!</v>
      </c>
      <c r="Q19" s="254" t="e">
        <f t="shared" si="0"/>
        <v>#REF!</v>
      </c>
      <c r="R19" s="94" t="e">
        <f>Buyout!E117</f>
        <v>#REF!</v>
      </c>
      <c r="S19" s="255">
        <f>Buyout!E134</f>
        <v>0</v>
      </c>
      <c r="T19" s="244"/>
      <c r="V19" s="148"/>
      <c r="W19" s="148"/>
      <c r="X19" s="148"/>
      <c r="Y19" s="148"/>
      <c r="Z19" s="54"/>
      <c r="AA19" s="242"/>
      <c r="AB19" s="253"/>
      <c r="AC19" s="253"/>
      <c r="AD19" s="253"/>
      <c r="AE19" s="253"/>
      <c r="AF19" s="243"/>
      <c r="AG19" s="242"/>
    </row>
    <row r="20" spans="1:97" ht="12.75" customHeight="1" x14ac:dyDescent="0.25">
      <c r="A20" s="266"/>
      <c r="C20" t="s">
        <v>28</v>
      </c>
      <c r="F20" s="54" t="s">
        <v>3</v>
      </c>
      <c r="G20" s="54"/>
      <c r="I20" s="19">
        <f>Buyout!J65</f>
        <v>5807.9975845449517</v>
      </c>
      <c r="K20" s="247"/>
      <c r="L20" s="319">
        <f t="shared" si="1"/>
        <v>0.17</v>
      </c>
      <c r="M20" s="319"/>
      <c r="N20" s="94" t="e">
        <f>Buyout!E101</f>
        <v>#REF!</v>
      </c>
      <c r="O20" s="254" t="e">
        <f t="shared" si="0"/>
        <v>#REF!</v>
      </c>
      <c r="P20" s="254" t="e">
        <f t="shared" si="0"/>
        <v>#REF!</v>
      </c>
      <c r="Q20" s="254" t="e">
        <f t="shared" si="0"/>
        <v>#REF!</v>
      </c>
      <c r="R20" s="94" t="e">
        <f>Buyout!E118</f>
        <v>#REF!</v>
      </c>
      <c r="S20" s="255">
        <f>Buyout!E135</f>
        <v>0</v>
      </c>
      <c r="T20" s="244"/>
      <c r="V20" s="268" t="s">
        <v>390</v>
      </c>
      <c r="W20" s="148"/>
      <c r="X20" s="148"/>
      <c r="Y20" s="148"/>
      <c r="Z20" s="54"/>
      <c r="AA20" s="242"/>
      <c r="AB20" s="253"/>
      <c r="AC20" s="253"/>
      <c r="AD20" s="253"/>
      <c r="AE20" s="253"/>
      <c r="AF20" s="243"/>
      <c r="AG20" s="242"/>
    </row>
    <row r="21" spans="1:97" ht="12.75" customHeight="1" x14ac:dyDescent="0.25">
      <c r="A21" s="266"/>
      <c r="C21"/>
      <c r="F21" s="54"/>
      <c r="G21" s="54"/>
      <c r="I21" s="148"/>
      <c r="K21" s="247"/>
      <c r="L21" s="319">
        <f t="shared" si="1"/>
        <v>0.18000000000000002</v>
      </c>
      <c r="M21" s="319"/>
      <c r="N21" s="94" t="e">
        <f>Buyout!E102</f>
        <v>#REF!</v>
      </c>
      <c r="O21" s="254" t="e">
        <f t="shared" si="0"/>
        <v>#REF!</v>
      </c>
      <c r="P21" s="254" t="e">
        <f t="shared" si="0"/>
        <v>#REF!</v>
      </c>
      <c r="Q21" s="254" t="e">
        <f t="shared" si="0"/>
        <v>#REF!</v>
      </c>
      <c r="R21" s="94" t="e">
        <f>Buyout!E119</f>
        <v>#REF!</v>
      </c>
      <c r="S21" s="255">
        <f>Buyout!E136</f>
        <v>0</v>
      </c>
      <c r="T21" s="244"/>
      <c r="V21" s="17" t="s">
        <v>391</v>
      </c>
      <c r="W21" s="17"/>
      <c r="X21" s="171"/>
      <c r="Y21" s="148" t="e">
        <f>Financing!J46</f>
        <v>#REF!</v>
      </c>
      <c r="Z21" s="54"/>
      <c r="AA21" s="242"/>
      <c r="AB21" s="253"/>
      <c r="AC21" s="253"/>
      <c r="AD21" s="253"/>
      <c r="AE21" s="253"/>
      <c r="AF21" s="243"/>
      <c r="AG21" s="242"/>
    </row>
    <row r="22" spans="1:97" ht="12.75" customHeight="1" x14ac:dyDescent="0.25">
      <c r="A22" s="266"/>
      <c r="C22" s="23" t="s">
        <v>46</v>
      </c>
      <c r="F22" s="54"/>
      <c r="G22" s="54"/>
      <c r="I22" s="19"/>
      <c r="K22" s="247"/>
      <c r="L22" s="319">
        <f t="shared" si="1"/>
        <v>0.19000000000000003</v>
      </c>
      <c r="M22" s="319"/>
      <c r="N22" s="94" t="e">
        <f>Buyout!E103</f>
        <v>#REF!</v>
      </c>
      <c r="O22" s="254" t="e">
        <f t="shared" si="0"/>
        <v>#REF!</v>
      </c>
      <c r="P22" s="254" t="e">
        <f t="shared" si="0"/>
        <v>#REF!</v>
      </c>
      <c r="Q22" s="254" t="e">
        <f t="shared" si="0"/>
        <v>#REF!</v>
      </c>
      <c r="R22" s="94" t="e">
        <f>Buyout!E120</f>
        <v>#REF!</v>
      </c>
      <c r="S22" s="255">
        <f>Buyout!E137</f>
        <v>0</v>
      </c>
      <c r="T22" s="244"/>
      <c r="V22" s="17" t="s">
        <v>365</v>
      </c>
      <c r="W22" s="17"/>
      <c r="X22" s="171"/>
      <c r="Y22" s="148" t="e">
        <f>Macro_Check</f>
        <v>#REF!</v>
      </c>
      <c r="Z22" s="54"/>
      <c r="AA22" s="242"/>
      <c r="AB22" s="256"/>
      <c r="AC22" s="256"/>
      <c r="AD22" s="256"/>
      <c r="AE22" s="256"/>
      <c r="AF22" s="243"/>
      <c r="AG22" s="242"/>
    </row>
    <row r="23" spans="1:97" ht="12.75" customHeight="1" x14ac:dyDescent="0.25">
      <c r="A23" s="266"/>
      <c r="C23" t="s">
        <v>48</v>
      </c>
      <c r="F23" s="54" t="s">
        <v>3</v>
      </c>
      <c r="G23" s="54"/>
      <c r="I23" s="19" t="e">
        <f>Buyout!J84</f>
        <v>#REF!</v>
      </c>
      <c r="K23" s="247"/>
      <c r="L23" s="319">
        <f t="shared" si="1"/>
        <v>0.20000000000000004</v>
      </c>
      <c r="M23" s="319"/>
      <c r="N23" s="94" t="e">
        <f>Buyout!E104</f>
        <v>#REF!</v>
      </c>
      <c r="O23" s="254" t="e">
        <f t="shared" si="0"/>
        <v>#REF!</v>
      </c>
      <c r="P23" s="254" t="e">
        <f t="shared" si="0"/>
        <v>#REF!</v>
      </c>
      <c r="Q23" s="254" t="e">
        <f t="shared" si="0"/>
        <v>#REF!</v>
      </c>
      <c r="R23" s="94" t="e">
        <f>Buyout!E121</f>
        <v>#REF!</v>
      </c>
      <c r="S23" s="255">
        <f>Buyout!E138</f>
        <v>0</v>
      </c>
      <c r="T23" s="244"/>
      <c r="V23" s="17" t="s">
        <v>392</v>
      </c>
      <c r="W23" s="17"/>
      <c r="X23" s="171"/>
      <c r="Y23" s="148" t="e">
        <f>BS!J41</f>
        <v>#REF!</v>
      </c>
      <c r="Z23" s="54"/>
      <c r="AA23" s="242"/>
      <c r="AB23" s="256"/>
      <c r="AC23" s="256"/>
      <c r="AD23" s="256"/>
      <c r="AE23" s="256"/>
      <c r="AF23" s="243"/>
      <c r="AG23" s="242"/>
    </row>
    <row r="24" spans="1:97" ht="12.75" customHeight="1" x14ac:dyDescent="0.25">
      <c r="A24" s="266"/>
      <c r="C24" t="s">
        <v>45</v>
      </c>
      <c r="F24" s="54" t="s">
        <v>3</v>
      </c>
      <c r="G24" s="54"/>
      <c r="I24" s="19" t="e">
        <f>Buyout!J80</f>
        <v>#REF!</v>
      </c>
      <c r="K24" s="247"/>
      <c r="L24" s="319">
        <f t="shared" si="1"/>
        <v>0.21000000000000005</v>
      </c>
      <c r="M24" s="319"/>
      <c r="N24" s="94" t="e">
        <f>Buyout!E105</f>
        <v>#REF!</v>
      </c>
      <c r="O24" s="254" t="e">
        <f t="shared" si="0"/>
        <v>#REF!</v>
      </c>
      <c r="P24" s="254" t="e">
        <f t="shared" si="0"/>
        <v>#REF!</v>
      </c>
      <c r="Q24" s="254" t="e">
        <f t="shared" si="0"/>
        <v>#REF!</v>
      </c>
      <c r="R24" s="94" t="e">
        <f>Buyout!E122</f>
        <v>#REF!</v>
      </c>
      <c r="S24" s="255">
        <f>Buyout!E139</f>
        <v>0</v>
      </c>
      <c r="T24" s="244"/>
      <c r="V24" s="29" t="s">
        <v>312</v>
      </c>
      <c r="W24" s="29"/>
      <c r="X24" s="269"/>
      <c r="Y24" s="225" t="b">
        <f>Equity!J21</f>
        <v>1</v>
      </c>
      <c r="Z24" s="54"/>
      <c r="AA24" s="242"/>
      <c r="AB24" s="256"/>
      <c r="AC24" s="256"/>
      <c r="AD24" s="256"/>
      <c r="AE24" s="256"/>
      <c r="AF24" s="243"/>
      <c r="AG24" s="244"/>
      <c r="AH24" s="148"/>
    </row>
    <row r="25" spans="1:97" ht="12.75" customHeight="1" x14ac:dyDescent="0.25">
      <c r="A25" s="266"/>
      <c r="C25" t="s">
        <v>49</v>
      </c>
      <c r="F25" s="54" t="s">
        <v>50</v>
      </c>
      <c r="G25" s="54"/>
      <c r="I25" s="255">
        <f>Buyout!J85</f>
        <v>0</v>
      </c>
      <c r="K25" s="247"/>
      <c r="L25" s="318"/>
      <c r="M25" s="318"/>
      <c r="N25" s="148"/>
      <c r="O25" s="270"/>
      <c r="P25" s="270"/>
      <c r="Q25" s="270"/>
      <c r="R25" s="148"/>
      <c r="S25" s="148"/>
      <c r="T25" s="244"/>
      <c r="V25" s="17" t="s">
        <v>368</v>
      </c>
      <c r="W25" s="17"/>
      <c r="X25" s="171"/>
      <c r="Y25" s="40" t="e">
        <f>AND(Y21:Y24)</f>
        <v>#REF!</v>
      </c>
      <c r="Z25" s="54"/>
      <c r="AA25" s="242"/>
      <c r="AB25" s="256"/>
      <c r="AC25" s="256"/>
      <c r="AD25" s="256"/>
      <c r="AE25" s="263"/>
      <c r="AF25" s="243"/>
      <c r="AG25" s="244"/>
      <c r="AH25" s="148"/>
    </row>
    <row r="26" spans="1:97" s="242" customFormat="1" ht="12.75" customHeight="1" x14ac:dyDescent="0.25">
      <c r="A26" s="266"/>
      <c r="B26"/>
      <c r="C26" s="54"/>
      <c r="D26" s="54"/>
      <c r="E26" s="54"/>
      <c r="F26" s="54"/>
      <c r="G26" s="54"/>
      <c r="H26"/>
      <c r="I26" s="148"/>
      <c r="J26" s="148"/>
      <c r="K26" s="247"/>
      <c r="L26" s="318"/>
      <c r="M26" s="318"/>
      <c r="N26" s="148"/>
      <c r="O26" s="270"/>
      <c r="P26" s="270"/>
      <c r="Q26" s="270"/>
      <c r="R26" s="148"/>
      <c r="S26" s="148"/>
      <c r="T26" s="244"/>
      <c r="U26"/>
      <c r="V26" s="17"/>
      <c r="W26" s="17"/>
      <c r="X26" s="171"/>
      <c r="Y26" s="271"/>
      <c r="Z26" s="54"/>
      <c r="AB26" s="256"/>
      <c r="AC26" s="256"/>
      <c r="AD26" s="256"/>
      <c r="AE26" s="263"/>
      <c r="AF26" s="243"/>
      <c r="AG26" s="244"/>
      <c r="AH26" s="148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</row>
    <row r="27" spans="1:97" s="242" customFormat="1" ht="12.75" customHeight="1" x14ac:dyDescent="0.25">
      <c r="A27" s="266"/>
      <c r="F27" s="243"/>
      <c r="G27" s="243"/>
      <c r="I27" s="244"/>
      <c r="N27" s="244"/>
      <c r="O27" s="244"/>
      <c r="P27" s="244"/>
      <c r="Q27" s="244"/>
      <c r="R27" s="244"/>
      <c r="S27" s="244"/>
      <c r="T27" s="244"/>
      <c r="U27" s="244"/>
      <c r="V27" s="244"/>
      <c r="W27" s="244"/>
      <c r="X27" s="244"/>
      <c r="Y27" s="244"/>
      <c r="Z27" s="244"/>
      <c r="AB27" s="251"/>
      <c r="AC27" s="252"/>
      <c r="AD27" s="253"/>
      <c r="AE27" s="253"/>
      <c r="AF27" s="243"/>
      <c r="AG27" s="244"/>
      <c r="AH27" s="148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</row>
    <row r="28" spans="1:97" ht="12.75" customHeight="1" x14ac:dyDescent="0.25">
      <c r="A28" s="266"/>
      <c r="B28" s="242"/>
      <c r="C28" s="245" t="s">
        <v>393</v>
      </c>
      <c r="D28" s="242"/>
      <c r="E28" s="242"/>
      <c r="F28" s="243"/>
      <c r="G28" s="243"/>
      <c r="H28" s="242"/>
      <c r="I28" s="244"/>
      <c r="J28" s="244"/>
      <c r="K28" s="242"/>
      <c r="L28" s="242"/>
      <c r="M28" s="245" t="s">
        <v>255</v>
      </c>
      <c r="N28" s="242"/>
      <c r="O28" s="242"/>
      <c r="P28" s="242"/>
      <c r="Q28" s="242"/>
      <c r="R28" s="242"/>
      <c r="S28" s="242"/>
      <c r="T28" s="242"/>
      <c r="U28" s="242"/>
      <c r="V28" s="245" t="s">
        <v>394</v>
      </c>
      <c r="W28" s="242"/>
      <c r="X28" s="242"/>
      <c r="Y28" s="244"/>
      <c r="Z28" s="244"/>
      <c r="AA28" s="242"/>
      <c r="AB28" s="256"/>
      <c r="AC28" s="256"/>
      <c r="AD28" s="256"/>
      <c r="AE28" s="263"/>
      <c r="AF28" s="243"/>
      <c r="AG28" s="244"/>
      <c r="AH28" s="148"/>
      <c r="AI28" s="148"/>
    </row>
    <row r="29" spans="1:97" ht="12.75" customHeight="1" x14ac:dyDescent="0.25">
      <c r="A29" s="266"/>
      <c r="C29"/>
      <c r="F29" s="54"/>
      <c r="G29" s="54"/>
      <c r="I29" s="148"/>
      <c r="J29" s="148"/>
      <c r="K29" s="242"/>
      <c r="L29" s="242"/>
      <c r="M29" s="242"/>
      <c r="N29" s="244"/>
      <c r="O29" s="244"/>
      <c r="P29" s="244"/>
      <c r="Q29" s="244"/>
      <c r="R29" s="244"/>
      <c r="S29" s="244"/>
      <c r="T29" s="242"/>
      <c r="V29" s="248"/>
      <c r="W29" s="248"/>
      <c r="X29" s="248"/>
      <c r="Y29" s="248"/>
      <c r="AA29" s="242"/>
      <c r="AB29" s="256"/>
      <c r="AC29" s="256"/>
      <c r="AD29" s="256"/>
      <c r="AE29" s="263"/>
      <c r="AF29" s="243"/>
      <c r="AG29" s="244"/>
      <c r="AH29" s="148"/>
      <c r="AI29" s="148"/>
    </row>
    <row r="30" spans="1:97" ht="12.75" customHeight="1" x14ac:dyDescent="0.25">
      <c r="A30" s="266"/>
      <c r="C30" t="s">
        <v>395</v>
      </c>
      <c r="F30" s="54" t="s">
        <v>6</v>
      </c>
      <c r="G30" s="54"/>
      <c r="I30" s="24" t="e">
        <f>InputC!E3</f>
        <v>#VALUE!</v>
      </c>
      <c r="J30" s="24"/>
      <c r="K30" s="242"/>
      <c r="L30" s="242"/>
      <c r="M30" s="242"/>
      <c r="N30" s="244"/>
      <c r="O30" s="244"/>
      <c r="P30" s="244"/>
      <c r="Q30" s="244"/>
      <c r="R30" s="244"/>
      <c r="S30" s="244"/>
      <c r="T30" s="242"/>
      <c r="V30" s="249" t="s">
        <v>385</v>
      </c>
      <c r="W30" s="250"/>
      <c r="X30" s="250"/>
      <c r="Y30" s="250"/>
      <c r="Z30" s="54"/>
      <c r="AA30" s="242"/>
      <c r="AB30" s="256"/>
      <c r="AC30" s="256"/>
      <c r="AD30" s="256"/>
      <c r="AE30" s="263"/>
      <c r="AF30" s="243"/>
      <c r="AG30" s="244"/>
      <c r="AH30" s="148"/>
      <c r="AI30" s="148"/>
    </row>
    <row r="31" spans="1:97" ht="12.75" customHeight="1" x14ac:dyDescent="0.25">
      <c r="A31" s="266"/>
      <c r="C31" t="s">
        <v>343</v>
      </c>
      <c r="F31" s="54" t="s">
        <v>6</v>
      </c>
      <c r="G31" s="54"/>
      <c r="I31" s="24" t="e">
        <f>InputC!E4</f>
        <v>#VALUE!</v>
      </c>
      <c r="J31" s="24"/>
      <c r="K31" s="242"/>
      <c r="L31" s="242"/>
      <c r="M31" s="242"/>
      <c r="N31" s="244"/>
      <c r="O31" s="244"/>
      <c r="P31" s="244"/>
      <c r="Q31" s="244"/>
      <c r="R31" s="244"/>
      <c r="S31" s="244"/>
      <c r="T31" s="242"/>
      <c r="W31" s="148"/>
      <c r="Z31" s="148"/>
      <c r="AA31" s="242"/>
      <c r="AB31" s="256"/>
      <c r="AC31" s="256"/>
      <c r="AD31" s="256"/>
      <c r="AE31" s="263"/>
      <c r="AF31" s="243"/>
      <c r="AG31" s="244"/>
      <c r="AH31" s="148"/>
      <c r="AI31" s="148"/>
    </row>
    <row r="32" spans="1:97" ht="12.75" customHeight="1" x14ac:dyDescent="0.25">
      <c r="A32" s="266"/>
      <c r="C32"/>
      <c r="F32" s="54"/>
      <c r="G32" s="54"/>
      <c r="I32" s="16"/>
      <c r="J32" s="16"/>
      <c r="K32" s="242"/>
      <c r="L32" s="242"/>
      <c r="M32" s="242"/>
      <c r="N32" s="244"/>
      <c r="O32" s="244"/>
      <c r="P32" s="244"/>
      <c r="Q32" s="244"/>
      <c r="R32" s="244"/>
      <c r="S32" s="244"/>
      <c r="T32" s="242"/>
      <c r="V32" t="str">
        <f>Financing!C15</f>
        <v>CAPEX</v>
      </c>
      <c r="W32" s="148"/>
      <c r="X32" s="68" t="e">
        <f>Financing!N15</f>
        <v>#REF!</v>
      </c>
      <c r="Y32" s="257" t="e">
        <f>X32/$X$35</f>
        <v>#REF!</v>
      </c>
      <c r="Z32" s="148"/>
      <c r="AA32" s="242"/>
      <c r="AB32" s="256"/>
      <c r="AC32" s="256"/>
      <c r="AD32" s="256"/>
      <c r="AE32" s="263"/>
      <c r="AF32" s="243"/>
      <c r="AG32" s="244"/>
      <c r="AH32" s="148"/>
      <c r="AI32" s="148"/>
    </row>
    <row r="33" spans="1:97" ht="12.75" customHeight="1" x14ac:dyDescent="0.25">
      <c r="A33" s="266"/>
      <c r="C33" t="s">
        <v>396</v>
      </c>
      <c r="F33" s="54" t="s">
        <v>3</v>
      </c>
      <c r="G33" s="54"/>
      <c r="I33" s="19" t="e">
        <f>Valuation!J65</f>
        <v>#REF!</v>
      </c>
      <c r="J33" s="19"/>
      <c r="K33" s="242"/>
      <c r="L33" s="242"/>
      <c r="M33" s="242"/>
      <c r="N33" s="244"/>
      <c r="O33" s="244"/>
      <c r="P33" s="244"/>
      <c r="Q33" s="244"/>
      <c r="R33" s="244"/>
      <c r="S33" s="244"/>
      <c r="T33" s="242"/>
      <c r="V33" t="str">
        <f>Financing!C16</f>
        <v>Fees</v>
      </c>
      <c r="W33" s="148"/>
      <c r="X33" s="68">
        <f>Financing!N16</f>
        <v>500</v>
      </c>
      <c r="Y33" s="257" t="e">
        <f>X33/$X$35</f>
        <v>#REF!</v>
      </c>
      <c r="Z33" s="148"/>
      <c r="AA33" s="242"/>
      <c r="AB33" s="256"/>
      <c r="AC33" s="256"/>
      <c r="AD33" s="256"/>
      <c r="AE33" s="263"/>
      <c r="AF33" s="243"/>
      <c r="AG33" s="244"/>
      <c r="AH33" s="148"/>
      <c r="AI33" s="148"/>
    </row>
    <row r="34" spans="1:97" ht="12.75" customHeight="1" x14ac:dyDescent="0.25">
      <c r="A34" s="242"/>
      <c r="C34" t="s">
        <v>397</v>
      </c>
      <c r="F34" s="54" t="s">
        <v>3</v>
      </c>
      <c r="G34" s="54"/>
      <c r="I34" s="97" t="e">
        <f>Valuation!J78</f>
        <v>#REF!</v>
      </c>
      <c r="J34" s="97"/>
      <c r="K34" s="242"/>
      <c r="L34" s="242"/>
      <c r="M34" s="242"/>
      <c r="N34" s="244"/>
      <c r="O34" s="244"/>
      <c r="P34" s="244"/>
      <c r="Q34" s="244"/>
      <c r="R34" s="244"/>
      <c r="S34" s="244"/>
      <c r="T34" s="242"/>
      <c r="V34" s="27" t="str">
        <f>Financing!C17</f>
        <v>Interest During Construction</v>
      </c>
      <c r="W34" s="225"/>
      <c r="X34" s="170">
        <f>Financing!N17</f>
        <v>333</v>
      </c>
      <c r="Y34" s="260" t="e">
        <f>X34/$X$35</f>
        <v>#REF!</v>
      </c>
      <c r="Z34" s="148"/>
      <c r="AA34" s="242"/>
      <c r="AB34" s="256"/>
      <c r="AC34" s="256"/>
      <c r="AD34" s="256"/>
      <c r="AE34" s="263"/>
      <c r="AF34" s="243"/>
      <c r="AG34" s="244"/>
      <c r="AH34" s="148"/>
      <c r="AI34" s="148"/>
    </row>
    <row r="35" spans="1:97" ht="12.75" customHeight="1" x14ac:dyDescent="0.25">
      <c r="A35" s="266"/>
      <c r="C35"/>
      <c r="F35" s="54"/>
      <c r="G35" s="54"/>
      <c r="I35" s="148"/>
      <c r="J35" s="148"/>
      <c r="K35" s="242"/>
      <c r="L35" s="242"/>
      <c r="M35" s="242"/>
      <c r="N35" s="244"/>
      <c r="O35" s="244"/>
      <c r="P35" s="244"/>
      <c r="Q35" s="244"/>
      <c r="R35" s="244"/>
      <c r="S35" s="244"/>
      <c r="T35" s="242"/>
      <c r="W35" s="54"/>
      <c r="X35" s="171" t="e">
        <f>SUM(X32:X34)</f>
        <v>#REF!</v>
      </c>
      <c r="Y35" s="261" t="e">
        <f>SUM(Y32:Y34)</f>
        <v>#REF!</v>
      </c>
      <c r="Z35" s="148"/>
      <c r="AA35" s="242"/>
      <c r="AB35" s="256"/>
      <c r="AC35" s="256"/>
      <c r="AD35" s="256"/>
      <c r="AE35" s="263"/>
      <c r="AF35" s="243"/>
      <c r="AG35" s="244"/>
      <c r="AH35" s="148"/>
      <c r="AI35" s="148"/>
    </row>
    <row r="36" spans="1:97" ht="12.75" customHeight="1" x14ac:dyDescent="0.25">
      <c r="A36" s="266"/>
      <c r="C36" s="23" t="s">
        <v>73</v>
      </c>
      <c r="F36" s="54"/>
      <c r="G36" s="54"/>
      <c r="I36" s="97"/>
      <c r="J36" s="97"/>
      <c r="K36" s="242"/>
      <c r="L36" s="242"/>
      <c r="M36" s="242"/>
      <c r="N36" s="244"/>
      <c r="O36" s="244"/>
      <c r="P36" s="244"/>
      <c r="Q36" s="244"/>
      <c r="R36" s="244"/>
      <c r="S36" s="244"/>
      <c r="T36" s="242"/>
      <c r="Y36" s="54"/>
      <c r="Z36" s="148"/>
      <c r="AA36" s="242"/>
      <c r="AB36" s="252"/>
      <c r="AC36" s="252"/>
      <c r="AD36" s="252"/>
      <c r="AE36" s="252"/>
      <c r="AF36" s="243"/>
      <c r="AG36" s="244"/>
      <c r="AH36" s="148"/>
      <c r="AI36" s="148"/>
    </row>
    <row r="37" spans="1:97" ht="12.75" customHeight="1" x14ac:dyDescent="0.25">
      <c r="A37" s="242"/>
      <c r="C37" t="s">
        <v>212</v>
      </c>
      <c r="F37" s="54" t="s">
        <v>6</v>
      </c>
      <c r="G37" s="54"/>
      <c r="I37" s="24" t="e">
        <f>Financing!J5</f>
        <v>#REF!</v>
      </c>
      <c r="J37" s="24"/>
      <c r="K37" s="242"/>
      <c r="L37" s="242"/>
      <c r="M37" s="242"/>
      <c r="N37" s="244"/>
      <c r="O37" s="244"/>
      <c r="P37" s="244"/>
      <c r="Q37" s="244"/>
      <c r="R37" s="244"/>
      <c r="S37" s="244"/>
      <c r="T37" s="242"/>
      <c r="V37" s="148"/>
      <c r="W37" s="148"/>
      <c r="X37" s="148"/>
      <c r="Y37" s="148"/>
      <c r="Z37" s="54"/>
      <c r="AA37" s="242"/>
      <c r="AB37" s="242"/>
      <c r="AC37" s="243"/>
      <c r="AD37" s="242"/>
      <c r="AE37" s="242"/>
      <c r="AF37" s="243"/>
      <c r="AG37" s="244"/>
      <c r="AH37" s="148"/>
      <c r="AI37" s="148"/>
    </row>
    <row r="38" spans="1:97" ht="12.75" customHeight="1" x14ac:dyDescent="0.25">
      <c r="A38" s="242"/>
      <c r="C38" t="s">
        <v>398</v>
      </c>
      <c r="F38" s="54" t="s">
        <v>50</v>
      </c>
      <c r="G38" s="54"/>
      <c r="I38" s="255">
        <f>Financing!J6</f>
        <v>1.1999999999999995</v>
      </c>
      <c r="J38" s="255"/>
      <c r="K38" s="242"/>
      <c r="L38" s="242"/>
      <c r="M38" s="242"/>
      <c r="N38" s="244"/>
      <c r="O38" s="244"/>
      <c r="P38" s="244"/>
      <c r="Q38" s="244"/>
      <c r="R38" s="244"/>
      <c r="S38" s="244"/>
      <c r="T38" s="242"/>
      <c r="V38" s="148"/>
      <c r="W38" s="148"/>
      <c r="X38" s="148"/>
      <c r="Y38" s="148"/>
      <c r="Z38" s="54"/>
      <c r="AA38" s="242"/>
      <c r="AB38" s="272"/>
      <c r="AC38" s="272"/>
      <c r="AD38" s="273"/>
      <c r="AE38" s="274"/>
      <c r="AF38" s="243"/>
      <c r="AG38" s="244"/>
      <c r="AH38" s="148"/>
      <c r="AI38" s="148"/>
    </row>
    <row r="39" spans="1:97" ht="12.75" customHeight="1" x14ac:dyDescent="0.25">
      <c r="A39" s="242"/>
      <c r="C39" t="s">
        <v>399</v>
      </c>
      <c r="F39" s="54" t="s">
        <v>3</v>
      </c>
      <c r="G39" s="54"/>
      <c r="I39" s="19">
        <f>Financing!J75</f>
        <v>10655.11642605974</v>
      </c>
      <c r="J39" s="19"/>
      <c r="K39" s="242"/>
      <c r="L39" s="242"/>
      <c r="M39" s="242"/>
      <c r="N39" s="244"/>
      <c r="O39" s="244"/>
      <c r="P39" s="244"/>
      <c r="Q39" s="244"/>
      <c r="R39" s="244"/>
      <c r="S39" s="244"/>
      <c r="T39" s="242"/>
      <c r="V39" s="249" t="s">
        <v>388</v>
      </c>
      <c r="W39" s="250"/>
      <c r="X39" s="250"/>
      <c r="Y39" s="250"/>
      <c r="Z39" s="54"/>
      <c r="AA39" s="242"/>
      <c r="AB39" s="272"/>
      <c r="AC39" s="272"/>
      <c r="AD39" s="273"/>
      <c r="AE39" s="274"/>
      <c r="AF39" s="243"/>
      <c r="AG39" s="244"/>
      <c r="AH39" s="148"/>
      <c r="AI39" s="148"/>
    </row>
    <row r="40" spans="1:97" ht="12.75" customHeight="1" x14ac:dyDescent="0.25">
      <c r="A40" s="242"/>
      <c r="C40" t="s">
        <v>400</v>
      </c>
      <c r="F40" s="54" t="s">
        <v>6</v>
      </c>
      <c r="G40" s="54"/>
      <c r="I40" s="89" t="e">
        <f>Valuation!J56</f>
        <v>#REF!</v>
      </c>
      <c r="J40" s="89"/>
      <c r="K40" s="242"/>
      <c r="L40" s="242"/>
      <c r="M40" s="242"/>
      <c r="N40" s="244"/>
      <c r="O40" s="244"/>
      <c r="P40" s="244"/>
      <c r="Q40" s="244"/>
      <c r="R40" s="244"/>
      <c r="S40" s="244"/>
      <c r="T40" s="242"/>
      <c r="W40" s="54"/>
      <c r="Z40" s="54"/>
      <c r="AA40" s="242"/>
      <c r="AB40" s="272"/>
      <c r="AC40" s="272"/>
      <c r="AD40" s="273"/>
      <c r="AE40" s="274"/>
      <c r="AF40" s="243"/>
      <c r="AG40" s="244"/>
      <c r="AH40" s="148"/>
      <c r="AI40" s="148"/>
    </row>
    <row r="41" spans="1:97" ht="12.75" customHeight="1" x14ac:dyDescent="0.25">
      <c r="A41" s="242"/>
      <c r="C41"/>
      <c r="F41" s="54"/>
      <c r="G41" s="54"/>
      <c r="I41" s="148"/>
      <c r="J41" s="148"/>
      <c r="K41" s="242"/>
      <c r="L41" s="242"/>
      <c r="M41" s="242"/>
      <c r="N41" s="244"/>
      <c r="O41" s="244"/>
      <c r="P41" s="244"/>
      <c r="Q41" s="244"/>
      <c r="R41" s="244"/>
      <c r="S41" s="244"/>
      <c r="T41" s="242"/>
      <c r="V41" s="17" t="str">
        <f>Financing!C22</f>
        <v>Equity</v>
      </c>
      <c r="W41" s="17"/>
      <c r="X41" s="312" t="e">
        <f>Financing!N22</f>
        <v>#REF!</v>
      </c>
      <c r="Y41" s="257" t="e">
        <f>X41/$X$43</f>
        <v>#REF!</v>
      </c>
      <c r="Z41" s="54"/>
      <c r="AA41" s="242"/>
      <c r="AB41" s="242"/>
      <c r="AC41" s="243"/>
      <c r="AD41" s="275"/>
      <c r="AE41" s="276"/>
      <c r="AF41" s="243"/>
      <c r="AG41" s="244"/>
      <c r="AH41" s="148"/>
      <c r="AI41" s="148"/>
    </row>
    <row r="42" spans="1:97" ht="12.75" customHeight="1" x14ac:dyDescent="0.25">
      <c r="A42" s="242"/>
      <c r="C42" s="23" t="s">
        <v>401</v>
      </c>
      <c r="F42" s="54"/>
      <c r="G42" s="54"/>
      <c r="I42" s="148"/>
      <c r="J42" s="148"/>
      <c r="K42" s="242"/>
      <c r="L42" s="242"/>
      <c r="M42" s="242"/>
      <c r="N42" s="244"/>
      <c r="O42" s="244"/>
      <c r="P42" s="244"/>
      <c r="Q42" s="244"/>
      <c r="R42" s="244"/>
      <c r="S42" s="244"/>
      <c r="T42" s="242"/>
      <c r="V42" s="29" t="str">
        <f>Financing!C23</f>
        <v>Senior Debt</v>
      </c>
      <c r="W42" s="29"/>
      <c r="X42" s="277" t="e">
        <f>Financing!N23</f>
        <v>#REF!</v>
      </c>
      <c r="Y42" s="260" t="e">
        <f>X42/$X$43</f>
        <v>#REF!</v>
      </c>
      <c r="Z42" s="54"/>
      <c r="AA42" s="242"/>
      <c r="AB42" s="242"/>
      <c r="AC42" s="242"/>
      <c r="AD42" s="242"/>
      <c r="AE42" s="243"/>
      <c r="AF42" s="243"/>
      <c r="AG42" s="244"/>
      <c r="AH42" s="148"/>
      <c r="AI42" s="148"/>
    </row>
    <row r="43" spans="1:97" ht="12.75" customHeight="1" x14ac:dyDescent="0.25">
      <c r="A43" s="242"/>
      <c r="C43" t="s">
        <v>402</v>
      </c>
      <c r="F43" s="54" t="s">
        <v>3</v>
      </c>
      <c r="G43" s="54"/>
      <c r="I43" s="19" t="e">
        <f>CAPEX!N29</f>
        <v>#REF!</v>
      </c>
      <c r="J43" s="19"/>
      <c r="K43" s="242"/>
      <c r="L43" s="242"/>
      <c r="M43" s="242"/>
      <c r="N43" s="244"/>
      <c r="O43" s="244"/>
      <c r="P43" s="244"/>
      <c r="Q43" s="244"/>
      <c r="R43" s="244"/>
      <c r="S43" s="244"/>
      <c r="T43" s="242"/>
      <c r="V43" s="17"/>
      <c r="W43" s="17"/>
      <c r="X43" s="171" t="e">
        <f>SUM(X41:X42)</f>
        <v>#REF!</v>
      </c>
      <c r="Y43" s="261" t="e">
        <f>SUM(Y41:Y42)</f>
        <v>#REF!</v>
      </c>
      <c r="Z43" s="54"/>
      <c r="AA43" s="242"/>
      <c r="AB43" s="242"/>
      <c r="AC43" s="242"/>
      <c r="AD43" s="242"/>
      <c r="AE43" s="243"/>
      <c r="AF43" s="243"/>
      <c r="AG43" s="244"/>
      <c r="AH43" s="148"/>
      <c r="AI43" s="148"/>
    </row>
    <row r="44" spans="1:97" ht="12.75" customHeight="1" x14ac:dyDescent="0.25">
      <c r="A44" s="242"/>
      <c r="C44" t="s">
        <v>403</v>
      </c>
      <c r="F44" s="54" t="s">
        <v>94</v>
      </c>
      <c r="G44" s="54"/>
      <c r="I44" s="148">
        <f>InputC!K21</f>
        <v>50</v>
      </c>
      <c r="J44" s="148"/>
      <c r="K44" s="242"/>
      <c r="L44" s="242"/>
      <c r="M44" s="242"/>
      <c r="N44" s="244"/>
      <c r="O44" s="244"/>
      <c r="P44" s="244"/>
      <c r="Q44" s="244"/>
      <c r="R44" s="244"/>
      <c r="S44" s="244"/>
      <c r="T44" s="242"/>
      <c r="Y44" s="54"/>
      <c r="Z44" s="54"/>
      <c r="AA44" s="242"/>
      <c r="AB44" s="242"/>
      <c r="AC44" s="242"/>
      <c r="AD44" s="242"/>
      <c r="AE44" s="243"/>
      <c r="AF44" s="243"/>
      <c r="AG44" s="244"/>
      <c r="AH44" s="148"/>
      <c r="AI44" s="148"/>
    </row>
    <row r="45" spans="1:97" ht="12.75" customHeight="1" x14ac:dyDescent="0.25">
      <c r="A45" s="242"/>
      <c r="C45" t="s">
        <v>404</v>
      </c>
      <c r="F45" s="121" t="s">
        <v>174</v>
      </c>
      <c r="G45" s="54"/>
      <c r="I45" s="19">
        <f>TariffCharge</f>
        <v>33.952381683191305</v>
      </c>
      <c r="J45" s="19"/>
      <c r="K45" s="242"/>
      <c r="L45" s="242"/>
      <c r="M45" s="242"/>
      <c r="N45" s="244"/>
      <c r="O45" s="244"/>
      <c r="P45" s="244"/>
      <c r="Q45" s="244"/>
      <c r="R45" s="244"/>
      <c r="S45" s="244"/>
      <c r="T45" s="242"/>
      <c r="Y45" s="54"/>
      <c r="Z45" s="54"/>
      <c r="AA45" s="242"/>
      <c r="AB45" s="242"/>
      <c r="AC45" s="242"/>
      <c r="AD45" s="242"/>
      <c r="AE45" s="243"/>
      <c r="AF45" s="243"/>
      <c r="AG45" s="244"/>
      <c r="AH45" s="148"/>
      <c r="AI45" s="148"/>
    </row>
    <row r="46" spans="1:97" ht="12.75" customHeight="1" x14ac:dyDescent="0.25">
      <c r="A46" s="242"/>
      <c r="C46" s="54"/>
      <c r="D46" s="54"/>
      <c r="E46" s="54"/>
      <c r="F46" s="54"/>
      <c r="G46" s="54"/>
      <c r="I46" s="148"/>
      <c r="J46" s="148"/>
      <c r="K46" s="242"/>
      <c r="L46" s="242"/>
      <c r="M46" s="242"/>
      <c r="N46" s="244"/>
      <c r="O46" s="244"/>
      <c r="P46" s="244"/>
      <c r="Q46" s="244"/>
      <c r="R46" s="244"/>
      <c r="S46" s="244"/>
      <c r="T46" s="242"/>
      <c r="Y46" s="54"/>
      <c r="Z46" s="54"/>
      <c r="AA46" s="242"/>
      <c r="AB46" s="242"/>
      <c r="AC46" s="242"/>
      <c r="AD46" s="242"/>
      <c r="AE46" s="243"/>
      <c r="AF46" s="243"/>
      <c r="AG46" s="244"/>
      <c r="AH46" s="148"/>
      <c r="AI46" s="148"/>
    </row>
    <row r="47" spans="1:97" s="242" customFormat="1" ht="12.75" customHeight="1" x14ac:dyDescent="0.25"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1:97" s="242" customFormat="1" ht="12.75" customHeight="1" x14ac:dyDescent="0.25">
      <c r="D48" s="317"/>
      <c r="E48" s="317"/>
      <c r="F48" s="317"/>
      <c r="G48" s="317"/>
      <c r="H48" s="317"/>
      <c r="I48" s="317"/>
      <c r="J48" s="317"/>
      <c r="K48" s="317"/>
      <c r="L48" s="317"/>
      <c r="T48" s="317"/>
      <c r="U48" s="317"/>
      <c r="V48" s="317"/>
      <c r="Z48" s="317"/>
      <c r="AA48" s="317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1:97" ht="12.75" hidden="1" customHeight="1" x14ac:dyDescent="0.25">
      <c r="H49" s="9"/>
      <c r="J49" s="64"/>
      <c r="N49" s="10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</row>
    <row r="50" spans="1:97" ht="12.75" hidden="1" customHeight="1" x14ac:dyDescent="0.25">
      <c r="A50" s="41"/>
      <c r="B50" s="41"/>
      <c r="C50" s="43"/>
      <c r="D50" s="41"/>
      <c r="E50" s="41"/>
      <c r="F50" s="41"/>
      <c r="G50" s="41"/>
      <c r="H50" s="9"/>
      <c r="I50" s="44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</row>
    <row r="51" spans="1:97" ht="12.75" hidden="1" customHeight="1" x14ac:dyDescent="0.25">
      <c r="H51" s="9"/>
      <c r="N51" s="10"/>
    </row>
    <row r="52" spans="1:97" ht="12.75" hidden="1" customHeight="1" x14ac:dyDescent="0.25">
      <c r="B52" s="21"/>
      <c r="H52" s="9"/>
      <c r="N52" s="10"/>
    </row>
    <row r="53" spans="1:97" ht="12.75" hidden="1" customHeight="1" x14ac:dyDescent="0.25">
      <c r="H53" s="9"/>
      <c r="N53" s="10"/>
    </row>
    <row r="54" spans="1:97" ht="12.75" hidden="1" customHeight="1" x14ac:dyDescent="0.25">
      <c r="D54" s="40"/>
      <c r="E54" s="65"/>
      <c r="G54" s="66"/>
      <c r="H54" s="67"/>
      <c r="N54" s="94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8"/>
      <c r="BO54" s="68"/>
      <c r="BP54" s="68"/>
      <c r="BQ54" s="68"/>
      <c r="BR54" s="68"/>
      <c r="BS54" s="68"/>
      <c r="BT54" s="68"/>
      <c r="BU54" s="68"/>
      <c r="BV54" s="68"/>
      <c r="BW54" s="68"/>
      <c r="BX54" s="68"/>
      <c r="BY54" s="68"/>
      <c r="BZ54" s="68"/>
      <c r="CA54" s="68"/>
      <c r="CB54" s="68"/>
      <c r="CC54" s="68"/>
      <c r="CD54" s="68"/>
      <c r="CE54" s="68"/>
      <c r="CF54" s="68"/>
      <c r="CG54" s="68"/>
      <c r="CH54" s="68"/>
      <c r="CI54" s="68"/>
      <c r="CJ54" s="68"/>
      <c r="CK54" s="68"/>
      <c r="CL54" s="68"/>
      <c r="CM54" s="68"/>
      <c r="CN54" s="68"/>
      <c r="CO54" s="68"/>
      <c r="CP54" s="68"/>
      <c r="CQ54" s="68"/>
      <c r="CR54" s="68"/>
      <c r="CS54" s="68"/>
    </row>
    <row r="55" spans="1:97" ht="12.75" hidden="1" customHeight="1" x14ac:dyDescent="0.25">
      <c r="D55" s="40"/>
      <c r="E55" s="65"/>
      <c r="G55" s="66"/>
      <c r="H55" s="67"/>
      <c r="N55" s="94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  <c r="BM55" s="68"/>
      <c r="BN55" s="68"/>
      <c r="BO55" s="68"/>
      <c r="BP55" s="68"/>
      <c r="BQ55" s="68"/>
      <c r="BR55" s="68"/>
      <c r="BS55" s="68"/>
      <c r="BT55" s="68"/>
      <c r="BU55" s="68"/>
      <c r="BV55" s="68"/>
      <c r="BW55" s="68"/>
      <c r="BX55" s="68"/>
      <c r="BY55" s="68"/>
      <c r="BZ55" s="68"/>
      <c r="CA55" s="68"/>
      <c r="CB55" s="68"/>
      <c r="CC55" s="68"/>
      <c r="CD55" s="68"/>
      <c r="CE55" s="68"/>
      <c r="CF55" s="68"/>
      <c r="CG55" s="68"/>
      <c r="CH55" s="68"/>
      <c r="CI55" s="68"/>
      <c r="CJ55" s="68"/>
      <c r="CK55" s="68"/>
      <c r="CL55" s="68"/>
      <c r="CM55" s="68"/>
      <c r="CN55" s="68"/>
      <c r="CO55" s="68"/>
      <c r="CP55" s="68"/>
      <c r="CQ55" s="68"/>
      <c r="CR55" s="68"/>
      <c r="CS55" s="68"/>
    </row>
    <row r="56" spans="1:97" ht="12.75" hidden="1" customHeight="1" x14ac:dyDescent="0.25">
      <c r="C56" s="83"/>
      <c r="D56" s="69"/>
      <c r="E56" s="70"/>
      <c r="F56" s="70"/>
      <c r="G56" s="19"/>
      <c r="H56" s="71"/>
      <c r="J56" s="72"/>
      <c r="K56" s="51"/>
      <c r="N56" s="10"/>
    </row>
    <row r="57" spans="1:97" ht="12.75" hidden="1" customHeight="1" x14ac:dyDescent="0.25">
      <c r="H57" s="9"/>
      <c r="N57" s="1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</row>
    <row r="58" spans="1:97" ht="12.75" hidden="1" customHeight="1" x14ac:dyDescent="0.25">
      <c r="C58" s="83"/>
      <c r="D58" s="69"/>
      <c r="E58" s="70"/>
      <c r="F58" s="70"/>
      <c r="G58" s="19"/>
      <c r="H58" s="71"/>
      <c r="J58" s="72"/>
      <c r="K58" s="51"/>
      <c r="N58" s="10"/>
    </row>
    <row r="59" spans="1:97" ht="12.75" hidden="1" customHeight="1" x14ac:dyDescent="0.25">
      <c r="C59" s="73"/>
      <c r="D59" s="74"/>
      <c r="E59" s="70"/>
      <c r="F59" s="70"/>
      <c r="G59" s="19"/>
      <c r="H59" s="71"/>
      <c r="J59" s="69"/>
      <c r="K59" s="10"/>
      <c r="N59" s="19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</row>
    <row r="60" spans="1:97" ht="12.75" hidden="1" customHeight="1" x14ac:dyDescent="0.25">
      <c r="C60" s="73"/>
      <c r="D60" s="74"/>
      <c r="E60" s="70"/>
      <c r="F60" s="70"/>
      <c r="G60" s="19"/>
      <c r="H60" s="71"/>
      <c r="J60" s="74"/>
      <c r="K60" s="10"/>
      <c r="N60" s="19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</row>
    <row r="61" spans="1:97" ht="12.75" hidden="1" customHeight="1" x14ac:dyDescent="0.25">
      <c r="B61" s="10"/>
      <c r="H61" s="9"/>
      <c r="J61" s="96"/>
      <c r="N61" s="19"/>
      <c r="O61" s="10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</row>
    <row r="62" spans="1:97" ht="12.75" hidden="1" customHeight="1" x14ac:dyDescent="0.25">
      <c r="H62" s="9"/>
      <c r="J62" s="98"/>
      <c r="N62" s="19"/>
      <c r="O62" s="51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</row>
    <row r="63" spans="1:97" ht="12.75" hidden="1" customHeight="1" x14ac:dyDescent="0.25">
      <c r="C63" s="73"/>
      <c r="D63" s="74"/>
      <c r="E63" s="70"/>
      <c r="F63" s="70"/>
      <c r="G63" s="19"/>
      <c r="H63" s="71"/>
      <c r="J63" s="74"/>
      <c r="K63" s="10"/>
      <c r="N63" s="10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</row>
    <row r="64" spans="1:97" ht="12.75" hidden="1" customHeight="1" x14ac:dyDescent="0.25">
      <c r="H64" s="9"/>
      <c r="J64" s="99"/>
      <c r="K64" s="10"/>
      <c r="N64" s="19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</row>
    <row r="65" spans="1:107" ht="12.75" hidden="1" customHeight="1" x14ac:dyDescent="0.25">
      <c r="H65" s="9"/>
      <c r="N65" s="10"/>
    </row>
    <row r="66" spans="1:107" ht="12.75" hidden="1" customHeight="1" x14ac:dyDescent="0.25">
      <c r="B66" s="21"/>
      <c r="H66" s="9"/>
      <c r="N66" s="10"/>
    </row>
    <row r="67" spans="1:107" ht="12.75" hidden="1" customHeight="1" x14ac:dyDescent="0.25">
      <c r="B67" s="41"/>
      <c r="C67" s="239"/>
      <c r="D67" s="77"/>
      <c r="E67" s="77"/>
      <c r="F67" s="77"/>
      <c r="G67" s="77"/>
      <c r="H67" s="9"/>
      <c r="N67" s="10"/>
    </row>
    <row r="68" spans="1:107" ht="12.75" hidden="1" customHeight="1" x14ac:dyDescent="0.25">
      <c r="C68" s="17"/>
      <c r="E68" s="65"/>
      <c r="G68" s="78"/>
      <c r="H68" s="67"/>
      <c r="N68" s="19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</row>
    <row r="69" spans="1:107" ht="12.75" hidden="1" customHeight="1" x14ac:dyDescent="0.25">
      <c r="C69" s="17"/>
      <c r="E69" s="70"/>
      <c r="F69" s="70"/>
      <c r="G69" s="82"/>
      <c r="H69" s="71"/>
      <c r="N69" s="19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</row>
    <row r="70" spans="1:107" ht="12.75" hidden="1" customHeight="1" x14ac:dyDescent="0.25">
      <c r="D70" s="73"/>
      <c r="E70" s="70"/>
      <c r="F70" s="70"/>
      <c r="G70" s="82"/>
      <c r="H70" s="71"/>
      <c r="N70" s="19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</row>
    <row r="71" spans="1:107" ht="12.75" hidden="1" customHeight="1" x14ac:dyDescent="0.25">
      <c r="C71" s="73"/>
      <c r="D71" s="83"/>
      <c r="E71" s="70"/>
      <c r="F71" s="70"/>
      <c r="G71" s="82"/>
      <c r="H71" s="71"/>
      <c r="N71" s="10"/>
    </row>
    <row r="72" spans="1:107" ht="12.75" hidden="1" customHeight="1" x14ac:dyDescent="0.25">
      <c r="H72" s="9"/>
      <c r="J72" s="64"/>
      <c r="N72" s="10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</row>
    <row r="73" spans="1:107" ht="12.75" hidden="1" customHeight="1" x14ac:dyDescent="0.25">
      <c r="H73" s="9"/>
      <c r="N73" s="10"/>
    </row>
    <row r="74" spans="1:107" ht="12.75" hidden="1" customHeight="1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3"/>
      <c r="BB74" s="93"/>
      <c r="BC74" s="93"/>
      <c r="BD74" s="93"/>
      <c r="BE74" s="93"/>
      <c r="BF74" s="93"/>
      <c r="BG74" s="93"/>
      <c r="BH74" s="93"/>
      <c r="BI74" s="93"/>
      <c r="BJ74" s="93"/>
      <c r="BK74" s="93"/>
      <c r="BL74" s="93"/>
      <c r="BM74" s="93"/>
      <c r="BN74" s="93"/>
      <c r="BO74" s="93"/>
      <c r="BP74" s="93"/>
      <c r="BQ74" s="93"/>
      <c r="BR74" s="93"/>
      <c r="BS74" s="93"/>
      <c r="BT74" s="93"/>
      <c r="BU74" s="93"/>
      <c r="BV74" s="93"/>
      <c r="BW74" s="93"/>
      <c r="BX74" s="93"/>
      <c r="BY74" s="93"/>
      <c r="BZ74" s="93"/>
      <c r="CA74" s="93"/>
      <c r="CB74" s="93"/>
      <c r="CC74" s="93"/>
      <c r="CD74" s="93"/>
      <c r="CE74" s="93"/>
      <c r="CF74" s="93"/>
      <c r="CG74" s="93"/>
      <c r="CH74" s="93"/>
      <c r="CI74" s="93"/>
      <c r="CJ74" s="93"/>
      <c r="CK74" s="93"/>
      <c r="CL74" s="93"/>
      <c r="CM74" s="93"/>
      <c r="CN74" s="93"/>
      <c r="CO74" s="93"/>
      <c r="CP74" s="93"/>
      <c r="CQ74" s="93"/>
      <c r="CR74" s="93"/>
      <c r="CS74" s="93"/>
      <c r="CT74" s="93"/>
      <c r="CU74" s="93"/>
      <c r="CV74" s="93"/>
      <c r="CW74" s="93"/>
      <c r="CX74" s="93"/>
      <c r="CY74" s="93"/>
      <c r="CZ74" s="93"/>
      <c r="DA74" s="93"/>
      <c r="DB74" s="93"/>
      <c r="DC74" s="93"/>
    </row>
    <row r="75" spans="1:107" ht="12.75" hidden="1" customHeight="1" x14ac:dyDescent="0.25">
      <c r="A75" s="41"/>
      <c r="B75" s="41"/>
      <c r="C75" s="43"/>
      <c r="D75" s="41"/>
      <c r="E75" s="41"/>
      <c r="F75" s="41"/>
      <c r="G75" s="41"/>
      <c r="H75" s="9"/>
      <c r="I75" s="44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</row>
    <row r="76" spans="1:107" ht="12.75" hidden="1" customHeight="1" x14ac:dyDescent="0.25">
      <c r="H76" s="9"/>
      <c r="N76" s="10"/>
    </row>
    <row r="77" spans="1:107" ht="12.75" hidden="1" customHeight="1" x14ac:dyDescent="0.25">
      <c r="B77" s="23"/>
      <c r="H77" s="9"/>
      <c r="N77" s="10"/>
    </row>
    <row r="78" spans="1:107" ht="12.75" hidden="1" customHeight="1" x14ac:dyDescent="0.25">
      <c r="H78" s="9"/>
      <c r="J78" s="97"/>
      <c r="N78" s="10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</row>
    <row r="79" spans="1:107" ht="12.75" hidden="1" customHeight="1" x14ac:dyDescent="0.25">
      <c r="H79" s="9"/>
      <c r="J79" s="97"/>
      <c r="N79" s="10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  <c r="CM79" s="47"/>
      <c r="CN79" s="47"/>
      <c r="CO79" s="47"/>
      <c r="CP79" s="47"/>
      <c r="CQ79" s="47"/>
      <c r="CR79" s="47"/>
      <c r="CS79" s="47"/>
    </row>
    <row r="80" spans="1:107" ht="12.75" hidden="1" customHeight="1" x14ac:dyDescent="0.25">
      <c r="H80" s="9"/>
      <c r="N80" s="10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</row>
    <row r="81" spans="1:97" ht="12.75" hidden="1" customHeight="1" x14ac:dyDescent="0.25">
      <c r="B81" s="23"/>
      <c r="H81" s="9"/>
      <c r="N81" s="10"/>
    </row>
    <row r="82" spans="1:97" ht="12.75" hidden="1" customHeight="1" x14ac:dyDescent="0.25">
      <c r="H82" s="9"/>
      <c r="J82" s="97"/>
      <c r="N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</row>
    <row r="83" spans="1:97" ht="12.75" hidden="1" customHeight="1" x14ac:dyDescent="0.25">
      <c r="H83" s="9"/>
      <c r="J83" s="97"/>
      <c r="N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</row>
    <row r="84" spans="1:97" ht="12.75" hidden="1" customHeight="1" x14ac:dyDescent="0.25">
      <c r="H84" s="9"/>
      <c r="J84" s="100"/>
      <c r="N84" s="10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  <c r="AX84" s="87"/>
      <c r="AY84" s="87"/>
      <c r="AZ84" s="87"/>
      <c r="BA84" s="87"/>
      <c r="BB84" s="87"/>
      <c r="BC84" s="87"/>
      <c r="BD84" s="87"/>
      <c r="BE84" s="87"/>
      <c r="BF84" s="87"/>
      <c r="BG84" s="87"/>
      <c r="BH84" s="87"/>
      <c r="BI84" s="87"/>
      <c r="BJ84" s="87"/>
      <c r="BK84" s="87"/>
      <c r="BL84" s="87"/>
      <c r="BM84" s="87"/>
      <c r="BN84" s="87"/>
      <c r="BO84" s="87"/>
      <c r="BP84" s="87"/>
      <c r="BQ84" s="87"/>
      <c r="BR84" s="87"/>
      <c r="BS84" s="87"/>
      <c r="BT84" s="87"/>
      <c r="BU84" s="87"/>
      <c r="BV84" s="87"/>
      <c r="BW84" s="87"/>
      <c r="BX84" s="87"/>
      <c r="BY84" s="87"/>
      <c r="BZ84" s="87"/>
      <c r="CA84" s="87"/>
      <c r="CB84" s="87"/>
      <c r="CC84" s="87"/>
      <c r="CD84" s="87"/>
      <c r="CE84" s="87"/>
      <c r="CF84" s="87"/>
      <c r="CG84" s="87"/>
      <c r="CH84" s="87"/>
      <c r="CI84" s="87"/>
      <c r="CJ84" s="87"/>
      <c r="CK84" s="87"/>
      <c r="CL84" s="87"/>
      <c r="CM84" s="87"/>
      <c r="CN84" s="87"/>
      <c r="CO84" s="87"/>
      <c r="CP84" s="87"/>
      <c r="CQ84" s="87"/>
      <c r="CR84" s="87"/>
      <c r="CS84" s="87"/>
    </row>
    <row r="85" spans="1:97" ht="12.75" hidden="1" customHeight="1" x14ac:dyDescent="0.25">
      <c r="H85" s="9"/>
      <c r="N85" s="10"/>
    </row>
    <row r="86" spans="1:97" ht="12.75" hidden="1" customHeight="1" x14ac:dyDescent="0.25">
      <c r="H86" s="9"/>
      <c r="N86" s="10"/>
    </row>
    <row r="87" spans="1:97" ht="12.75" hidden="1" customHeight="1" x14ac:dyDescent="0.25">
      <c r="A87" s="41"/>
      <c r="B87" s="41"/>
      <c r="C87" s="43"/>
      <c r="D87" s="41"/>
      <c r="E87" s="41"/>
      <c r="F87" s="41"/>
      <c r="G87" s="41"/>
      <c r="H87" s="9"/>
      <c r="I87" s="44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</row>
    <row r="88" spans="1:97" ht="12.75" hidden="1" customHeight="1" x14ac:dyDescent="0.25">
      <c r="H88" s="9"/>
      <c r="N88" s="10"/>
    </row>
    <row r="89" spans="1:97" ht="12.75" hidden="1" customHeight="1" x14ac:dyDescent="0.25">
      <c r="D89" s="88"/>
      <c r="E89" s="51"/>
      <c r="H89" s="9"/>
      <c r="N89" s="10"/>
    </row>
    <row r="90" spans="1:97" ht="12.75" hidden="1" customHeight="1" x14ac:dyDescent="0.25">
      <c r="D90" s="89"/>
      <c r="H90" s="9"/>
      <c r="N90" s="10"/>
    </row>
    <row r="91" spans="1:97" ht="12.75" hidden="1" customHeight="1" x14ac:dyDescent="0.25">
      <c r="D91" s="89"/>
      <c r="H91" s="9"/>
      <c r="N91" s="10"/>
    </row>
    <row r="92" spans="1:97" ht="12.75" hidden="1" customHeight="1" x14ac:dyDescent="0.25">
      <c r="D92" s="89"/>
      <c r="H92" s="9"/>
      <c r="N92" s="10"/>
    </row>
    <row r="93" spans="1:97" ht="12.75" hidden="1" customHeight="1" x14ac:dyDescent="0.25">
      <c r="D93" s="89"/>
      <c r="H93" s="9"/>
      <c r="N93" s="10"/>
    </row>
    <row r="94" spans="1:97" ht="12.75" hidden="1" customHeight="1" x14ac:dyDescent="0.25">
      <c r="D94" s="89"/>
      <c r="H94" s="9"/>
      <c r="N94" s="10"/>
    </row>
    <row r="95" spans="1:97" ht="12.75" hidden="1" customHeight="1" x14ac:dyDescent="0.25">
      <c r="D95" s="89"/>
      <c r="H95" s="9"/>
      <c r="N95" s="10"/>
    </row>
    <row r="96" spans="1:97" ht="12.75" hidden="1" customHeight="1" x14ac:dyDescent="0.25">
      <c r="D96" s="89"/>
      <c r="H96" s="9"/>
      <c r="N96" s="10"/>
    </row>
    <row r="97" spans="4:14" ht="12.75" hidden="1" customHeight="1" x14ac:dyDescent="0.25">
      <c r="D97" s="89"/>
      <c r="H97" s="9"/>
      <c r="N97" s="10"/>
    </row>
    <row r="98" spans="4:14" ht="12.75" hidden="1" customHeight="1" x14ac:dyDescent="0.25">
      <c r="D98" s="89"/>
      <c r="H98" s="9"/>
      <c r="N98" s="10"/>
    </row>
    <row r="99" spans="4:14" ht="12.75" hidden="1" customHeight="1" x14ac:dyDescent="0.25">
      <c r="D99" s="89"/>
      <c r="H99" s="9"/>
      <c r="N99" s="10"/>
    </row>
    <row r="100" spans="4:14" ht="12.75" hidden="1" customHeight="1" x14ac:dyDescent="0.25">
      <c r="D100" s="89"/>
      <c r="H100" s="9"/>
      <c r="N100" s="10"/>
    </row>
    <row r="101" spans="4:14" ht="12.75" hidden="1" customHeight="1" x14ac:dyDescent="0.25">
      <c r="D101" s="89"/>
      <c r="H101" s="9"/>
      <c r="N101" s="10"/>
    </row>
    <row r="102" spans="4:14" ht="12.75" hidden="1" customHeight="1" x14ac:dyDescent="0.25">
      <c r="D102" s="89"/>
      <c r="H102" s="9"/>
      <c r="N102" s="10"/>
    </row>
    <row r="103" spans="4:14" ht="12.75" hidden="1" customHeight="1" x14ac:dyDescent="0.25">
      <c r="D103" s="89"/>
      <c r="H103" s="9"/>
      <c r="N103" s="10"/>
    </row>
    <row r="104" spans="4:14" ht="12.75" hidden="1" customHeight="1" x14ac:dyDescent="0.25">
      <c r="D104" s="89"/>
      <c r="H104" s="9"/>
      <c r="N104" s="10"/>
    </row>
    <row r="105" spans="4:14" ht="12.75" hidden="1" customHeight="1" x14ac:dyDescent="0.25">
      <c r="H105" s="9"/>
      <c r="N105" s="10"/>
    </row>
    <row r="106" spans="4:14" ht="12.75" hidden="1" customHeight="1" x14ac:dyDescent="0.25">
      <c r="D106" s="88"/>
      <c r="E106" s="49"/>
      <c r="H106" s="9"/>
      <c r="N106" s="10"/>
    </row>
    <row r="107" spans="4:14" ht="12.75" hidden="1" customHeight="1" x14ac:dyDescent="0.25">
      <c r="D107" s="89"/>
      <c r="E107" s="10"/>
      <c r="H107" s="9"/>
      <c r="N107" s="10"/>
    </row>
    <row r="108" spans="4:14" ht="12.75" hidden="1" customHeight="1" x14ac:dyDescent="0.25">
      <c r="D108" s="89"/>
      <c r="E108" s="10"/>
      <c r="H108" s="9"/>
      <c r="N108" s="10"/>
    </row>
    <row r="109" spans="4:14" ht="12.75" hidden="1" customHeight="1" x14ac:dyDescent="0.25">
      <c r="D109" s="89"/>
      <c r="E109" s="10"/>
      <c r="H109" s="9"/>
      <c r="N109" s="10"/>
    </row>
    <row r="110" spans="4:14" ht="12.75" hidden="1" customHeight="1" x14ac:dyDescent="0.25">
      <c r="D110" s="89"/>
      <c r="E110" s="10"/>
      <c r="H110" s="9"/>
      <c r="N110" s="10"/>
    </row>
    <row r="111" spans="4:14" ht="12.75" hidden="1" customHeight="1" x14ac:dyDescent="0.25">
      <c r="D111" s="89"/>
      <c r="E111" s="10"/>
      <c r="H111" s="9"/>
      <c r="N111" s="10"/>
    </row>
    <row r="112" spans="4:14" ht="12.75" hidden="1" customHeight="1" x14ac:dyDescent="0.25">
      <c r="D112" s="89"/>
      <c r="E112" s="10"/>
      <c r="H112" s="9"/>
      <c r="N112" s="10"/>
    </row>
    <row r="113" spans="4:14" ht="12.75" hidden="1" customHeight="1" x14ac:dyDescent="0.25">
      <c r="D113" s="89"/>
      <c r="E113" s="10"/>
      <c r="H113" s="9"/>
      <c r="N113" s="10"/>
    </row>
    <row r="114" spans="4:14" ht="12.75" hidden="1" customHeight="1" x14ac:dyDescent="0.25">
      <c r="D114" s="89"/>
      <c r="E114" s="10"/>
      <c r="H114" s="9"/>
      <c r="N114" s="10"/>
    </row>
    <row r="115" spans="4:14" ht="12.75" hidden="1" customHeight="1" x14ac:dyDescent="0.25">
      <c r="D115" s="89"/>
      <c r="E115" s="10"/>
      <c r="H115" s="9"/>
      <c r="N115" s="10"/>
    </row>
    <row r="116" spans="4:14" ht="12.75" hidden="1" customHeight="1" x14ac:dyDescent="0.25">
      <c r="D116" s="89"/>
      <c r="E116" s="10"/>
      <c r="H116" s="9"/>
      <c r="N116" s="10"/>
    </row>
    <row r="117" spans="4:14" ht="12.75" hidden="1" customHeight="1" x14ac:dyDescent="0.25">
      <c r="D117" s="89"/>
      <c r="E117" s="10"/>
      <c r="H117" s="9"/>
      <c r="N117" s="10"/>
    </row>
    <row r="118" spans="4:14" ht="12.75" hidden="1" customHeight="1" x14ac:dyDescent="0.25">
      <c r="D118" s="89"/>
      <c r="E118" s="10"/>
      <c r="H118" s="9"/>
      <c r="N118" s="10"/>
    </row>
    <row r="119" spans="4:14" ht="12.75" hidden="1" customHeight="1" x14ac:dyDescent="0.25">
      <c r="D119" s="89"/>
      <c r="E119" s="10"/>
      <c r="H119" s="9"/>
      <c r="N119" s="10"/>
    </row>
    <row r="120" spans="4:14" ht="12.75" hidden="1" customHeight="1" x14ac:dyDescent="0.25">
      <c r="D120" s="89"/>
      <c r="E120" s="10"/>
      <c r="H120" s="9"/>
      <c r="N120" s="10"/>
    </row>
    <row r="121" spans="4:14" ht="12.75" hidden="1" customHeight="1" x14ac:dyDescent="0.25">
      <c r="D121" s="89"/>
      <c r="E121" s="10"/>
      <c r="H121" s="9"/>
      <c r="N121" s="10"/>
    </row>
    <row r="122" spans="4:14" ht="12.75" hidden="1" customHeight="1" x14ac:dyDescent="0.25">
      <c r="H122" s="9"/>
      <c r="N122" s="10"/>
    </row>
    <row r="123" spans="4:14" ht="12.75" hidden="1" customHeight="1" x14ac:dyDescent="0.25">
      <c r="D123" s="88"/>
      <c r="E123" s="90"/>
      <c r="H123" s="9"/>
      <c r="N123" s="10"/>
    </row>
    <row r="124" spans="4:14" ht="12.75" hidden="1" customHeight="1" x14ac:dyDescent="0.25">
      <c r="D124" s="89"/>
      <c r="E124" s="87"/>
      <c r="H124" s="9"/>
      <c r="N124" s="10"/>
    </row>
    <row r="125" spans="4:14" ht="12.75" hidden="1" customHeight="1" x14ac:dyDescent="0.25">
      <c r="D125" s="89"/>
      <c r="E125" s="87"/>
      <c r="H125" s="9"/>
      <c r="N125" s="10"/>
    </row>
    <row r="126" spans="4:14" ht="12.75" hidden="1" customHeight="1" x14ac:dyDescent="0.25">
      <c r="D126" s="89"/>
      <c r="E126" s="87"/>
      <c r="H126" s="9"/>
      <c r="N126" s="10"/>
    </row>
    <row r="127" spans="4:14" ht="12.75" hidden="1" customHeight="1" x14ac:dyDescent="0.25">
      <c r="D127" s="89"/>
      <c r="E127" s="87"/>
      <c r="H127" s="9"/>
      <c r="N127" s="10"/>
    </row>
    <row r="128" spans="4:14" ht="12.75" hidden="1" customHeight="1" x14ac:dyDescent="0.25">
      <c r="D128" s="89"/>
      <c r="E128" s="87"/>
      <c r="H128" s="9"/>
      <c r="N128" s="10"/>
    </row>
    <row r="129" spans="1:97" ht="12.75" hidden="1" customHeight="1" x14ac:dyDescent="0.25">
      <c r="D129" s="89"/>
      <c r="E129" s="87"/>
      <c r="H129" s="9"/>
      <c r="N129" s="10"/>
    </row>
    <row r="130" spans="1:97" ht="12.75" hidden="1" customHeight="1" x14ac:dyDescent="0.25">
      <c r="D130" s="89"/>
      <c r="E130" s="87"/>
      <c r="H130" s="9"/>
      <c r="N130" s="10"/>
    </row>
    <row r="131" spans="1:97" ht="12.75" hidden="1" customHeight="1" x14ac:dyDescent="0.25">
      <c r="D131" s="89"/>
      <c r="E131" s="87"/>
      <c r="H131" s="9"/>
      <c r="N131" s="10"/>
    </row>
    <row r="132" spans="1:97" ht="12.75" hidden="1" customHeight="1" x14ac:dyDescent="0.25">
      <c r="D132" s="89"/>
      <c r="E132" s="87"/>
      <c r="H132" s="9"/>
      <c r="N132" s="10"/>
    </row>
    <row r="133" spans="1:97" ht="12.75" hidden="1" customHeight="1" x14ac:dyDescent="0.25">
      <c r="D133" s="89"/>
      <c r="E133" s="87"/>
      <c r="H133" s="9"/>
      <c r="N133" s="10"/>
    </row>
    <row r="134" spans="1:97" ht="12.75" hidden="1" customHeight="1" x14ac:dyDescent="0.25">
      <c r="D134" s="89"/>
      <c r="E134" s="87"/>
      <c r="H134" s="9"/>
      <c r="N134" s="10"/>
    </row>
    <row r="135" spans="1:97" ht="12.75" hidden="1" customHeight="1" x14ac:dyDescent="0.25">
      <c r="D135" s="89"/>
      <c r="E135" s="87"/>
      <c r="H135" s="9"/>
      <c r="N135" s="10"/>
    </row>
    <row r="136" spans="1:97" ht="12.75" hidden="1" customHeight="1" x14ac:dyDescent="0.25">
      <c r="A136" s="41"/>
      <c r="D136" s="89"/>
      <c r="E136" s="87"/>
      <c r="H136" s="9"/>
      <c r="I136" s="91"/>
      <c r="J136" s="54"/>
    </row>
    <row r="137" spans="1:97" ht="12.75" hidden="1" customHeight="1" x14ac:dyDescent="0.25">
      <c r="D137" s="89"/>
      <c r="E137" s="87"/>
      <c r="H137" s="9"/>
      <c r="J137" s="65"/>
      <c r="N137" s="89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C137" s="92"/>
      <c r="BD137" s="92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W137" s="92"/>
      <c r="BX137" s="92"/>
      <c r="BY137" s="92"/>
      <c r="BZ137" s="92"/>
      <c r="CA137" s="92"/>
      <c r="CB137" s="92"/>
      <c r="CC137" s="92"/>
      <c r="CD137" s="92"/>
      <c r="CE137" s="92"/>
      <c r="CF137" s="92"/>
      <c r="CG137" s="92"/>
      <c r="CH137" s="92"/>
      <c r="CI137" s="92"/>
      <c r="CJ137" s="92"/>
      <c r="CK137" s="92"/>
      <c r="CL137" s="92"/>
      <c r="CM137" s="92"/>
      <c r="CN137" s="92"/>
      <c r="CO137" s="92"/>
      <c r="CP137" s="92"/>
      <c r="CQ137" s="92"/>
      <c r="CR137" s="92"/>
      <c r="CS137" s="92"/>
    </row>
    <row r="138" spans="1:97" ht="12.75" hidden="1" customHeight="1" x14ac:dyDescent="0.25">
      <c r="D138" s="89"/>
      <c r="E138" s="87"/>
      <c r="H138" s="9"/>
      <c r="N138" s="10"/>
    </row>
    <row r="139" spans="1:97" ht="12.75" hidden="1" customHeight="1" x14ac:dyDescent="0.25">
      <c r="H139" s="9"/>
      <c r="N139" s="10"/>
    </row>
    <row r="140" spans="1:97" ht="12.75" hidden="1" customHeight="1" x14ac:dyDescent="0.25">
      <c r="A140" s="41"/>
      <c r="B140" s="21"/>
      <c r="H140" s="9"/>
      <c r="N140" s="10"/>
    </row>
  </sheetData>
  <mergeCells count="25">
    <mergeCell ref="L13:M13"/>
    <mergeCell ref="C2:I5"/>
    <mergeCell ref="L8:M8"/>
    <mergeCell ref="L10:M10"/>
    <mergeCell ref="L11:M11"/>
    <mergeCell ref="L12:M12"/>
    <mergeCell ref="L25:M25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Z48:AA48"/>
    <mergeCell ref="L26:M26"/>
    <mergeCell ref="D48:E48"/>
    <mergeCell ref="F48:G48"/>
    <mergeCell ref="H48:I48"/>
    <mergeCell ref="J48:L48"/>
    <mergeCell ref="T48:V48"/>
  </mergeCells>
  <conditionalFormatting sqref="P84:CS84">
    <cfRule type="expression" dxfId="216" priority="23">
      <formula>P$7="Actuals"</formula>
    </cfRule>
  </conditionalFormatting>
  <conditionalFormatting sqref="E123">
    <cfRule type="expression" dxfId="215" priority="22">
      <formula>E$7="Actuals"</formula>
    </cfRule>
  </conditionalFormatting>
  <conditionalFormatting sqref="E124:E136">
    <cfRule type="expression" dxfId="214" priority="21">
      <formula>E$7="Actuals"</formula>
    </cfRule>
  </conditionalFormatting>
  <conditionalFormatting sqref="E137:E138">
    <cfRule type="expression" dxfId="213" priority="20">
      <formula>E$7="Actuals"</formula>
    </cfRule>
  </conditionalFormatting>
  <conditionalFormatting sqref="I38">
    <cfRule type="expression" dxfId="212" priority="14">
      <formula>I$9="Actuals"</formula>
    </cfRule>
  </conditionalFormatting>
  <conditionalFormatting sqref="N10:S10 L10:L24 O11:Q21 N11:N24 R11:S24">
    <cfRule type="expression" dxfId="211" priority="13">
      <formula>$L10=$I$13</formula>
    </cfRule>
  </conditionalFormatting>
  <conditionalFormatting sqref="I25">
    <cfRule type="expression" dxfId="210" priority="12">
      <formula>I$9="Actuals"</formula>
    </cfRule>
  </conditionalFormatting>
  <conditionalFormatting sqref="Y21">
    <cfRule type="containsText" dxfId="209" priority="10" operator="containsText" text="TRUE">
      <formula>NOT(ISERROR(SEARCH("TRUE",Y21)))</formula>
    </cfRule>
    <cfRule type="containsText" dxfId="208" priority="11" operator="containsText" text="FALSE">
      <formula>NOT(ISERROR(SEARCH("FALSE",Y21)))</formula>
    </cfRule>
  </conditionalFormatting>
  <conditionalFormatting sqref="Y22">
    <cfRule type="containsText" dxfId="207" priority="8" operator="containsText" text="TRUE">
      <formula>NOT(ISERROR(SEARCH("TRUE",Y22)))</formula>
    </cfRule>
    <cfRule type="containsText" dxfId="206" priority="9" operator="containsText" text="FALSE">
      <formula>NOT(ISERROR(SEARCH("FALSE",Y22)))</formula>
    </cfRule>
  </conditionalFormatting>
  <conditionalFormatting sqref="Y23">
    <cfRule type="containsText" dxfId="205" priority="6" operator="containsText" text="TRUE">
      <formula>NOT(ISERROR(SEARCH("TRUE",Y23)))</formula>
    </cfRule>
    <cfRule type="containsText" dxfId="204" priority="7" operator="containsText" text="FALSE">
      <formula>NOT(ISERROR(SEARCH("FALSE",Y23)))</formula>
    </cfRule>
  </conditionalFormatting>
  <conditionalFormatting sqref="Y24">
    <cfRule type="containsText" dxfId="203" priority="4" operator="containsText" text="TRUE">
      <formula>NOT(ISERROR(SEARCH("TRUE",Y24)))</formula>
    </cfRule>
    <cfRule type="containsText" dxfId="202" priority="5" operator="containsText" text="FALSE">
      <formula>NOT(ISERROR(SEARCH("FALSE",Y24)))</formula>
    </cfRule>
  </conditionalFormatting>
  <conditionalFormatting sqref="Y25">
    <cfRule type="containsText" dxfId="201" priority="2" operator="containsText" text="TRUE">
      <formula>NOT(ISERROR(SEARCH("TRUE",Y25)))</formula>
    </cfRule>
    <cfRule type="containsText" dxfId="200" priority="3" operator="containsText" text="FALSE">
      <formula>NOT(ISERROR(SEARCH("FALSE",Y25)))</formula>
    </cfRule>
  </conditionalFormatting>
  <conditionalFormatting sqref="J38">
    <cfRule type="expression" dxfId="199" priority="1">
      <formula>J$9="Actuals"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8FBF491-BABC-47BF-B62E-27A59B1B486F}">
          <x14:formula1>
            <xm:f>InputC!$B$174:$B$175</xm:f>
          </x14:formula1>
          <xm:sqref>J12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2D3F4-C898-4DAD-8571-8A11BE97F01D}">
  <sheetPr codeName="Sheet1">
    <tabColor theme="7" tint="0.39997558519241921"/>
  </sheetPr>
  <dimension ref="A1:DD141"/>
  <sheetViews>
    <sheetView showGridLines="0" zoomScale="50" zoomScaleNormal="50" workbookViewId="0">
      <pane xSplit="14" ySplit="9" topLeftCell="O10" activePane="bottomRight" state="frozen"/>
      <selection pane="topRight" activeCell="O1" sqref="O1"/>
      <selection pane="bottomLeft" activeCell="A10" sqref="A10"/>
      <selection pane="bottomRight" activeCell="K63" sqref="K63"/>
    </sheetView>
  </sheetViews>
  <sheetFormatPr defaultColWidth="0" defaultRowHeight="15" zeroHeight="1" x14ac:dyDescent="0.25"/>
  <cols>
    <col min="1" max="2" width="3.28515625" customWidth="1"/>
    <col min="3" max="3" width="3.28515625" style="184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3.7109375" customWidth="1"/>
    <col min="99" max="16384" width="9.140625" hidden="1"/>
  </cols>
  <sheetData>
    <row r="1" spans="1:98" s="292" customFormat="1" ht="12.75" customHeight="1" x14ac:dyDescent="0.25">
      <c r="A1" s="282"/>
      <c r="B1" s="282"/>
      <c r="C1" s="283"/>
      <c r="D1" s="282"/>
      <c r="E1" s="282"/>
      <c r="F1" s="282"/>
      <c r="G1" s="282"/>
      <c r="H1" s="298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  <c r="BD1" s="282"/>
      <c r="BE1" s="282"/>
      <c r="BF1" s="282"/>
      <c r="BG1" s="282"/>
      <c r="BH1" s="282"/>
      <c r="BI1" s="282"/>
      <c r="BJ1" s="282"/>
      <c r="BK1" s="282"/>
      <c r="BL1" s="282"/>
      <c r="BM1" s="282"/>
      <c r="BN1" s="282"/>
      <c r="BO1" s="282"/>
      <c r="BP1" s="282"/>
      <c r="BQ1" s="282"/>
      <c r="BR1" s="282"/>
      <c r="BS1" s="282"/>
      <c r="BT1" s="282"/>
      <c r="BU1" s="282"/>
      <c r="BV1" s="282"/>
      <c r="BW1" s="282"/>
      <c r="BX1" s="282"/>
      <c r="BY1" s="282"/>
      <c r="BZ1" s="282"/>
      <c r="CA1" s="282"/>
      <c r="CB1" s="282"/>
      <c r="CC1" s="282"/>
      <c r="CD1" s="282"/>
      <c r="CE1" s="282"/>
      <c r="CF1" s="282"/>
      <c r="CG1" s="282"/>
      <c r="CH1" s="282"/>
      <c r="CI1" s="282"/>
      <c r="CJ1" s="282"/>
      <c r="CK1" s="282"/>
      <c r="CL1" s="282"/>
      <c r="CM1" s="282"/>
      <c r="CN1" s="282"/>
      <c r="CO1" s="282"/>
      <c r="CP1" s="282"/>
      <c r="CQ1" s="282"/>
      <c r="CR1" s="282"/>
      <c r="CS1" s="282"/>
      <c r="CT1" s="282"/>
    </row>
    <row r="2" spans="1:98" s="292" customFormat="1" ht="12.75" customHeight="1" x14ac:dyDescent="0.25">
      <c r="A2" s="282"/>
      <c r="B2" s="282"/>
      <c r="C2" s="283"/>
      <c r="D2" s="299"/>
      <c r="E2" s="282"/>
      <c r="F2" s="282"/>
      <c r="G2" s="282"/>
      <c r="H2" s="298"/>
      <c r="I2" s="282"/>
      <c r="J2" s="282"/>
      <c r="K2" s="282"/>
      <c r="L2" s="282"/>
      <c r="M2" s="282"/>
      <c r="N2" s="282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  <c r="AK2" s="300"/>
      <c r="AL2" s="300"/>
      <c r="AM2" s="300"/>
      <c r="AN2" s="300"/>
      <c r="AO2" s="300"/>
      <c r="AP2" s="300"/>
      <c r="AQ2" s="300"/>
      <c r="AR2" s="300"/>
      <c r="AS2" s="300"/>
      <c r="AT2" s="300"/>
      <c r="AU2" s="300"/>
      <c r="AV2" s="300"/>
      <c r="AW2" s="300"/>
      <c r="AX2" s="300"/>
      <c r="AY2" s="300"/>
      <c r="AZ2" s="300"/>
      <c r="BA2" s="300"/>
      <c r="BB2" s="300"/>
      <c r="BC2" s="300"/>
      <c r="BD2" s="300"/>
      <c r="BE2" s="300"/>
      <c r="BF2" s="300"/>
      <c r="BG2" s="300"/>
      <c r="BH2" s="300"/>
      <c r="BI2" s="300"/>
      <c r="BJ2" s="300"/>
      <c r="BK2" s="300"/>
      <c r="BL2" s="300"/>
      <c r="BM2" s="300"/>
      <c r="BN2" s="300"/>
      <c r="BO2" s="300"/>
      <c r="BP2" s="300"/>
      <c r="BQ2" s="300"/>
      <c r="BR2" s="300"/>
      <c r="BS2" s="300"/>
      <c r="BT2" s="300"/>
      <c r="BU2" s="300"/>
      <c r="BV2" s="300"/>
      <c r="BW2" s="300"/>
      <c r="BX2" s="300"/>
      <c r="BY2" s="300"/>
      <c r="BZ2" s="300"/>
      <c r="CA2" s="300"/>
      <c r="CB2" s="300"/>
      <c r="CC2" s="300"/>
      <c r="CD2" s="300"/>
      <c r="CE2" s="300"/>
      <c r="CF2" s="300"/>
      <c r="CG2" s="300"/>
      <c r="CH2" s="300"/>
      <c r="CI2" s="300"/>
      <c r="CJ2" s="300"/>
      <c r="CK2" s="300"/>
      <c r="CL2" s="300"/>
      <c r="CM2" s="300"/>
      <c r="CN2" s="300"/>
      <c r="CO2" s="300"/>
      <c r="CP2" s="300"/>
      <c r="CQ2" s="300"/>
      <c r="CR2" s="300"/>
      <c r="CS2" s="300"/>
      <c r="CT2" s="300"/>
    </row>
    <row r="3" spans="1:98" s="292" customFormat="1" ht="12.75" customHeight="1" x14ac:dyDescent="0.25">
      <c r="A3" s="282"/>
      <c r="B3" s="282"/>
      <c r="C3" s="283"/>
      <c r="D3" s="282"/>
      <c r="E3" s="282"/>
      <c r="F3" s="282"/>
      <c r="G3" s="282"/>
      <c r="H3" s="298"/>
      <c r="I3" s="282"/>
      <c r="J3" s="282"/>
      <c r="K3" s="282"/>
      <c r="L3" s="282"/>
      <c r="M3" s="282"/>
      <c r="N3" s="282"/>
      <c r="O3" s="300"/>
      <c r="P3" s="300"/>
      <c r="Q3" s="300"/>
      <c r="R3" s="300"/>
      <c r="S3" s="300"/>
      <c r="T3" s="300"/>
      <c r="U3" s="300"/>
      <c r="V3" s="300"/>
      <c r="W3" s="300"/>
      <c r="X3" s="300"/>
      <c r="Y3" s="300"/>
      <c r="Z3" s="300"/>
      <c r="AA3" s="300"/>
      <c r="AB3" s="300"/>
      <c r="AC3" s="300"/>
      <c r="AD3" s="300"/>
      <c r="AE3" s="300"/>
      <c r="AF3" s="300"/>
      <c r="AG3" s="300"/>
      <c r="AH3" s="300"/>
      <c r="AI3" s="300"/>
      <c r="AJ3" s="300"/>
      <c r="AK3" s="300"/>
      <c r="AL3" s="300"/>
      <c r="AM3" s="300"/>
      <c r="AN3" s="300"/>
      <c r="AO3" s="300"/>
      <c r="AP3" s="300"/>
      <c r="AQ3" s="300"/>
      <c r="AR3" s="300"/>
      <c r="AS3" s="300"/>
      <c r="AT3" s="300"/>
      <c r="AU3" s="300"/>
      <c r="AV3" s="300"/>
      <c r="AW3" s="300"/>
      <c r="AX3" s="300"/>
      <c r="AY3" s="300"/>
      <c r="AZ3" s="300"/>
      <c r="BA3" s="300"/>
      <c r="BB3" s="300"/>
      <c r="BC3" s="300"/>
      <c r="BD3" s="300"/>
      <c r="BE3" s="300"/>
      <c r="BF3" s="300"/>
      <c r="BG3" s="300"/>
      <c r="BH3" s="300"/>
      <c r="BI3" s="300"/>
      <c r="BJ3" s="300"/>
      <c r="BK3" s="300"/>
      <c r="BL3" s="300"/>
      <c r="BM3" s="300"/>
      <c r="BN3" s="300"/>
      <c r="BO3" s="300"/>
      <c r="BP3" s="300"/>
      <c r="BQ3" s="300"/>
      <c r="BR3" s="300"/>
      <c r="BS3" s="300"/>
      <c r="BT3" s="300"/>
      <c r="BU3" s="300"/>
      <c r="BV3" s="300"/>
      <c r="BW3" s="300"/>
      <c r="BX3" s="300"/>
      <c r="BY3" s="300"/>
      <c r="BZ3" s="300"/>
      <c r="CA3" s="300"/>
      <c r="CB3" s="300"/>
      <c r="CC3" s="300"/>
      <c r="CD3" s="300"/>
      <c r="CE3" s="300"/>
      <c r="CF3" s="300"/>
      <c r="CG3" s="300"/>
      <c r="CH3" s="300"/>
      <c r="CI3" s="300"/>
      <c r="CJ3" s="300"/>
      <c r="CK3" s="300"/>
      <c r="CL3" s="300"/>
      <c r="CM3" s="300"/>
      <c r="CN3" s="300"/>
      <c r="CO3" s="300"/>
      <c r="CP3" s="300"/>
      <c r="CQ3" s="300"/>
      <c r="CR3" s="300"/>
      <c r="CS3" s="300"/>
      <c r="CT3" s="300"/>
    </row>
    <row r="4" spans="1:98" s="292" customFormat="1" ht="12.75" customHeight="1" x14ac:dyDescent="0.25">
      <c r="A4" s="282"/>
      <c r="B4" s="282"/>
      <c r="C4" s="283"/>
      <c r="D4" s="282"/>
      <c r="E4" s="282"/>
      <c r="F4" s="282"/>
      <c r="G4" s="282"/>
      <c r="H4" s="298"/>
      <c r="I4" s="282"/>
      <c r="J4" s="282"/>
      <c r="K4" s="282"/>
      <c r="L4" s="282"/>
      <c r="M4" s="282"/>
      <c r="N4" s="282"/>
      <c r="O4" s="282"/>
      <c r="P4" s="282"/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  <c r="BD4" s="282"/>
      <c r="BE4" s="282"/>
      <c r="BF4" s="282"/>
      <c r="BG4" s="282"/>
      <c r="BH4" s="282"/>
      <c r="BI4" s="282"/>
      <c r="BJ4" s="282"/>
      <c r="BK4" s="282"/>
      <c r="BL4" s="282"/>
      <c r="BM4" s="282"/>
      <c r="BN4" s="282"/>
      <c r="BO4" s="282"/>
      <c r="BP4" s="282"/>
      <c r="BQ4" s="282"/>
      <c r="BR4" s="282"/>
      <c r="BS4" s="282"/>
      <c r="BT4" s="282"/>
      <c r="BU4" s="282"/>
      <c r="BV4" s="282"/>
      <c r="BW4" s="282"/>
      <c r="BX4" s="282"/>
      <c r="BY4" s="282"/>
      <c r="BZ4" s="282"/>
      <c r="CA4" s="282"/>
      <c r="CB4" s="282"/>
      <c r="CC4" s="282"/>
      <c r="CD4" s="282"/>
      <c r="CE4" s="282"/>
      <c r="CF4" s="282"/>
      <c r="CG4" s="282"/>
      <c r="CH4" s="282"/>
      <c r="CI4" s="282"/>
      <c r="CJ4" s="282"/>
      <c r="CK4" s="282"/>
      <c r="CL4" s="282"/>
      <c r="CM4" s="282"/>
      <c r="CN4" s="282"/>
      <c r="CO4" s="282"/>
      <c r="CP4" s="282"/>
      <c r="CQ4" s="282"/>
      <c r="CR4" s="282"/>
      <c r="CS4" s="282"/>
      <c r="CT4" s="282"/>
    </row>
    <row r="5" spans="1:98" s="292" customFormat="1" ht="12.75" customHeight="1" x14ac:dyDescent="0.25">
      <c r="A5" s="282"/>
      <c r="B5" s="282"/>
      <c r="C5" s="283"/>
      <c r="D5" s="282"/>
      <c r="E5" s="282"/>
      <c r="F5" s="282"/>
      <c r="G5" s="282"/>
      <c r="H5" s="298"/>
      <c r="I5" s="282"/>
      <c r="J5" s="282"/>
      <c r="K5" s="282"/>
      <c r="L5" s="282"/>
      <c r="M5" s="282" t="s">
        <v>0</v>
      </c>
      <c r="N5" s="282"/>
      <c r="O5" s="287"/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</row>
    <row r="6" spans="1:98" s="292" customFormat="1" ht="12.75" customHeight="1" x14ac:dyDescent="0.25">
      <c r="A6" s="282"/>
      <c r="B6" s="282"/>
      <c r="C6" s="283"/>
      <c r="D6" s="282"/>
      <c r="E6" s="282"/>
      <c r="F6" s="282"/>
      <c r="G6" s="282"/>
      <c r="H6" s="298"/>
      <c r="I6" s="282"/>
      <c r="J6" s="282"/>
      <c r="K6" s="282"/>
      <c r="L6" s="282"/>
      <c r="M6" s="282" t="s">
        <v>1</v>
      </c>
      <c r="N6" s="282"/>
      <c r="O6" s="301"/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</row>
    <row r="7" spans="1:98" s="292" customFormat="1" ht="12.75" customHeight="1" x14ac:dyDescent="0.25">
      <c r="A7" s="282"/>
      <c r="B7" s="282"/>
      <c r="C7" s="282" t="s">
        <v>2</v>
      </c>
      <c r="D7" s="282"/>
      <c r="E7" s="282"/>
      <c r="F7" s="282"/>
      <c r="G7" s="282"/>
      <c r="H7" s="298" t="s">
        <v>3</v>
      </c>
      <c r="I7" s="282"/>
      <c r="J7" s="302" t="e">
        <f>J28</f>
        <v>#REF!</v>
      </c>
      <c r="K7" s="282"/>
      <c r="L7" s="282"/>
      <c r="M7" s="282" t="s">
        <v>4</v>
      </c>
      <c r="N7" s="282"/>
      <c r="O7" s="303"/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</row>
    <row r="8" spans="1:98" s="292" customFormat="1" ht="12.75" customHeight="1" x14ac:dyDescent="0.25">
      <c r="A8" s="282"/>
      <c r="B8" s="282"/>
      <c r="C8" s="282" t="s">
        <v>5</v>
      </c>
      <c r="D8" s="282"/>
      <c r="E8" s="282"/>
      <c r="F8" s="282"/>
      <c r="G8" s="282"/>
      <c r="H8" s="298" t="s">
        <v>6</v>
      </c>
      <c r="I8" s="282"/>
      <c r="J8" s="304">
        <f>J49</f>
        <v>0</v>
      </c>
      <c r="K8" s="282"/>
      <c r="L8" s="282"/>
      <c r="M8" s="282" t="s">
        <v>7</v>
      </c>
      <c r="N8" s="282"/>
      <c r="O8" s="289"/>
      <c r="P8" s="289" t="str">
        <f>Timing!R8</f>
        <v/>
      </c>
      <c r="Q8" s="289" t="str">
        <f>Timing!S8</f>
        <v/>
      </c>
      <c r="R8" s="289" t="str">
        <f>Timing!T8</f>
        <v/>
      </c>
      <c r="S8" s="289" t="str">
        <f>Timing!U8</f>
        <v/>
      </c>
      <c r="T8" s="289" t="str">
        <f>Timing!V8</f>
        <v/>
      </c>
      <c r="U8" s="289" t="str">
        <f>Timing!W8</f>
        <v>Hold</v>
      </c>
      <c r="V8" s="289" t="str">
        <f>Timing!X8</f>
        <v>Hold</v>
      </c>
      <c r="W8" s="289" t="str">
        <f>Timing!Y8</f>
        <v>Hold</v>
      </c>
      <c r="X8" s="289" t="str">
        <f>Timing!Z8</f>
        <v>Hold</v>
      </c>
      <c r="Y8" s="289" t="str">
        <f>Timing!AA8</f>
        <v>Hold</v>
      </c>
      <c r="Z8" s="289" t="str">
        <f>Timing!AB8</f>
        <v>Hold</v>
      </c>
      <c r="AA8" s="289" t="str">
        <f>Timing!AC8</f>
        <v>Hold</v>
      </c>
      <c r="AB8" s="289" t="str">
        <f>Timing!AD8</f>
        <v>Hold</v>
      </c>
      <c r="AC8" s="289" t="str">
        <f>Timing!AE8</f>
        <v>Hold</v>
      </c>
      <c r="AD8" s="289" t="str">
        <f>Timing!AF8</f>
        <v>Hold</v>
      </c>
      <c r="AE8" s="289" t="str">
        <f>Timing!AG8</f>
        <v>Hold</v>
      </c>
      <c r="AF8" s="289" t="str">
        <f>Timing!AH8</f>
        <v/>
      </c>
      <c r="AG8" s="289" t="str">
        <f>Timing!AI8</f>
        <v/>
      </c>
      <c r="AH8" s="289" t="str">
        <f>Timing!AJ8</f>
        <v/>
      </c>
      <c r="AI8" s="289" t="str">
        <f>Timing!AK8</f>
        <v/>
      </c>
      <c r="AJ8" s="289" t="str">
        <f>Timing!AL8</f>
        <v/>
      </c>
      <c r="AK8" s="289" t="str">
        <f>Timing!AM8</f>
        <v/>
      </c>
      <c r="AL8" s="289" t="str">
        <f>Timing!AN8</f>
        <v/>
      </c>
      <c r="AM8" s="289" t="str">
        <f>Timing!AO8</f>
        <v/>
      </c>
      <c r="AN8" s="289" t="str">
        <f>Timing!AP8</f>
        <v/>
      </c>
      <c r="AO8" s="289" t="str">
        <f>Timing!AQ8</f>
        <v/>
      </c>
      <c r="AP8" s="289" t="str">
        <f>Timing!AR8</f>
        <v/>
      </c>
      <c r="AQ8" s="289" t="str">
        <f>Timing!AS8</f>
        <v/>
      </c>
      <c r="AR8" s="289" t="str">
        <f>Timing!AT8</f>
        <v/>
      </c>
      <c r="AS8" s="289" t="str">
        <f>Timing!AU8</f>
        <v/>
      </c>
      <c r="AT8" s="289" t="str">
        <f>Timing!AV8</f>
        <v/>
      </c>
      <c r="AU8" s="289" t="str">
        <f>Timing!AW8</f>
        <v/>
      </c>
      <c r="AV8" s="289" t="str">
        <f>Timing!AX8</f>
        <v/>
      </c>
      <c r="AW8" s="289" t="str">
        <f>Timing!AY8</f>
        <v/>
      </c>
      <c r="AX8" s="289" t="str">
        <f>Timing!AZ8</f>
        <v/>
      </c>
      <c r="AY8" s="289" t="str">
        <f>Timing!BA8</f>
        <v/>
      </c>
      <c r="AZ8" s="289" t="str">
        <f>Timing!BB8</f>
        <v/>
      </c>
      <c r="BA8" s="289" t="str">
        <f>Timing!BC8</f>
        <v/>
      </c>
      <c r="BB8" s="289" t="str">
        <f>Timing!BD8</f>
        <v/>
      </c>
      <c r="BC8" s="289" t="str">
        <f>Timing!BE8</f>
        <v/>
      </c>
      <c r="BD8" s="289" t="str">
        <f>Timing!BF8</f>
        <v/>
      </c>
      <c r="BE8" s="289" t="str">
        <f>Timing!BG8</f>
        <v/>
      </c>
      <c r="BF8" s="289" t="str">
        <f>Timing!BH8</f>
        <v/>
      </c>
      <c r="BG8" s="289" t="str">
        <f>Timing!BI8</f>
        <v/>
      </c>
      <c r="BH8" s="289" t="str">
        <f>Timing!BJ8</f>
        <v/>
      </c>
      <c r="BI8" s="289" t="str">
        <f>Timing!BK8</f>
        <v/>
      </c>
      <c r="BJ8" s="289" t="str">
        <f>Timing!BL8</f>
        <v/>
      </c>
      <c r="BK8" s="289" t="str">
        <f>Timing!BM8</f>
        <v/>
      </c>
      <c r="BL8" s="289" t="str">
        <f>Timing!BN8</f>
        <v/>
      </c>
      <c r="BM8" s="289" t="str">
        <f>Timing!BO8</f>
        <v/>
      </c>
      <c r="BN8" s="289" t="str">
        <f>Timing!BP8</f>
        <v/>
      </c>
      <c r="BO8" s="289" t="str">
        <f>Timing!BQ8</f>
        <v/>
      </c>
      <c r="BP8" s="289" t="str">
        <f>Timing!BR8</f>
        <v/>
      </c>
      <c r="BQ8" s="289" t="str">
        <f>Timing!BS8</f>
        <v/>
      </c>
      <c r="BR8" s="289" t="str">
        <f>Timing!BT8</f>
        <v/>
      </c>
      <c r="BS8" s="289" t="str">
        <f>Timing!BU8</f>
        <v/>
      </c>
      <c r="BT8" s="289" t="str">
        <f>Timing!BV8</f>
        <v/>
      </c>
      <c r="BU8" s="289" t="str">
        <f>Timing!BW8</f>
        <v/>
      </c>
      <c r="BV8" s="289" t="str">
        <f>Timing!BX8</f>
        <v/>
      </c>
      <c r="BW8" s="289" t="str">
        <f>Timing!BY8</f>
        <v/>
      </c>
      <c r="BX8" s="289" t="str">
        <f>Timing!BZ8</f>
        <v/>
      </c>
      <c r="BY8" s="289" t="str">
        <f>Timing!CA8</f>
        <v/>
      </c>
      <c r="BZ8" s="289" t="str">
        <f>Timing!CB8</f>
        <v/>
      </c>
      <c r="CA8" s="289" t="str">
        <f>Timing!CC8</f>
        <v/>
      </c>
      <c r="CB8" s="289" t="str">
        <f>Timing!CD8</f>
        <v/>
      </c>
      <c r="CC8" s="289" t="str">
        <f>Timing!CE8</f>
        <v/>
      </c>
      <c r="CD8" s="289" t="str">
        <f>Timing!CF8</f>
        <v/>
      </c>
      <c r="CE8" s="289" t="str">
        <f>Timing!CG8</f>
        <v/>
      </c>
      <c r="CF8" s="289" t="str">
        <f>Timing!CH8</f>
        <v/>
      </c>
      <c r="CG8" s="289" t="str">
        <f>Timing!CI8</f>
        <v/>
      </c>
      <c r="CH8" s="289" t="str">
        <f>Timing!CJ8</f>
        <v/>
      </c>
      <c r="CI8" s="289" t="str">
        <f>Timing!CK8</f>
        <v/>
      </c>
      <c r="CJ8" s="289" t="str">
        <f>Timing!CL8</f>
        <v/>
      </c>
      <c r="CK8" s="289" t="str">
        <f>Timing!CM8</f>
        <v/>
      </c>
      <c r="CL8" s="289" t="str">
        <f>Timing!CN8</f>
        <v/>
      </c>
      <c r="CM8" s="289" t="str">
        <f>Timing!CO8</f>
        <v/>
      </c>
      <c r="CN8" s="289" t="str">
        <f>Timing!CP8</f>
        <v/>
      </c>
      <c r="CO8" s="289" t="str">
        <f>Timing!CQ8</f>
        <v/>
      </c>
      <c r="CP8" s="289" t="str">
        <f>Timing!CR8</f>
        <v/>
      </c>
      <c r="CQ8" s="289" t="str">
        <f>Timing!CS8</f>
        <v/>
      </c>
      <c r="CR8" s="289" t="str">
        <f>Timing!CT8</f>
        <v/>
      </c>
      <c r="CS8" s="289" t="str">
        <f>Timing!CU8</f>
        <v/>
      </c>
      <c r="CT8" s="289" t="str">
        <f>Timing!CV8</f>
        <v/>
      </c>
    </row>
    <row r="9" spans="1:98" s="292" customFormat="1" ht="12.75" customHeight="1" x14ac:dyDescent="0.25">
      <c r="A9" s="282"/>
      <c r="B9" s="282"/>
      <c r="C9" s="283"/>
      <c r="D9" s="282"/>
      <c r="E9" s="282"/>
      <c r="F9" s="282"/>
      <c r="G9" s="282"/>
      <c r="H9" s="298"/>
      <c r="I9" s="282"/>
      <c r="J9" s="282"/>
      <c r="K9" s="282"/>
      <c r="L9" s="282"/>
      <c r="M9" s="282"/>
      <c r="N9" s="282"/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5"/>
      <c r="Z9" s="305"/>
      <c r="AA9" s="305"/>
      <c r="AB9" s="305"/>
      <c r="AC9" s="305"/>
      <c r="AD9" s="305"/>
      <c r="AE9" s="305"/>
      <c r="AF9" s="305"/>
      <c r="AG9" s="305"/>
      <c r="AH9" s="305"/>
      <c r="AI9" s="305"/>
      <c r="AJ9" s="305"/>
      <c r="AK9" s="305"/>
      <c r="AL9" s="305"/>
      <c r="AM9" s="305"/>
      <c r="AN9" s="305"/>
      <c r="AO9" s="305"/>
      <c r="AP9" s="305"/>
      <c r="AQ9" s="305"/>
      <c r="AR9" s="305"/>
      <c r="AS9" s="305"/>
      <c r="AT9" s="305"/>
      <c r="AU9" s="305"/>
      <c r="AV9" s="305"/>
      <c r="AW9" s="305"/>
      <c r="AX9" s="305"/>
      <c r="AY9" s="305"/>
      <c r="AZ9" s="305"/>
      <c r="BA9" s="305"/>
      <c r="BB9" s="305"/>
      <c r="BC9" s="305"/>
      <c r="BD9" s="305"/>
      <c r="BE9" s="305"/>
      <c r="BF9" s="305"/>
      <c r="BG9" s="305"/>
      <c r="BH9" s="305"/>
      <c r="BI9" s="305"/>
      <c r="BJ9" s="305"/>
      <c r="BK9" s="305"/>
      <c r="BL9" s="305"/>
      <c r="BM9" s="305"/>
      <c r="BN9" s="305"/>
      <c r="BO9" s="305"/>
      <c r="BP9" s="305"/>
      <c r="BQ9" s="305"/>
      <c r="BR9" s="305"/>
      <c r="BS9" s="305"/>
      <c r="BT9" s="305"/>
      <c r="BU9" s="305"/>
      <c r="BV9" s="305"/>
      <c r="BW9" s="305"/>
      <c r="BX9" s="305"/>
      <c r="BY9" s="305"/>
      <c r="BZ9" s="305"/>
      <c r="CA9" s="305"/>
      <c r="CB9" s="305"/>
      <c r="CC9" s="305"/>
      <c r="CD9" s="305"/>
      <c r="CE9" s="305"/>
      <c r="CF9" s="305"/>
      <c r="CG9" s="305"/>
      <c r="CH9" s="305"/>
      <c r="CI9" s="305"/>
      <c r="CJ9" s="305"/>
      <c r="CK9" s="305"/>
      <c r="CL9" s="305"/>
      <c r="CM9" s="305"/>
      <c r="CN9" s="305"/>
      <c r="CO9" s="305"/>
      <c r="CP9" s="305"/>
      <c r="CQ9" s="305"/>
      <c r="CR9" s="305"/>
      <c r="CS9" s="305"/>
      <c r="CT9" s="305"/>
    </row>
    <row r="10" spans="1:98" ht="12.75" customHeight="1" x14ac:dyDescent="0.25">
      <c r="A10" s="5" t="s">
        <v>8</v>
      </c>
      <c r="B10" s="5"/>
      <c r="C10" s="6"/>
      <c r="D10" s="5"/>
      <c r="E10" s="5"/>
      <c r="F10" s="5"/>
      <c r="G10" s="5"/>
      <c r="H10" s="7"/>
      <c r="I10" s="8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</row>
    <row r="11" spans="1:98" ht="12.75" customHeight="1" x14ac:dyDescent="0.25">
      <c r="H11" s="9"/>
      <c r="N11" s="10"/>
    </row>
    <row r="12" spans="1:98" ht="12.75" customHeight="1" x14ac:dyDescent="0.25">
      <c r="C12" s="184" t="s">
        <v>9</v>
      </c>
      <c r="H12" s="9" t="s">
        <v>10</v>
      </c>
      <c r="J12" s="11" t="s">
        <v>11</v>
      </c>
      <c r="N12" s="10"/>
    </row>
    <row r="13" spans="1:98" ht="12.75" customHeight="1" x14ac:dyDescent="0.25">
      <c r="H13" s="9"/>
      <c r="N13" s="10"/>
    </row>
    <row r="14" spans="1:98" ht="12.75" customHeight="1" x14ac:dyDescent="0.25">
      <c r="C14" s="184" t="s">
        <v>12</v>
      </c>
      <c r="H14" s="9" t="s">
        <v>13</v>
      </c>
      <c r="J14" s="11">
        <v>2026</v>
      </c>
      <c r="N14" s="12">
        <f t="shared" ref="N14:N16" si="0">SUM(P14:CT14)</f>
        <v>1</v>
      </c>
      <c r="O14" s="13"/>
      <c r="P14" s="13">
        <f>Timing!R52</f>
        <v>0</v>
      </c>
      <c r="Q14" s="13">
        <f>Timing!S52</f>
        <v>0</v>
      </c>
      <c r="R14" s="13">
        <f>Timing!T52</f>
        <v>0</v>
      </c>
      <c r="S14" s="13">
        <f>Timing!U52</f>
        <v>0</v>
      </c>
      <c r="T14" s="13">
        <f>Timing!V52</f>
        <v>0</v>
      </c>
      <c r="U14" s="13">
        <f>Timing!W52</f>
        <v>1</v>
      </c>
      <c r="V14" s="13">
        <f>Timing!X52</f>
        <v>0</v>
      </c>
      <c r="W14" s="13">
        <f>Timing!Y52</f>
        <v>0</v>
      </c>
      <c r="X14" s="13">
        <f>Timing!Z52</f>
        <v>0</v>
      </c>
      <c r="Y14" s="13">
        <f>Timing!AA52</f>
        <v>0</v>
      </c>
      <c r="Z14" s="13">
        <f>Timing!AB52</f>
        <v>0</v>
      </c>
      <c r="AA14" s="13">
        <f>Timing!AC52</f>
        <v>0</v>
      </c>
      <c r="AB14" s="13">
        <f>Timing!AD52</f>
        <v>0</v>
      </c>
      <c r="AC14" s="13">
        <f>Timing!AE52</f>
        <v>0</v>
      </c>
      <c r="AD14" s="13">
        <f>Timing!AF52</f>
        <v>0</v>
      </c>
      <c r="AE14" s="13">
        <f>Timing!AG52</f>
        <v>0</v>
      </c>
      <c r="AF14" s="13">
        <f>Timing!AH52</f>
        <v>0</v>
      </c>
      <c r="AG14" s="13">
        <f>Timing!AI52</f>
        <v>0</v>
      </c>
      <c r="AH14" s="13">
        <f>Timing!AJ52</f>
        <v>0</v>
      </c>
      <c r="AI14" s="13">
        <f>Timing!AK52</f>
        <v>0</v>
      </c>
      <c r="AJ14" s="13">
        <f>Timing!AL52</f>
        <v>0</v>
      </c>
      <c r="AK14" s="13">
        <f>Timing!AM52</f>
        <v>0</v>
      </c>
      <c r="AL14" s="13">
        <f>Timing!AN52</f>
        <v>0</v>
      </c>
      <c r="AM14" s="13">
        <f>Timing!AO52</f>
        <v>0</v>
      </c>
      <c r="AN14" s="13">
        <f>Timing!AP52</f>
        <v>0</v>
      </c>
      <c r="AO14" s="13">
        <f>Timing!AQ52</f>
        <v>0</v>
      </c>
      <c r="AP14" s="13">
        <f>Timing!AR52</f>
        <v>0</v>
      </c>
      <c r="AQ14" s="13">
        <f>Timing!AS52</f>
        <v>0</v>
      </c>
      <c r="AR14" s="13">
        <f>Timing!AT52</f>
        <v>0</v>
      </c>
      <c r="AS14" s="13">
        <f>Timing!AU52</f>
        <v>0</v>
      </c>
      <c r="AT14" s="13">
        <f>Timing!AV52</f>
        <v>0</v>
      </c>
      <c r="AU14" s="13">
        <f>Timing!AW52</f>
        <v>0</v>
      </c>
      <c r="AV14" s="13">
        <f>Timing!AX52</f>
        <v>0</v>
      </c>
      <c r="AW14" s="13">
        <f>Timing!AY52</f>
        <v>0</v>
      </c>
      <c r="AX14" s="13">
        <f>Timing!AZ52</f>
        <v>0</v>
      </c>
      <c r="AY14" s="13">
        <f>Timing!BA52</f>
        <v>0</v>
      </c>
      <c r="AZ14" s="13">
        <f>Timing!BB52</f>
        <v>0</v>
      </c>
      <c r="BA14" s="13">
        <f>Timing!BC52</f>
        <v>0</v>
      </c>
      <c r="BB14" s="13">
        <f>Timing!BD52</f>
        <v>0</v>
      </c>
      <c r="BC14" s="13">
        <f>Timing!BE52</f>
        <v>0</v>
      </c>
      <c r="BD14" s="13">
        <f>Timing!BF52</f>
        <v>0</v>
      </c>
      <c r="BE14" s="13">
        <f>Timing!BG52</f>
        <v>0</v>
      </c>
      <c r="BF14" s="13">
        <f>Timing!BH52</f>
        <v>0</v>
      </c>
      <c r="BG14" s="13">
        <f>Timing!BI52</f>
        <v>0</v>
      </c>
      <c r="BH14" s="13">
        <f>Timing!BJ52</f>
        <v>0</v>
      </c>
      <c r="BI14" s="13">
        <f>Timing!BK52</f>
        <v>0</v>
      </c>
      <c r="BJ14" s="13">
        <f>Timing!BL52</f>
        <v>0</v>
      </c>
      <c r="BK14" s="13">
        <f>Timing!BM52</f>
        <v>0</v>
      </c>
      <c r="BL14" s="13">
        <f>Timing!BN52</f>
        <v>0</v>
      </c>
      <c r="BM14" s="13">
        <f>Timing!BO52</f>
        <v>0</v>
      </c>
      <c r="BN14" s="13">
        <f>Timing!BP52</f>
        <v>0</v>
      </c>
      <c r="BO14" s="13">
        <f>Timing!BQ52</f>
        <v>0</v>
      </c>
      <c r="BP14" s="13">
        <f>Timing!BR52</f>
        <v>0</v>
      </c>
      <c r="BQ14" s="13">
        <f>Timing!BS52</f>
        <v>0</v>
      </c>
      <c r="BR14" s="13">
        <f>Timing!BT52</f>
        <v>0</v>
      </c>
      <c r="BS14" s="13">
        <f>Timing!BU52</f>
        <v>0</v>
      </c>
      <c r="BT14" s="13">
        <f>Timing!BV52</f>
        <v>0</v>
      </c>
      <c r="BU14" s="13">
        <f>Timing!BW52</f>
        <v>0</v>
      </c>
      <c r="BV14" s="13">
        <f>Timing!BX52</f>
        <v>0</v>
      </c>
      <c r="BW14" s="13">
        <f>Timing!BY52</f>
        <v>0</v>
      </c>
      <c r="BX14" s="13">
        <f>Timing!BZ52</f>
        <v>0</v>
      </c>
      <c r="BY14" s="13">
        <f>Timing!CA52</f>
        <v>0</v>
      </c>
      <c r="BZ14" s="13">
        <f>Timing!CB52</f>
        <v>0</v>
      </c>
      <c r="CA14" s="13">
        <f>Timing!CC52</f>
        <v>0</v>
      </c>
      <c r="CB14" s="13">
        <f>Timing!CD52</f>
        <v>0</v>
      </c>
      <c r="CC14" s="13">
        <f>Timing!CE52</f>
        <v>0</v>
      </c>
      <c r="CD14" s="13">
        <f>Timing!CF52</f>
        <v>0</v>
      </c>
      <c r="CE14" s="13">
        <f>Timing!CG52</f>
        <v>0</v>
      </c>
      <c r="CF14" s="13">
        <f>Timing!CH52</f>
        <v>0</v>
      </c>
      <c r="CG14" s="13">
        <f>Timing!CI52</f>
        <v>0</v>
      </c>
      <c r="CH14" s="13">
        <f>Timing!CJ52</f>
        <v>0</v>
      </c>
      <c r="CI14" s="13">
        <f>Timing!CK52</f>
        <v>0</v>
      </c>
      <c r="CJ14" s="13">
        <f>Timing!CL52</f>
        <v>0</v>
      </c>
      <c r="CK14" s="13">
        <f>Timing!CM52</f>
        <v>0</v>
      </c>
      <c r="CL14" s="13">
        <f>Timing!CN52</f>
        <v>0</v>
      </c>
      <c r="CM14" s="13">
        <f>Timing!CO52</f>
        <v>0</v>
      </c>
      <c r="CN14" s="13">
        <f>Timing!CP52</f>
        <v>0</v>
      </c>
      <c r="CO14" s="13">
        <f>Timing!CQ52</f>
        <v>0</v>
      </c>
      <c r="CP14" s="13">
        <f>Timing!CR52</f>
        <v>0</v>
      </c>
      <c r="CQ14" s="13">
        <f>Timing!CS52</f>
        <v>0</v>
      </c>
      <c r="CR14" s="13">
        <f>Timing!CT52</f>
        <v>0</v>
      </c>
      <c r="CS14" s="13">
        <f>Timing!CU52</f>
        <v>0</v>
      </c>
      <c r="CT14" s="13">
        <f>Timing!CV52</f>
        <v>0</v>
      </c>
    </row>
    <row r="15" spans="1:98" ht="12.75" customHeight="1" x14ac:dyDescent="0.25">
      <c r="C15" s="184" t="s">
        <v>14</v>
      </c>
      <c r="H15" s="9" t="s">
        <v>13</v>
      </c>
      <c r="J15" s="11">
        <v>10</v>
      </c>
      <c r="N15" s="12">
        <f t="shared" si="0"/>
        <v>11</v>
      </c>
      <c r="O15" s="14"/>
      <c r="P15" s="13">
        <f>Timing!R53</f>
        <v>0</v>
      </c>
      <c r="Q15" s="13">
        <f>Timing!S53</f>
        <v>0</v>
      </c>
      <c r="R15" s="13">
        <f>Timing!T53</f>
        <v>0</v>
      </c>
      <c r="S15" s="13">
        <f>Timing!U53</f>
        <v>0</v>
      </c>
      <c r="T15" s="13">
        <f>Timing!V53</f>
        <v>0</v>
      </c>
      <c r="U15" s="13">
        <f>Timing!W53</f>
        <v>1</v>
      </c>
      <c r="V15" s="13">
        <f>Timing!X53</f>
        <v>1</v>
      </c>
      <c r="W15" s="13">
        <f>Timing!Y53</f>
        <v>1</v>
      </c>
      <c r="X15" s="13">
        <f>Timing!Z53</f>
        <v>1</v>
      </c>
      <c r="Y15" s="13">
        <f>Timing!AA53</f>
        <v>1</v>
      </c>
      <c r="Z15" s="13">
        <f>Timing!AB53</f>
        <v>1</v>
      </c>
      <c r="AA15" s="13">
        <f>Timing!AC53</f>
        <v>1</v>
      </c>
      <c r="AB15" s="13">
        <f>Timing!AD53</f>
        <v>1</v>
      </c>
      <c r="AC15" s="13">
        <f>Timing!AE53</f>
        <v>1</v>
      </c>
      <c r="AD15" s="13">
        <f>Timing!AF53</f>
        <v>1</v>
      </c>
      <c r="AE15" s="13">
        <f>Timing!AG53</f>
        <v>1</v>
      </c>
      <c r="AF15" s="13">
        <f>Timing!AH53</f>
        <v>0</v>
      </c>
      <c r="AG15" s="13">
        <f>Timing!AI53</f>
        <v>0</v>
      </c>
      <c r="AH15" s="13">
        <f>Timing!AJ53</f>
        <v>0</v>
      </c>
      <c r="AI15" s="13">
        <f>Timing!AK53</f>
        <v>0</v>
      </c>
      <c r="AJ15" s="13">
        <f>Timing!AL53</f>
        <v>0</v>
      </c>
      <c r="AK15" s="13">
        <f>Timing!AM53</f>
        <v>0</v>
      </c>
      <c r="AL15" s="13">
        <f>Timing!AN53</f>
        <v>0</v>
      </c>
      <c r="AM15" s="13">
        <f>Timing!AO53</f>
        <v>0</v>
      </c>
      <c r="AN15" s="13">
        <f>Timing!AP53</f>
        <v>0</v>
      </c>
      <c r="AO15" s="13">
        <f>Timing!AQ53</f>
        <v>0</v>
      </c>
      <c r="AP15" s="13">
        <f>Timing!AR53</f>
        <v>0</v>
      </c>
      <c r="AQ15" s="13">
        <f>Timing!AS53</f>
        <v>0</v>
      </c>
      <c r="AR15" s="13">
        <f>Timing!AT53</f>
        <v>0</v>
      </c>
      <c r="AS15" s="13">
        <f>Timing!AU53</f>
        <v>0</v>
      </c>
      <c r="AT15" s="13">
        <f>Timing!AV53</f>
        <v>0</v>
      </c>
      <c r="AU15" s="13">
        <f>Timing!AW53</f>
        <v>0</v>
      </c>
      <c r="AV15" s="13">
        <f>Timing!AX53</f>
        <v>0</v>
      </c>
      <c r="AW15" s="13">
        <f>Timing!AY53</f>
        <v>0</v>
      </c>
      <c r="AX15" s="13">
        <f>Timing!AZ53</f>
        <v>0</v>
      </c>
      <c r="AY15" s="13">
        <f>Timing!BA53</f>
        <v>0</v>
      </c>
      <c r="AZ15" s="13">
        <f>Timing!BB53</f>
        <v>0</v>
      </c>
      <c r="BA15" s="13">
        <f>Timing!BC53</f>
        <v>0</v>
      </c>
      <c r="BB15" s="13">
        <f>Timing!BD53</f>
        <v>0</v>
      </c>
      <c r="BC15" s="13">
        <f>Timing!BE53</f>
        <v>0</v>
      </c>
      <c r="BD15" s="13">
        <f>Timing!BF53</f>
        <v>0</v>
      </c>
      <c r="BE15" s="13">
        <f>Timing!BG53</f>
        <v>0</v>
      </c>
      <c r="BF15" s="13">
        <f>Timing!BH53</f>
        <v>0</v>
      </c>
      <c r="BG15" s="13">
        <f>Timing!BI53</f>
        <v>0</v>
      </c>
      <c r="BH15" s="13">
        <f>Timing!BJ53</f>
        <v>0</v>
      </c>
      <c r="BI15" s="13">
        <f>Timing!BK53</f>
        <v>0</v>
      </c>
      <c r="BJ15" s="13">
        <f>Timing!BL53</f>
        <v>0</v>
      </c>
      <c r="BK15" s="13">
        <f>Timing!BM53</f>
        <v>0</v>
      </c>
      <c r="BL15" s="13">
        <f>Timing!BN53</f>
        <v>0</v>
      </c>
      <c r="BM15" s="13">
        <f>Timing!BO53</f>
        <v>0</v>
      </c>
      <c r="BN15" s="13">
        <f>Timing!BP53</f>
        <v>0</v>
      </c>
      <c r="BO15" s="13">
        <f>Timing!BQ53</f>
        <v>0</v>
      </c>
      <c r="BP15" s="13">
        <f>Timing!BR53</f>
        <v>0</v>
      </c>
      <c r="BQ15" s="13">
        <f>Timing!BS53</f>
        <v>0</v>
      </c>
      <c r="BR15" s="13">
        <f>Timing!BT53</f>
        <v>0</v>
      </c>
      <c r="BS15" s="13">
        <f>Timing!BU53</f>
        <v>0</v>
      </c>
      <c r="BT15" s="13">
        <f>Timing!BV53</f>
        <v>0</v>
      </c>
      <c r="BU15" s="13">
        <f>Timing!BW53</f>
        <v>0</v>
      </c>
      <c r="BV15" s="13">
        <f>Timing!BX53</f>
        <v>0</v>
      </c>
      <c r="BW15" s="13">
        <f>Timing!BY53</f>
        <v>0</v>
      </c>
      <c r="BX15" s="13">
        <f>Timing!BZ53</f>
        <v>0</v>
      </c>
      <c r="BY15" s="13">
        <f>Timing!CA53</f>
        <v>0</v>
      </c>
      <c r="BZ15" s="13">
        <f>Timing!CB53</f>
        <v>0</v>
      </c>
      <c r="CA15" s="13">
        <f>Timing!CC53</f>
        <v>0</v>
      </c>
      <c r="CB15" s="13">
        <f>Timing!CD53</f>
        <v>0</v>
      </c>
      <c r="CC15" s="13">
        <f>Timing!CE53</f>
        <v>0</v>
      </c>
      <c r="CD15" s="13">
        <f>Timing!CF53</f>
        <v>0</v>
      </c>
      <c r="CE15" s="13">
        <f>Timing!CG53</f>
        <v>0</v>
      </c>
      <c r="CF15" s="13">
        <f>Timing!CH53</f>
        <v>0</v>
      </c>
      <c r="CG15" s="13">
        <f>Timing!CI53</f>
        <v>0</v>
      </c>
      <c r="CH15" s="13">
        <f>Timing!CJ53</f>
        <v>0</v>
      </c>
      <c r="CI15" s="13">
        <f>Timing!CK53</f>
        <v>0</v>
      </c>
      <c r="CJ15" s="13">
        <f>Timing!CL53</f>
        <v>0</v>
      </c>
      <c r="CK15" s="13">
        <f>Timing!CM53</f>
        <v>0</v>
      </c>
      <c r="CL15" s="13">
        <f>Timing!CN53</f>
        <v>0</v>
      </c>
      <c r="CM15" s="13">
        <f>Timing!CO53</f>
        <v>0</v>
      </c>
      <c r="CN15" s="13">
        <f>Timing!CP53</f>
        <v>0</v>
      </c>
      <c r="CO15" s="13">
        <f>Timing!CQ53</f>
        <v>0</v>
      </c>
      <c r="CP15" s="13">
        <f>Timing!CR53</f>
        <v>0</v>
      </c>
      <c r="CQ15" s="13">
        <f>Timing!CS53</f>
        <v>0</v>
      </c>
      <c r="CR15" s="13">
        <f>Timing!CT53</f>
        <v>0</v>
      </c>
      <c r="CS15" s="13">
        <f>Timing!CU53</f>
        <v>0</v>
      </c>
      <c r="CT15" s="13">
        <f>Timing!CV53</f>
        <v>0</v>
      </c>
    </row>
    <row r="16" spans="1:98" ht="12.75" customHeight="1" x14ac:dyDescent="0.25">
      <c r="C16" s="184" t="s">
        <v>15</v>
      </c>
      <c r="H16" s="9" t="s">
        <v>13</v>
      </c>
      <c r="J16" s="15">
        <f>IF(J12=InputC!B174,InputC!K22,J14+J15)</f>
        <v>2036</v>
      </c>
      <c r="K16" s="16"/>
      <c r="N16" s="12">
        <f t="shared" si="0"/>
        <v>1</v>
      </c>
      <c r="O16" s="13"/>
      <c r="P16" s="13">
        <f>Timing!R54</f>
        <v>0</v>
      </c>
      <c r="Q16" s="13">
        <f>Timing!S54</f>
        <v>0</v>
      </c>
      <c r="R16" s="13">
        <f>Timing!T54</f>
        <v>0</v>
      </c>
      <c r="S16" s="13">
        <f>Timing!U54</f>
        <v>0</v>
      </c>
      <c r="T16" s="13">
        <f>Timing!V54</f>
        <v>0</v>
      </c>
      <c r="U16" s="13">
        <f>Timing!W54</f>
        <v>0</v>
      </c>
      <c r="V16" s="13">
        <f>Timing!X54</f>
        <v>0</v>
      </c>
      <c r="W16" s="13">
        <f>Timing!Y54</f>
        <v>0</v>
      </c>
      <c r="X16" s="13">
        <f>Timing!Z54</f>
        <v>0</v>
      </c>
      <c r="Y16" s="13">
        <f>Timing!AA54</f>
        <v>0</v>
      </c>
      <c r="Z16" s="13">
        <f>Timing!AB54</f>
        <v>0</v>
      </c>
      <c r="AA16" s="13">
        <f>Timing!AC54</f>
        <v>0</v>
      </c>
      <c r="AB16" s="13">
        <f>Timing!AD54</f>
        <v>0</v>
      </c>
      <c r="AC16" s="13">
        <f>Timing!AE54</f>
        <v>0</v>
      </c>
      <c r="AD16" s="13">
        <f>Timing!AF54</f>
        <v>0</v>
      </c>
      <c r="AE16" s="13">
        <f>Timing!AG54</f>
        <v>1</v>
      </c>
      <c r="AF16" s="13">
        <f>Timing!AH54</f>
        <v>0</v>
      </c>
      <c r="AG16" s="13">
        <f>Timing!AI54</f>
        <v>0</v>
      </c>
      <c r="AH16" s="13">
        <f>Timing!AJ54</f>
        <v>0</v>
      </c>
      <c r="AI16" s="13">
        <f>Timing!AK54</f>
        <v>0</v>
      </c>
      <c r="AJ16" s="13">
        <f>Timing!AL54</f>
        <v>0</v>
      </c>
      <c r="AK16" s="13">
        <f>Timing!AM54</f>
        <v>0</v>
      </c>
      <c r="AL16" s="13">
        <f>Timing!AN54</f>
        <v>0</v>
      </c>
      <c r="AM16" s="13">
        <f>Timing!AO54</f>
        <v>0</v>
      </c>
      <c r="AN16" s="13">
        <f>Timing!AP54</f>
        <v>0</v>
      </c>
      <c r="AO16" s="13">
        <f>Timing!AQ54</f>
        <v>0</v>
      </c>
      <c r="AP16" s="13">
        <f>Timing!AR54</f>
        <v>0</v>
      </c>
      <c r="AQ16" s="13">
        <f>Timing!AS54</f>
        <v>0</v>
      </c>
      <c r="AR16" s="13">
        <f>Timing!AT54</f>
        <v>0</v>
      </c>
      <c r="AS16" s="13">
        <f>Timing!AU54</f>
        <v>0</v>
      </c>
      <c r="AT16" s="13">
        <f>Timing!AV54</f>
        <v>0</v>
      </c>
      <c r="AU16" s="13">
        <f>Timing!AW54</f>
        <v>0</v>
      </c>
      <c r="AV16" s="13">
        <f>Timing!AX54</f>
        <v>0</v>
      </c>
      <c r="AW16" s="13">
        <f>Timing!AY54</f>
        <v>0</v>
      </c>
      <c r="AX16" s="13">
        <f>Timing!AZ54</f>
        <v>0</v>
      </c>
      <c r="AY16" s="13">
        <f>Timing!BA54</f>
        <v>0</v>
      </c>
      <c r="AZ16" s="13">
        <f>Timing!BB54</f>
        <v>0</v>
      </c>
      <c r="BA16" s="13">
        <f>Timing!BC54</f>
        <v>0</v>
      </c>
      <c r="BB16" s="13">
        <f>Timing!BD54</f>
        <v>0</v>
      </c>
      <c r="BC16" s="13">
        <f>Timing!BE54</f>
        <v>0</v>
      </c>
      <c r="BD16" s="13">
        <f>Timing!BF54</f>
        <v>0</v>
      </c>
      <c r="BE16" s="13">
        <f>Timing!BG54</f>
        <v>0</v>
      </c>
      <c r="BF16" s="13">
        <f>Timing!BH54</f>
        <v>0</v>
      </c>
      <c r="BG16" s="13">
        <f>Timing!BI54</f>
        <v>0</v>
      </c>
      <c r="BH16" s="13">
        <f>Timing!BJ54</f>
        <v>0</v>
      </c>
      <c r="BI16" s="13">
        <f>Timing!BK54</f>
        <v>0</v>
      </c>
      <c r="BJ16" s="13">
        <f>Timing!BL54</f>
        <v>0</v>
      </c>
      <c r="BK16" s="13">
        <f>Timing!BM54</f>
        <v>0</v>
      </c>
      <c r="BL16" s="13">
        <f>Timing!BN54</f>
        <v>0</v>
      </c>
      <c r="BM16" s="13">
        <f>Timing!BO54</f>
        <v>0</v>
      </c>
      <c r="BN16" s="13">
        <f>Timing!BP54</f>
        <v>0</v>
      </c>
      <c r="BO16" s="13">
        <f>Timing!BQ54</f>
        <v>0</v>
      </c>
      <c r="BP16" s="13">
        <f>Timing!BR54</f>
        <v>0</v>
      </c>
      <c r="BQ16" s="13">
        <f>Timing!BS54</f>
        <v>0</v>
      </c>
      <c r="BR16" s="13">
        <f>Timing!BT54</f>
        <v>0</v>
      </c>
      <c r="BS16" s="13">
        <f>Timing!BU54</f>
        <v>0</v>
      </c>
      <c r="BT16" s="13">
        <f>Timing!BV54</f>
        <v>0</v>
      </c>
      <c r="BU16" s="13">
        <f>Timing!BW54</f>
        <v>0</v>
      </c>
      <c r="BV16" s="13">
        <f>Timing!BX54</f>
        <v>0</v>
      </c>
      <c r="BW16" s="13">
        <f>Timing!BY54</f>
        <v>0</v>
      </c>
      <c r="BX16" s="13">
        <f>Timing!BZ54</f>
        <v>0</v>
      </c>
      <c r="BY16" s="13">
        <f>Timing!CA54</f>
        <v>0</v>
      </c>
      <c r="BZ16" s="13">
        <f>Timing!CB54</f>
        <v>0</v>
      </c>
      <c r="CA16" s="13">
        <f>Timing!CC54</f>
        <v>0</v>
      </c>
      <c r="CB16" s="13">
        <f>Timing!CD54</f>
        <v>0</v>
      </c>
      <c r="CC16" s="13">
        <f>Timing!CE54</f>
        <v>0</v>
      </c>
      <c r="CD16" s="13">
        <f>Timing!CF54</f>
        <v>0</v>
      </c>
      <c r="CE16" s="13">
        <f>Timing!CG54</f>
        <v>0</v>
      </c>
      <c r="CF16" s="13">
        <f>Timing!CH54</f>
        <v>0</v>
      </c>
      <c r="CG16" s="13">
        <f>Timing!CI54</f>
        <v>0</v>
      </c>
      <c r="CH16" s="13">
        <f>Timing!CJ54</f>
        <v>0</v>
      </c>
      <c r="CI16" s="13">
        <f>Timing!CK54</f>
        <v>0</v>
      </c>
      <c r="CJ16" s="13">
        <f>Timing!CL54</f>
        <v>0</v>
      </c>
      <c r="CK16" s="13">
        <f>Timing!CM54</f>
        <v>0</v>
      </c>
      <c r="CL16" s="13">
        <f>Timing!CN54</f>
        <v>0</v>
      </c>
      <c r="CM16" s="13">
        <f>Timing!CO54</f>
        <v>0</v>
      </c>
      <c r="CN16" s="13">
        <f>Timing!CP54</f>
        <v>0</v>
      </c>
      <c r="CO16" s="13">
        <f>Timing!CQ54</f>
        <v>0</v>
      </c>
      <c r="CP16" s="13">
        <f>Timing!CR54</f>
        <v>0</v>
      </c>
      <c r="CQ16" s="13">
        <f>Timing!CS54</f>
        <v>0</v>
      </c>
      <c r="CR16" s="13">
        <f>Timing!CT54</f>
        <v>0</v>
      </c>
      <c r="CS16" s="13">
        <f>Timing!CU54</f>
        <v>0</v>
      </c>
      <c r="CT16" s="13">
        <f>Timing!CV54</f>
        <v>0</v>
      </c>
    </row>
    <row r="17" spans="2:98" ht="12.75" customHeight="1" x14ac:dyDescent="0.25">
      <c r="H17" s="9"/>
      <c r="I17" s="17"/>
      <c r="J17" s="18"/>
      <c r="K17" s="16"/>
      <c r="N17" s="19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</row>
    <row r="18" spans="2:98" ht="12.75" customHeight="1" x14ac:dyDescent="0.25">
      <c r="C18" s="184" t="s">
        <v>16</v>
      </c>
      <c r="H18" s="9" t="s">
        <v>17</v>
      </c>
      <c r="P18" s="20">
        <f t="shared" ref="P18:CA18" si="1">DATE(P5,12,31)</f>
        <v>44561</v>
      </c>
      <c r="Q18" s="20">
        <f t="shared" si="1"/>
        <v>44926</v>
      </c>
      <c r="R18" s="20">
        <f t="shared" si="1"/>
        <v>45291</v>
      </c>
      <c r="S18" s="20">
        <f t="shared" si="1"/>
        <v>45657</v>
      </c>
      <c r="T18" s="20">
        <f t="shared" si="1"/>
        <v>46022</v>
      </c>
      <c r="U18" s="20">
        <f t="shared" si="1"/>
        <v>46387</v>
      </c>
      <c r="V18" s="20">
        <f t="shared" si="1"/>
        <v>46752</v>
      </c>
      <c r="W18" s="20">
        <f t="shared" si="1"/>
        <v>47118</v>
      </c>
      <c r="X18" s="20">
        <f t="shared" si="1"/>
        <v>47483</v>
      </c>
      <c r="Y18" s="20">
        <f t="shared" si="1"/>
        <v>47848</v>
      </c>
      <c r="Z18" s="20">
        <f t="shared" si="1"/>
        <v>48213</v>
      </c>
      <c r="AA18" s="20">
        <f t="shared" si="1"/>
        <v>48579</v>
      </c>
      <c r="AB18" s="20">
        <f t="shared" si="1"/>
        <v>48944</v>
      </c>
      <c r="AC18" s="20">
        <f t="shared" si="1"/>
        <v>49309</v>
      </c>
      <c r="AD18" s="20">
        <f t="shared" si="1"/>
        <v>49674</v>
      </c>
      <c r="AE18" s="20">
        <f t="shared" si="1"/>
        <v>50040</v>
      </c>
      <c r="AF18" s="20">
        <f t="shared" si="1"/>
        <v>50405</v>
      </c>
      <c r="AG18" s="20">
        <f t="shared" si="1"/>
        <v>50770</v>
      </c>
      <c r="AH18" s="20">
        <f t="shared" si="1"/>
        <v>51135</v>
      </c>
      <c r="AI18" s="20">
        <f t="shared" si="1"/>
        <v>51501</v>
      </c>
      <c r="AJ18" s="20">
        <f t="shared" si="1"/>
        <v>51866</v>
      </c>
      <c r="AK18" s="20">
        <f t="shared" si="1"/>
        <v>52231</v>
      </c>
      <c r="AL18" s="20">
        <f t="shared" si="1"/>
        <v>52596</v>
      </c>
      <c r="AM18" s="20">
        <f t="shared" si="1"/>
        <v>52962</v>
      </c>
      <c r="AN18" s="20">
        <f t="shared" si="1"/>
        <v>53327</v>
      </c>
      <c r="AO18" s="20">
        <f t="shared" si="1"/>
        <v>53692</v>
      </c>
      <c r="AP18" s="20">
        <f t="shared" si="1"/>
        <v>54057</v>
      </c>
      <c r="AQ18" s="20">
        <f t="shared" si="1"/>
        <v>54423</v>
      </c>
      <c r="AR18" s="20">
        <f t="shared" si="1"/>
        <v>54788</v>
      </c>
      <c r="AS18" s="20">
        <f t="shared" si="1"/>
        <v>55153</v>
      </c>
      <c r="AT18" s="20">
        <f t="shared" si="1"/>
        <v>55518</v>
      </c>
      <c r="AU18" s="20">
        <f t="shared" si="1"/>
        <v>55884</v>
      </c>
      <c r="AV18" s="20">
        <f t="shared" si="1"/>
        <v>56249</v>
      </c>
      <c r="AW18" s="20">
        <f t="shared" si="1"/>
        <v>56614</v>
      </c>
      <c r="AX18" s="20">
        <f t="shared" si="1"/>
        <v>56979</v>
      </c>
      <c r="AY18" s="20">
        <f t="shared" si="1"/>
        <v>57345</v>
      </c>
      <c r="AZ18" s="20">
        <f t="shared" si="1"/>
        <v>57710</v>
      </c>
      <c r="BA18" s="20">
        <f t="shared" si="1"/>
        <v>58075</v>
      </c>
      <c r="BB18" s="20">
        <f t="shared" si="1"/>
        <v>58440</v>
      </c>
      <c r="BC18" s="20">
        <f t="shared" si="1"/>
        <v>58806</v>
      </c>
      <c r="BD18" s="20">
        <f t="shared" si="1"/>
        <v>59171</v>
      </c>
      <c r="BE18" s="20">
        <f t="shared" si="1"/>
        <v>59536</v>
      </c>
      <c r="BF18" s="20">
        <f t="shared" si="1"/>
        <v>59901</v>
      </c>
      <c r="BG18" s="20">
        <f t="shared" si="1"/>
        <v>60267</v>
      </c>
      <c r="BH18" s="20">
        <f t="shared" si="1"/>
        <v>60632</v>
      </c>
      <c r="BI18" s="20">
        <f t="shared" si="1"/>
        <v>60997</v>
      </c>
      <c r="BJ18" s="20">
        <f t="shared" si="1"/>
        <v>61362</v>
      </c>
      <c r="BK18" s="20">
        <f t="shared" si="1"/>
        <v>61728</v>
      </c>
      <c r="BL18" s="20">
        <f t="shared" si="1"/>
        <v>62093</v>
      </c>
      <c r="BM18" s="20">
        <f t="shared" si="1"/>
        <v>62458</v>
      </c>
      <c r="BN18" s="20">
        <f t="shared" si="1"/>
        <v>62823</v>
      </c>
      <c r="BO18" s="20">
        <f t="shared" si="1"/>
        <v>63189</v>
      </c>
      <c r="BP18" s="20">
        <f t="shared" si="1"/>
        <v>63554</v>
      </c>
      <c r="BQ18" s="20">
        <f t="shared" si="1"/>
        <v>63919</v>
      </c>
      <c r="BR18" s="20">
        <f t="shared" si="1"/>
        <v>64284</v>
      </c>
      <c r="BS18" s="20">
        <f t="shared" si="1"/>
        <v>64650</v>
      </c>
      <c r="BT18" s="20">
        <f t="shared" si="1"/>
        <v>65015</v>
      </c>
      <c r="BU18" s="20">
        <f t="shared" si="1"/>
        <v>65380</v>
      </c>
      <c r="BV18" s="20">
        <f t="shared" si="1"/>
        <v>65745</v>
      </c>
      <c r="BW18" s="20">
        <f t="shared" si="1"/>
        <v>66111</v>
      </c>
      <c r="BX18" s="20">
        <f t="shared" si="1"/>
        <v>66476</v>
      </c>
      <c r="BY18" s="20">
        <f t="shared" si="1"/>
        <v>66841</v>
      </c>
      <c r="BZ18" s="20">
        <f t="shared" si="1"/>
        <v>67206</v>
      </c>
      <c r="CA18" s="20">
        <f t="shared" si="1"/>
        <v>67572</v>
      </c>
      <c r="CB18" s="20">
        <f t="shared" ref="CB18:CT18" si="2">DATE(CB5,12,31)</f>
        <v>67937</v>
      </c>
      <c r="CC18" s="20">
        <f t="shared" si="2"/>
        <v>68302</v>
      </c>
      <c r="CD18" s="20">
        <f t="shared" si="2"/>
        <v>68667</v>
      </c>
      <c r="CE18" s="20">
        <f t="shared" si="2"/>
        <v>69033</v>
      </c>
      <c r="CF18" s="20">
        <f t="shared" si="2"/>
        <v>69398</v>
      </c>
      <c r="CG18" s="20">
        <f t="shared" si="2"/>
        <v>69763</v>
      </c>
      <c r="CH18" s="20">
        <f t="shared" si="2"/>
        <v>70128</v>
      </c>
      <c r="CI18" s="20">
        <f t="shared" si="2"/>
        <v>70494</v>
      </c>
      <c r="CJ18" s="20">
        <f t="shared" si="2"/>
        <v>70859</v>
      </c>
      <c r="CK18" s="20">
        <f t="shared" si="2"/>
        <v>71224</v>
      </c>
      <c r="CL18" s="20">
        <f t="shared" si="2"/>
        <v>71589</v>
      </c>
      <c r="CM18" s="20">
        <f t="shared" si="2"/>
        <v>71955</v>
      </c>
      <c r="CN18" s="20">
        <f t="shared" si="2"/>
        <v>72320</v>
      </c>
      <c r="CO18" s="20">
        <f t="shared" si="2"/>
        <v>72685</v>
      </c>
      <c r="CP18" s="20">
        <f t="shared" si="2"/>
        <v>73050</v>
      </c>
      <c r="CQ18" s="20">
        <f t="shared" si="2"/>
        <v>73415</v>
      </c>
      <c r="CR18" s="20">
        <f t="shared" si="2"/>
        <v>73780</v>
      </c>
      <c r="CS18" s="20">
        <f t="shared" si="2"/>
        <v>74145</v>
      </c>
      <c r="CT18" s="20">
        <f t="shared" si="2"/>
        <v>74510</v>
      </c>
    </row>
    <row r="19" spans="2:98" ht="12.75" customHeight="1" x14ac:dyDescent="0.25">
      <c r="H19" s="9"/>
      <c r="I19" s="17"/>
      <c r="J19" s="18"/>
      <c r="K19" s="16"/>
      <c r="N19" s="19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</row>
    <row r="20" spans="2:98" ht="12.75" customHeight="1" x14ac:dyDescent="0.25">
      <c r="B20" s="21" t="s">
        <v>18</v>
      </c>
      <c r="H20" s="9"/>
      <c r="I20" s="17"/>
      <c r="J20" s="22"/>
      <c r="K20" s="16"/>
      <c r="N20" s="19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</row>
    <row r="21" spans="2:98" ht="12.75" customHeight="1" x14ac:dyDescent="0.25">
      <c r="H21" s="9"/>
      <c r="I21" s="17"/>
      <c r="J21" s="18"/>
      <c r="K21" s="16"/>
      <c r="N21" s="19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</row>
    <row r="22" spans="2:98" ht="12.75" customHeight="1" x14ac:dyDescent="0.25">
      <c r="C22" s="139" t="s">
        <v>19</v>
      </c>
      <c r="H22" s="9"/>
      <c r="I22" s="17"/>
      <c r="J22" s="18"/>
      <c r="K22" s="16"/>
      <c r="N22" s="19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</row>
    <row r="23" spans="2:98" ht="12.75" customHeight="1" x14ac:dyDescent="0.25">
      <c r="C23" s="184" t="s">
        <v>20</v>
      </c>
      <c r="H23" s="9" t="s">
        <v>3</v>
      </c>
      <c r="I23" s="17"/>
      <c r="J23" s="85" t="e">
        <f>N23</f>
        <v>#REF!</v>
      </c>
      <c r="K23" s="16"/>
      <c r="N23" s="25" t="e">
        <f>SUM(P23:CT23)</f>
        <v>#REF!</v>
      </c>
      <c r="O23" s="13"/>
      <c r="P23" s="26" t="e">
        <f t="shared" ref="P23:CA23" si="3">P14*P40</f>
        <v>#REF!</v>
      </c>
      <c r="Q23" s="26" t="e">
        <f t="shared" si="3"/>
        <v>#REF!</v>
      </c>
      <c r="R23" s="26" t="e">
        <f t="shared" si="3"/>
        <v>#REF!</v>
      </c>
      <c r="S23" s="26" t="e">
        <f t="shared" si="3"/>
        <v>#REF!</v>
      </c>
      <c r="T23" s="26" t="e">
        <f t="shared" si="3"/>
        <v>#REF!</v>
      </c>
      <c r="U23" s="26" t="e">
        <f t="shared" si="3"/>
        <v>#REF!</v>
      </c>
      <c r="V23" s="26" t="e">
        <f t="shared" si="3"/>
        <v>#REF!</v>
      </c>
      <c r="W23" s="26" t="e">
        <f t="shared" si="3"/>
        <v>#REF!</v>
      </c>
      <c r="X23" s="26" t="e">
        <f t="shared" si="3"/>
        <v>#REF!</v>
      </c>
      <c r="Y23" s="26" t="e">
        <f t="shared" si="3"/>
        <v>#REF!</v>
      </c>
      <c r="Z23" s="26" t="e">
        <f t="shared" si="3"/>
        <v>#REF!</v>
      </c>
      <c r="AA23" s="26" t="e">
        <f t="shared" si="3"/>
        <v>#REF!</v>
      </c>
      <c r="AB23" s="26" t="e">
        <f t="shared" si="3"/>
        <v>#REF!</v>
      </c>
      <c r="AC23" s="26" t="e">
        <f t="shared" si="3"/>
        <v>#REF!</v>
      </c>
      <c r="AD23" s="26" t="e">
        <f t="shared" si="3"/>
        <v>#REF!</v>
      </c>
      <c r="AE23" s="26" t="e">
        <f t="shared" si="3"/>
        <v>#REF!</v>
      </c>
      <c r="AF23" s="26" t="e">
        <f t="shared" si="3"/>
        <v>#REF!</v>
      </c>
      <c r="AG23" s="26" t="e">
        <f t="shared" si="3"/>
        <v>#REF!</v>
      </c>
      <c r="AH23" s="26" t="e">
        <f t="shared" si="3"/>
        <v>#REF!</v>
      </c>
      <c r="AI23" s="26" t="e">
        <f t="shared" si="3"/>
        <v>#REF!</v>
      </c>
      <c r="AJ23" s="26" t="e">
        <f t="shared" si="3"/>
        <v>#REF!</v>
      </c>
      <c r="AK23" s="26" t="e">
        <f t="shared" si="3"/>
        <v>#REF!</v>
      </c>
      <c r="AL23" s="26" t="e">
        <f t="shared" si="3"/>
        <v>#REF!</v>
      </c>
      <c r="AM23" s="26" t="e">
        <f t="shared" si="3"/>
        <v>#REF!</v>
      </c>
      <c r="AN23" s="26" t="e">
        <f t="shared" si="3"/>
        <v>#REF!</v>
      </c>
      <c r="AO23" s="26" t="e">
        <f t="shared" si="3"/>
        <v>#REF!</v>
      </c>
      <c r="AP23" s="26" t="e">
        <f t="shared" si="3"/>
        <v>#REF!</v>
      </c>
      <c r="AQ23" s="26" t="e">
        <f t="shared" si="3"/>
        <v>#REF!</v>
      </c>
      <c r="AR23" s="26" t="e">
        <f t="shared" si="3"/>
        <v>#REF!</v>
      </c>
      <c r="AS23" s="26" t="e">
        <f t="shared" si="3"/>
        <v>#REF!</v>
      </c>
      <c r="AT23" s="26" t="e">
        <f t="shared" si="3"/>
        <v>#REF!</v>
      </c>
      <c r="AU23" s="26" t="e">
        <f t="shared" si="3"/>
        <v>#REF!</v>
      </c>
      <c r="AV23" s="26" t="e">
        <f t="shared" si="3"/>
        <v>#REF!</v>
      </c>
      <c r="AW23" s="26" t="e">
        <f t="shared" si="3"/>
        <v>#REF!</v>
      </c>
      <c r="AX23" s="26" t="e">
        <f t="shared" si="3"/>
        <v>#REF!</v>
      </c>
      <c r="AY23" s="26" t="e">
        <f t="shared" si="3"/>
        <v>#REF!</v>
      </c>
      <c r="AZ23" s="26" t="e">
        <f t="shared" si="3"/>
        <v>#REF!</v>
      </c>
      <c r="BA23" s="26" t="e">
        <f t="shared" si="3"/>
        <v>#REF!</v>
      </c>
      <c r="BB23" s="26" t="e">
        <f t="shared" si="3"/>
        <v>#REF!</v>
      </c>
      <c r="BC23" s="26" t="e">
        <f t="shared" si="3"/>
        <v>#REF!</v>
      </c>
      <c r="BD23" s="26" t="e">
        <f t="shared" si="3"/>
        <v>#REF!</v>
      </c>
      <c r="BE23" s="26" t="e">
        <f t="shared" si="3"/>
        <v>#REF!</v>
      </c>
      <c r="BF23" s="26" t="e">
        <f t="shared" si="3"/>
        <v>#REF!</v>
      </c>
      <c r="BG23" s="26" t="e">
        <f t="shared" si="3"/>
        <v>#REF!</v>
      </c>
      <c r="BH23" s="26" t="e">
        <f t="shared" si="3"/>
        <v>#REF!</v>
      </c>
      <c r="BI23" s="26" t="e">
        <f t="shared" si="3"/>
        <v>#REF!</v>
      </c>
      <c r="BJ23" s="26" t="e">
        <f t="shared" si="3"/>
        <v>#REF!</v>
      </c>
      <c r="BK23" s="26" t="e">
        <f t="shared" si="3"/>
        <v>#REF!</v>
      </c>
      <c r="BL23" s="26" t="e">
        <f t="shared" si="3"/>
        <v>#REF!</v>
      </c>
      <c r="BM23" s="26" t="e">
        <f t="shared" si="3"/>
        <v>#REF!</v>
      </c>
      <c r="BN23" s="26" t="e">
        <f t="shared" si="3"/>
        <v>#REF!</v>
      </c>
      <c r="BO23" s="26" t="e">
        <f t="shared" si="3"/>
        <v>#REF!</v>
      </c>
      <c r="BP23" s="26" t="e">
        <f t="shared" si="3"/>
        <v>#REF!</v>
      </c>
      <c r="BQ23" s="26" t="e">
        <f t="shared" si="3"/>
        <v>#REF!</v>
      </c>
      <c r="BR23" s="26" t="e">
        <f t="shared" si="3"/>
        <v>#REF!</v>
      </c>
      <c r="BS23" s="26" t="e">
        <f t="shared" si="3"/>
        <v>#REF!</v>
      </c>
      <c r="BT23" s="26" t="e">
        <f t="shared" si="3"/>
        <v>#REF!</v>
      </c>
      <c r="BU23" s="26" t="e">
        <f t="shared" si="3"/>
        <v>#REF!</v>
      </c>
      <c r="BV23" s="26" t="e">
        <f t="shared" si="3"/>
        <v>#REF!</v>
      </c>
      <c r="BW23" s="26" t="e">
        <f t="shared" si="3"/>
        <v>#REF!</v>
      </c>
      <c r="BX23" s="26" t="e">
        <f t="shared" si="3"/>
        <v>#REF!</v>
      </c>
      <c r="BY23" s="26" t="e">
        <f t="shared" si="3"/>
        <v>#REF!</v>
      </c>
      <c r="BZ23" s="26" t="e">
        <f t="shared" si="3"/>
        <v>#REF!</v>
      </c>
      <c r="CA23" s="26" t="e">
        <f t="shared" si="3"/>
        <v>#REF!</v>
      </c>
      <c r="CB23" s="26" t="e">
        <f t="shared" ref="CB23:CT23" si="4">CB14*CB40</f>
        <v>#REF!</v>
      </c>
      <c r="CC23" s="26" t="e">
        <f t="shared" si="4"/>
        <v>#REF!</v>
      </c>
      <c r="CD23" s="26" t="e">
        <f t="shared" si="4"/>
        <v>#REF!</v>
      </c>
      <c r="CE23" s="26" t="e">
        <f t="shared" si="4"/>
        <v>#REF!</v>
      </c>
      <c r="CF23" s="26" t="e">
        <f t="shared" si="4"/>
        <v>#REF!</v>
      </c>
      <c r="CG23" s="26" t="e">
        <f t="shared" si="4"/>
        <v>#REF!</v>
      </c>
      <c r="CH23" s="26" t="e">
        <f t="shared" si="4"/>
        <v>#REF!</v>
      </c>
      <c r="CI23" s="26" t="e">
        <f t="shared" si="4"/>
        <v>#REF!</v>
      </c>
      <c r="CJ23" s="26" t="e">
        <f t="shared" si="4"/>
        <v>#REF!</v>
      </c>
      <c r="CK23" s="26" t="e">
        <f t="shared" si="4"/>
        <v>#REF!</v>
      </c>
      <c r="CL23" s="26" t="e">
        <f t="shared" si="4"/>
        <v>#REF!</v>
      </c>
      <c r="CM23" s="26" t="e">
        <f t="shared" si="4"/>
        <v>#REF!</v>
      </c>
      <c r="CN23" s="26" t="e">
        <f t="shared" si="4"/>
        <v>#REF!</v>
      </c>
      <c r="CO23" s="26" t="e">
        <f t="shared" si="4"/>
        <v>#REF!</v>
      </c>
      <c r="CP23" s="26" t="e">
        <f t="shared" si="4"/>
        <v>#REF!</v>
      </c>
      <c r="CQ23" s="26" t="e">
        <f t="shared" si="4"/>
        <v>#REF!</v>
      </c>
      <c r="CR23" s="26">
        <f t="shared" si="4"/>
        <v>0</v>
      </c>
      <c r="CS23" s="26">
        <f t="shared" si="4"/>
        <v>0</v>
      </c>
      <c r="CT23" s="26">
        <f t="shared" si="4"/>
        <v>0</v>
      </c>
    </row>
    <row r="24" spans="2:98" ht="12.75" customHeight="1" x14ac:dyDescent="0.25">
      <c r="C24" s="202" t="s">
        <v>21</v>
      </c>
      <c r="D24" s="27"/>
      <c r="E24" s="27"/>
      <c r="F24" s="27"/>
      <c r="G24" s="27"/>
      <c r="H24" s="28" t="s">
        <v>3</v>
      </c>
      <c r="I24" s="29"/>
      <c r="J24" s="30">
        <v>40</v>
      </c>
      <c r="K24" s="31"/>
      <c r="L24" s="27"/>
      <c r="M24" s="27"/>
      <c r="N24" s="32">
        <f>SUM(P24:CT24)</f>
        <v>40</v>
      </c>
      <c r="O24" s="33"/>
      <c r="P24" s="34">
        <f>$J24*P$14</f>
        <v>0</v>
      </c>
      <c r="Q24" s="34">
        <f t="shared" ref="Q24:CB24" si="5">$J24*Q$14</f>
        <v>0</v>
      </c>
      <c r="R24" s="34">
        <f t="shared" si="5"/>
        <v>0</v>
      </c>
      <c r="S24" s="34">
        <f t="shared" si="5"/>
        <v>0</v>
      </c>
      <c r="T24" s="34">
        <f t="shared" si="5"/>
        <v>0</v>
      </c>
      <c r="U24" s="34">
        <f t="shared" si="5"/>
        <v>40</v>
      </c>
      <c r="V24" s="34">
        <f t="shared" si="5"/>
        <v>0</v>
      </c>
      <c r="W24" s="34">
        <f t="shared" si="5"/>
        <v>0</v>
      </c>
      <c r="X24" s="34">
        <f t="shared" si="5"/>
        <v>0</v>
      </c>
      <c r="Y24" s="34">
        <f t="shared" si="5"/>
        <v>0</v>
      </c>
      <c r="Z24" s="34">
        <f t="shared" si="5"/>
        <v>0</v>
      </c>
      <c r="AA24" s="34">
        <f t="shared" si="5"/>
        <v>0</v>
      </c>
      <c r="AB24" s="34">
        <f t="shared" si="5"/>
        <v>0</v>
      </c>
      <c r="AC24" s="34">
        <f t="shared" si="5"/>
        <v>0</v>
      </c>
      <c r="AD24" s="34">
        <f t="shared" si="5"/>
        <v>0</v>
      </c>
      <c r="AE24" s="34">
        <f t="shared" si="5"/>
        <v>0</v>
      </c>
      <c r="AF24" s="34">
        <f t="shared" si="5"/>
        <v>0</v>
      </c>
      <c r="AG24" s="34">
        <f t="shared" si="5"/>
        <v>0</v>
      </c>
      <c r="AH24" s="34">
        <f t="shared" si="5"/>
        <v>0</v>
      </c>
      <c r="AI24" s="34">
        <f t="shared" si="5"/>
        <v>0</v>
      </c>
      <c r="AJ24" s="34">
        <f t="shared" si="5"/>
        <v>0</v>
      </c>
      <c r="AK24" s="34">
        <f t="shared" si="5"/>
        <v>0</v>
      </c>
      <c r="AL24" s="34">
        <f t="shared" si="5"/>
        <v>0</v>
      </c>
      <c r="AM24" s="34">
        <f t="shared" si="5"/>
        <v>0</v>
      </c>
      <c r="AN24" s="34">
        <f t="shared" si="5"/>
        <v>0</v>
      </c>
      <c r="AO24" s="34">
        <f t="shared" si="5"/>
        <v>0</v>
      </c>
      <c r="AP24" s="34">
        <f t="shared" si="5"/>
        <v>0</v>
      </c>
      <c r="AQ24" s="34">
        <f t="shared" si="5"/>
        <v>0</v>
      </c>
      <c r="AR24" s="34">
        <f t="shared" si="5"/>
        <v>0</v>
      </c>
      <c r="AS24" s="34">
        <f t="shared" si="5"/>
        <v>0</v>
      </c>
      <c r="AT24" s="34">
        <f t="shared" si="5"/>
        <v>0</v>
      </c>
      <c r="AU24" s="34">
        <f t="shared" si="5"/>
        <v>0</v>
      </c>
      <c r="AV24" s="34">
        <f t="shared" si="5"/>
        <v>0</v>
      </c>
      <c r="AW24" s="34">
        <f t="shared" si="5"/>
        <v>0</v>
      </c>
      <c r="AX24" s="34">
        <f t="shared" si="5"/>
        <v>0</v>
      </c>
      <c r="AY24" s="34">
        <f t="shared" si="5"/>
        <v>0</v>
      </c>
      <c r="AZ24" s="34">
        <f t="shared" si="5"/>
        <v>0</v>
      </c>
      <c r="BA24" s="34">
        <f t="shared" si="5"/>
        <v>0</v>
      </c>
      <c r="BB24" s="34">
        <f t="shared" si="5"/>
        <v>0</v>
      </c>
      <c r="BC24" s="34">
        <f t="shared" si="5"/>
        <v>0</v>
      </c>
      <c r="BD24" s="34">
        <f t="shared" si="5"/>
        <v>0</v>
      </c>
      <c r="BE24" s="34">
        <f t="shared" si="5"/>
        <v>0</v>
      </c>
      <c r="BF24" s="34">
        <f t="shared" si="5"/>
        <v>0</v>
      </c>
      <c r="BG24" s="34">
        <f t="shared" si="5"/>
        <v>0</v>
      </c>
      <c r="BH24" s="34">
        <f t="shared" si="5"/>
        <v>0</v>
      </c>
      <c r="BI24" s="34">
        <f t="shared" si="5"/>
        <v>0</v>
      </c>
      <c r="BJ24" s="34">
        <f t="shared" si="5"/>
        <v>0</v>
      </c>
      <c r="BK24" s="34">
        <f t="shared" si="5"/>
        <v>0</v>
      </c>
      <c r="BL24" s="34">
        <f t="shared" si="5"/>
        <v>0</v>
      </c>
      <c r="BM24" s="34">
        <f t="shared" si="5"/>
        <v>0</v>
      </c>
      <c r="BN24" s="34">
        <f t="shared" si="5"/>
        <v>0</v>
      </c>
      <c r="BO24" s="34">
        <f t="shared" si="5"/>
        <v>0</v>
      </c>
      <c r="BP24" s="34">
        <f t="shared" si="5"/>
        <v>0</v>
      </c>
      <c r="BQ24" s="34">
        <f t="shared" si="5"/>
        <v>0</v>
      </c>
      <c r="BR24" s="34">
        <f t="shared" si="5"/>
        <v>0</v>
      </c>
      <c r="BS24" s="34">
        <f t="shared" si="5"/>
        <v>0</v>
      </c>
      <c r="BT24" s="34">
        <f t="shared" si="5"/>
        <v>0</v>
      </c>
      <c r="BU24" s="34">
        <f t="shared" si="5"/>
        <v>0</v>
      </c>
      <c r="BV24" s="34">
        <f t="shared" si="5"/>
        <v>0</v>
      </c>
      <c r="BW24" s="34">
        <f t="shared" si="5"/>
        <v>0</v>
      </c>
      <c r="BX24" s="34">
        <f t="shared" si="5"/>
        <v>0</v>
      </c>
      <c r="BY24" s="34">
        <f t="shared" si="5"/>
        <v>0</v>
      </c>
      <c r="BZ24" s="34">
        <f t="shared" si="5"/>
        <v>0</v>
      </c>
      <c r="CA24" s="34">
        <f t="shared" si="5"/>
        <v>0</v>
      </c>
      <c r="CB24" s="34">
        <f t="shared" si="5"/>
        <v>0</v>
      </c>
      <c r="CC24" s="34">
        <f t="shared" ref="CC24:CT24" si="6">$J24*CC$14</f>
        <v>0</v>
      </c>
      <c r="CD24" s="34">
        <f t="shared" si="6"/>
        <v>0</v>
      </c>
      <c r="CE24" s="34">
        <f t="shared" si="6"/>
        <v>0</v>
      </c>
      <c r="CF24" s="34">
        <f t="shared" si="6"/>
        <v>0</v>
      </c>
      <c r="CG24" s="34">
        <f t="shared" si="6"/>
        <v>0</v>
      </c>
      <c r="CH24" s="34">
        <f t="shared" si="6"/>
        <v>0</v>
      </c>
      <c r="CI24" s="34">
        <f t="shared" si="6"/>
        <v>0</v>
      </c>
      <c r="CJ24" s="34">
        <f t="shared" si="6"/>
        <v>0</v>
      </c>
      <c r="CK24" s="34">
        <f t="shared" si="6"/>
        <v>0</v>
      </c>
      <c r="CL24" s="34">
        <f t="shared" si="6"/>
        <v>0</v>
      </c>
      <c r="CM24" s="34">
        <f t="shared" si="6"/>
        <v>0</v>
      </c>
      <c r="CN24" s="34">
        <f t="shared" si="6"/>
        <v>0</v>
      </c>
      <c r="CO24" s="34">
        <f t="shared" si="6"/>
        <v>0</v>
      </c>
      <c r="CP24" s="34">
        <f t="shared" si="6"/>
        <v>0</v>
      </c>
      <c r="CQ24" s="34">
        <f t="shared" si="6"/>
        <v>0</v>
      </c>
      <c r="CR24" s="34">
        <f t="shared" si="6"/>
        <v>0</v>
      </c>
      <c r="CS24" s="34">
        <f t="shared" si="6"/>
        <v>0</v>
      </c>
      <c r="CT24" s="34">
        <f t="shared" si="6"/>
        <v>0</v>
      </c>
    </row>
    <row r="25" spans="2:98" ht="12.75" customHeight="1" x14ac:dyDescent="0.25">
      <c r="H25" s="9" t="s">
        <v>3</v>
      </c>
      <c r="I25" s="17"/>
      <c r="J25" s="85" t="e">
        <f>SUM(J23:J24)</f>
        <v>#REF!</v>
      </c>
      <c r="K25" s="16"/>
      <c r="N25" s="35" t="e">
        <f>SUM(P25:CT25)</f>
        <v>#REF!</v>
      </c>
      <c r="O25" s="36"/>
      <c r="P25" s="37" t="e">
        <f>SUM(P23:P24)</f>
        <v>#REF!</v>
      </c>
      <c r="Q25" s="37" t="e">
        <f t="shared" ref="Q25:CB25" si="7">SUM(Q23:Q24)</f>
        <v>#REF!</v>
      </c>
      <c r="R25" s="37" t="e">
        <f t="shared" si="7"/>
        <v>#REF!</v>
      </c>
      <c r="S25" s="37" t="e">
        <f t="shared" si="7"/>
        <v>#REF!</v>
      </c>
      <c r="T25" s="37" t="e">
        <f t="shared" si="7"/>
        <v>#REF!</v>
      </c>
      <c r="U25" s="37" t="e">
        <f t="shared" si="7"/>
        <v>#REF!</v>
      </c>
      <c r="V25" s="37" t="e">
        <f t="shared" si="7"/>
        <v>#REF!</v>
      </c>
      <c r="W25" s="37" t="e">
        <f t="shared" si="7"/>
        <v>#REF!</v>
      </c>
      <c r="X25" s="37" t="e">
        <f t="shared" si="7"/>
        <v>#REF!</v>
      </c>
      <c r="Y25" s="37" t="e">
        <f t="shared" si="7"/>
        <v>#REF!</v>
      </c>
      <c r="Z25" s="37" t="e">
        <f t="shared" si="7"/>
        <v>#REF!</v>
      </c>
      <c r="AA25" s="37" t="e">
        <f t="shared" si="7"/>
        <v>#REF!</v>
      </c>
      <c r="AB25" s="37" t="e">
        <f t="shared" si="7"/>
        <v>#REF!</v>
      </c>
      <c r="AC25" s="37" t="e">
        <f t="shared" si="7"/>
        <v>#REF!</v>
      </c>
      <c r="AD25" s="37" t="e">
        <f t="shared" si="7"/>
        <v>#REF!</v>
      </c>
      <c r="AE25" s="37" t="e">
        <f t="shared" si="7"/>
        <v>#REF!</v>
      </c>
      <c r="AF25" s="37" t="e">
        <f t="shared" si="7"/>
        <v>#REF!</v>
      </c>
      <c r="AG25" s="37" t="e">
        <f t="shared" si="7"/>
        <v>#REF!</v>
      </c>
      <c r="AH25" s="37" t="e">
        <f t="shared" si="7"/>
        <v>#REF!</v>
      </c>
      <c r="AI25" s="37" t="e">
        <f t="shared" si="7"/>
        <v>#REF!</v>
      </c>
      <c r="AJ25" s="37" t="e">
        <f t="shared" si="7"/>
        <v>#REF!</v>
      </c>
      <c r="AK25" s="37" t="e">
        <f t="shared" si="7"/>
        <v>#REF!</v>
      </c>
      <c r="AL25" s="37" t="e">
        <f t="shared" si="7"/>
        <v>#REF!</v>
      </c>
      <c r="AM25" s="37" t="e">
        <f t="shared" si="7"/>
        <v>#REF!</v>
      </c>
      <c r="AN25" s="37" t="e">
        <f t="shared" si="7"/>
        <v>#REF!</v>
      </c>
      <c r="AO25" s="37" t="e">
        <f t="shared" si="7"/>
        <v>#REF!</v>
      </c>
      <c r="AP25" s="37" t="e">
        <f t="shared" si="7"/>
        <v>#REF!</v>
      </c>
      <c r="AQ25" s="37" t="e">
        <f t="shared" si="7"/>
        <v>#REF!</v>
      </c>
      <c r="AR25" s="37" t="e">
        <f t="shared" si="7"/>
        <v>#REF!</v>
      </c>
      <c r="AS25" s="37" t="e">
        <f t="shared" si="7"/>
        <v>#REF!</v>
      </c>
      <c r="AT25" s="37" t="e">
        <f t="shared" si="7"/>
        <v>#REF!</v>
      </c>
      <c r="AU25" s="37" t="e">
        <f t="shared" si="7"/>
        <v>#REF!</v>
      </c>
      <c r="AV25" s="37" t="e">
        <f t="shared" si="7"/>
        <v>#REF!</v>
      </c>
      <c r="AW25" s="37" t="e">
        <f t="shared" si="7"/>
        <v>#REF!</v>
      </c>
      <c r="AX25" s="37" t="e">
        <f t="shared" si="7"/>
        <v>#REF!</v>
      </c>
      <c r="AY25" s="37" t="e">
        <f t="shared" si="7"/>
        <v>#REF!</v>
      </c>
      <c r="AZ25" s="37" t="e">
        <f t="shared" si="7"/>
        <v>#REF!</v>
      </c>
      <c r="BA25" s="37" t="e">
        <f t="shared" si="7"/>
        <v>#REF!</v>
      </c>
      <c r="BB25" s="37" t="e">
        <f t="shared" si="7"/>
        <v>#REF!</v>
      </c>
      <c r="BC25" s="37" t="e">
        <f t="shared" si="7"/>
        <v>#REF!</v>
      </c>
      <c r="BD25" s="37" t="e">
        <f t="shared" si="7"/>
        <v>#REF!</v>
      </c>
      <c r="BE25" s="37" t="e">
        <f t="shared" si="7"/>
        <v>#REF!</v>
      </c>
      <c r="BF25" s="37" t="e">
        <f t="shared" si="7"/>
        <v>#REF!</v>
      </c>
      <c r="BG25" s="37" t="e">
        <f t="shared" si="7"/>
        <v>#REF!</v>
      </c>
      <c r="BH25" s="37" t="e">
        <f t="shared" si="7"/>
        <v>#REF!</v>
      </c>
      <c r="BI25" s="37" t="e">
        <f t="shared" si="7"/>
        <v>#REF!</v>
      </c>
      <c r="BJ25" s="37" t="e">
        <f t="shared" si="7"/>
        <v>#REF!</v>
      </c>
      <c r="BK25" s="37" t="e">
        <f t="shared" si="7"/>
        <v>#REF!</v>
      </c>
      <c r="BL25" s="37" t="e">
        <f t="shared" si="7"/>
        <v>#REF!</v>
      </c>
      <c r="BM25" s="37" t="e">
        <f t="shared" si="7"/>
        <v>#REF!</v>
      </c>
      <c r="BN25" s="37" t="e">
        <f t="shared" si="7"/>
        <v>#REF!</v>
      </c>
      <c r="BO25" s="37" t="e">
        <f t="shared" si="7"/>
        <v>#REF!</v>
      </c>
      <c r="BP25" s="37" t="e">
        <f t="shared" si="7"/>
        <v>#REF!</v>
      </c>
      <c r="BQ25" s="37" t="e">
        <f t="shared" si="7"/>
        <v>#REF!</v>
      </c>
      <c r="BR25" s="37" t="e">
        <f t="shared" si="7"/>
        <v>#REF!</v>
      </c>
      <c r="BS25" s="37" t="e">
        <f t="shared" si="7"/>
        <v>#REF!</v>
      </c>
      <c r="BT25" s="37" t="e">
        <f t="shared" si="7"/>
        <v>#REF!</v>
      </c>
      <c r="BU25" s="37" t="e">
        <f t="shared" si="7"/>
        <v>#REF!</v>
      </c>
      <c r="BV25" s="37" t="e">
        <f t="shared" si="7"/>
        <v>#REF!</v>
      </c>
      <c r="BW25" s="37" t="e">
        <f t="shared" si="7"/>
        <v>#REF!</v>
      </c>
      <c r="BX25" s="37" t="e">
        <f t="shared" si="7"/>
        <v>#REF!</v>
      </c>
      <c r="BY25" s="37" t="e">
        <f t="shared" si="7"/>
        <v>#REF!</v>
      </c>
      <c r="BZ25" s="37" t="e">
        <f t="shared" si="7"/>
        <v>#REF!</v>
      </c>
      <c r="CA25" s="37" t="e">
        <f t="shared" si="7"/>
        <v>#REF!</v>
      </c>
      <c r="CB25" s="37" t="e">
        <f t="shared" si="7"/>
        <v>#REF!</v>
      </c>
      <c r="CC25" s="37" t="e">
        <f t="shared" ref="CC25:CT25" si="8">SUM(CC23:CC24)</f>
        <v>#REF!</v>
      </c>
      <c r="CD25" s="37" t="e">
        <f t="shared" si="8"/>
        <v>#REF!</v>
      </c>
      <c r="CE25" s="37" t="e">
        <f t="shared" si="8"/>
        <v>#REF!</v>
      </c>
      <c r="CF25" s="37" t="e">
        <f t="shared" si="8"/>
        <v>#REF!</v>
      </c>
      <c r="CG25" s="37" t="e">
        <f t="shared" si="8"/>
        <v>#REF!</v>
      </c>
      <c r="CH25" s="37" t="e">
        <f t="shared" si="8"/>
        <v>#REF!</v>
      </c>
      <c r="CI25" s="37" t="e">
        <f t="shared" si="8"/>
        <v>#REF!</v>
      </c>
      <c r="CJ25" s="37" t="e">
        <f t="shared" si="8"/>
        <v>#REF!</v>
      </c>
      <c r="CK25" s="37" t="e">
        <f t="shared" si="8"/>
        <v>#REF!</v>
      </c>
      <c r="CL25" s="37" t="e">
        <f t="shared" si="8"/>
        <v>#REF!</v>
      </c>
      <c r="CM25" s="37" t="e">
        <f t="shared" si="8"/>
        <v>#REF!</v>
      </c>
      <c r="CN25" s="37" t="e">
        <f t="shared" si="8"/>
        <v>#REF!</v>
      </c>
      <c r="CO25" s="37" t="e">
        <f t="shared" si="8"/>
        <v>#REF!</v>
      </c>
      <c r="CP25" s="37" t="e">
        <f t="shared" si="8"/>
        <v>#REF!</v>
      </c>
      <c r="CQ25" s="37" t="e">
        <f t="shared" si="8"/>
        <v>#REF!</v>
      </c>
      <c r="CR25" s="37">
        <f t="shared" si="8"/>
        <v>0</v>
      </c>
      <c r="CS25" s="37">
        <f t="shared" si="8"/>
        <v>0</v>
      </c>
      <c r="CT25" s="37">
        <f t="shared" si="8"/>
        <v>0</v>
      </c>
    </row>
    <row r="26" spans="2:98" ht="12.75" customHeight="1" x14ac:dyDescent="0.25">
      <c r="H26" s="9"/>
      <c r="I26" s="17"/>
      <c r="J26" s="18"/>
      <c r="K26" s="16"/>
      <c r="O26" s="36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</row>
    <row r="27" spans="2:98" ht="12.75" customHeight="1" x14ac:dyDescent="0.25">
      <c r="C27" s="139" t="s">
        <v>22</v>
      </c>
      <c r="H27" s="9"/>
      <c r="I27" s="17"/>
      <c r="J27" s="38" t="s">
        <v>2</v>
      </c>
      <c r="K27" s="16"/>
      <c r="N27" s="19"/>
      <c r="O27" s="13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</row>
    <row r="28" spans="2:98" ht="12.75" customHeight="1" x14ac:dyDescent="0.25">
      <c r="C28" s="202" t="s">
        <v>23</v>
      </c>
      <c r="D28" s="27"/>
      <c r="E28" s="27"/>
      <c r="F28" s="27"/>
      <c r="G28" s="27"/>
      <c r="H28" s="28" t="s">
        <v>3</v>
      </c>
      <c r="I28" s="29"/>
      <c r="J28" s="39" t="e">
        <f>SUMPRODUCT(P28:CT28,P14:CT14)</f>
        <v>#REF!</v>
      </c>
      <c r="K28" s="31"/>
      <c r="L28" s="27"/>
      <c r="M28" s="27"/>
      <c r="N28" s="32" t="e">
        <f>SUM(P28:CT28)</f>
        <v>#REF!</v>
      </c>
      <c r="O28" s="33"/>
      <c r="P28" s="34" t="e">
        <f>P25</f>
        <v>#REF!</v>
      </c>
      <c r="Q28" s="34" t="e">
        <f t="shared" ref="Q28:CB28" si="9">Q25</f>
        <v>#REF!</v>
      </c>
      <c r="R28" s="34" t="e">
        <f t="shared" si="9"/>
        <v>#REF!</v>
      </c>
      <c r="S28" s="34" t="e">
        <f t="shared" si="9"/>
        <v>#REF!</v>
      </c>
      <c r="T28" s="34" t="e">
        <f t="shared" si="9"/>
        <v>#REF!</v>
      </c>
      <c r="U28" s="34" t="e">
        <f t="shared" si="9"/>
        <v>#REF!</v>
      </c>
      <c r="V28" s="34" t="e">
        <f t="shared" si="9"/>
        <v>#REF!</v>
      </c>
      <c r="W28" s="34" t="e">
        <f t="shared" si="9"/>
        <v>#REF!</v>
      </c>
      <c r="X28" s="34" t="e">
        <f t="shared" si="9"/>
        <v>#REF!</v>
      </c>
      <c r="Y28" s="34" t="e">
        <f t="shared" si="9"/>
        <v>#REF!</v>
      </c>
      <c r="Z28" s="34" t="e">
        <f t="shared" si="9"/>
        <v>#REF!</v>
      </c>
      <c r="AA28" s="34" t="e">
        <f t="shared" si="9"/>
        <v>#REF!</v>
      </c>
      <c r="AB28" s="34" t="e">
        <f t="shared" si="9"/>
        <v>#REF!</v>
      </c>
      <c r="AC28" s="34" t="e">
        <f t="shared" si="9"/>
        <v>#REF!</v>
      </c>
      <c r="AD28" s="34" t="e">
        <f t="shared" si="9"/>
        <v>#REF!</v>
      </c>
      <c r="AE28" s="34" t="e">
        <f t="shared" si="9"/>
        <v>#REF!</v>
      </c>
      <c r="AF28" s="34" t="e">
        <f t="shared" si="9"/>
        <v>#REF!</v>
      </c>
      <c r="AG28" s="34" t="e">
        <f t="shared" si="9"/>
        <v>#REF!</v>
      </c>
      <c r="AH28" s="34" t="e">
        <f t="shared" si="9"/>
        <v>#REF!</v>
      </c>
      <c r="AI28" s="34" t="e">
        <f t="shared" si="9"/>
        <v>#REF!</v>
      </c>
      <c r="AJ28" s="34" t="e">
        <f t="shared" si="9"/>
        <v>#REF!</v>
      </c>
      <c r="AK28" s="34" t="e">
        <f t="shared" si="9"/>
        <v>#REF!</v>
      </c>
      <c r="AL28" s="34" t="e">
        <f t="shared" si="9"/>
        <v>#REF!</v>
      </c>
      <c r="AM28" s="34" t="e">
        <f t="shared" si="9"/>
        <v>#REF!</v>
      </c>
      <c r="AN28" s="34" t="e">
        <f t="shared" si="9"/>
        <v>#REF!</v>
      </c>
      <c r="AO28" s="34" t="e">
        <f t="shared" si="9"/>
        <v>#REF!</v>
      </c>
      <c r="AP28" s="34" t="e">
        <f t="shared" si="9"/>
        <v>#REF!</v>
      </c>
      <c r="AQ28" s="34" t="e">
        <f t="shared" si="9"/>
        <v>#REF!</v>
      </c>
      <c r="AR28" s="34" t="e">
        <f t="shared" si="9"/>
        <v>#REF!</v>
      </c>
      <c r="AS28" s="34" t="e">
        <f t="shared" si="9"/>
        <v>#REF!</v>
      </c>
      <c r="AT28" s="34" t="e">
        <f t="shared" si="9"/>
        <v>#REF!</v>
      </c>
      <c r="AU28" s="34" t="e">
        <f t="shared" si="9"/>
        <v>#REF!</v>
      </c>
      <c r="AV28" s="34" t="e">
        <f t="shared" si="9"/>
        <v>#REF!</v>
      </c>
      <c r="AW28" s="34" t="e">
        <f t="shared" si="9"/>
        <v>#REF!</v>
      </c>
      <c r="AX28" s="34" t="e">
        <f t="shared" si="9"/>
        <v>#REF!</v>
      </c>
      <c r="AY28" s="34" t="e">
        <f t="shared" si="9"/>
        <v>#REF!</v>
      </c>
      <c r="AZ28" s="34" t="e">
        <f t="shared" si="9"/>
        <v>#REF!</v>
      </c>
      <c r="BA28" s="34" t="e">
        <f t="shared" si="9"/>
        <v>#REF!</v>
      </c>
      <c r="BB28" s="34" t="e">
        <f t="shared" si="9"/>
        <v>#REF!</v>
      </c>
      <c r="BC28" s="34" t="e">
        <f t="shared" si="9"/>
        <v>#REF!</v>
      </c>
      <c r="BD28" s="34" t="e">
        <f t="shared" si="9"/>
        <v>#REF!</v>
      </c>
      <c r="BE28" s="34" t="e">
        <f t="shared" si="9"/>
        <v>#REF!</v>
      </c>
      <c r="BF28" s="34" t="e">
        <f t="shared" si="9"/>
        <v>#REF!</v>
      </c>
      <c r="BG28" s="34" t="e">
        <f t="shared" si="9"/>
        <v>#REF!</v>
      </c>
      <c r="BH28" s="34" t="e">
        <f t="shared" si="9"/>
        <v>#REF!</v>
      </c>
      <c r="BI28" s="34" t="e">
        <f t="shared" si="9"/>
        <v>#REF!</v>
      </c>
      <c r="BJ28" s="34" t="e">
        <f t="shared" si="9"/>
        <v>#REF!</v>
      </c>
      <c r="BK28" s="34" t="e">
        <f t="shared" si="9"/>
        <v>#REF!</v>
      </c>
      <c r="BL28" s="34" t="e">
        <f t="shared" si="9"/>
        <v>#REF!</v>
      </c>
      <c r="BM28" s="34" t="e">
        <f t="shared" si="9"/>
        <v>#REF!</v>
      </c>
      <c r="BN28" s="34" t="e">
        <f t="shared" si="9"/>
        <v>#REF!</v>
      </c>
      <c r="BO28" s="34" t="e">
        <f t="shared" si="9"/>
        <v>#REF!</v>
      </c>
      <c r="BP28" s="34" t="e">
        <f t="shared" si="9"/>
        <v>#REF!</v>
      </c>
      <c r="BQ28" s="34" t="e">
        <f t="shared" si="9"/>
        <v>#REF!</v>
      </c>
      <c r="BR28" s="34" t="e">
        <f t="shared" si="9"/>
        <v>#REF!</v>
      </c>
      <c r="BS28" s="34" t="e">
        <f t="shared" si="9"/>
        <v>#REF!</v>
      </c>
      <c r="BT28" s="34" t="e">
        <f t="shared" si="9"/>
        <v>#REF!</v>
      </c>
      <c r="BU28" s="34" t="e">
        <f t="shared" si="9"/>
        <v>#REF!</v>
      </c>
      <c r="BV28" s="34" t="e">
        <f t="shared" si="9"/>
        <v>#REF!</v>
      </c>
      <c r="BW28" s="34" t="e">
        <f t="shared" si="9"/>
        <v>#REF!</v>
      </c>
      <c r="BX28" s="34" t="e">
        <f t="shared" si="9"/>
        <v>#REF!</v>
      </c>
      <c r="BY28" s="34" t="e">
        <f t="shared" si="9"/>
        <v>#REF!</v>
      </c>
      <c r="BZ28" s="34" t="e">
        <f t="shared" si="9"/>
        <v>#REF!</v>
      </c>
      <c r="CA28" s="34" t="e">
        <f t="shared" si="9"/>
        <v>#REF!</v>
      </c>
      <c r="CB28" s="34" t="e">
        <f t="shared" si="9"/>
        <v>#REF!</v>
      </c>
      <c r="CC28" s="34" t="e">
        <f t="shared" ref="CC28:CT28" si="10">CC25</f>
        <v>#REF!</v>
      </c>
      <c r="CD28" s="34" t="e">
        <f t="shared" si="10"/>
        <v>#REF!</v>
      </c>
      <c r="CE28" s="34" t="e">
        <f t="shared" si="10"/>
        <v>#REF!</v>
      </c>
      <c r="CF28" s="34" t="e">
        <f t="shared" si="10"/>
        <v>#REF!</v>
      </c>
      <c r="CG28" s="34" t="e">
        <f t="shared" si="10"/>
        <v>#REF!</v>
      </c>
      <c r="CH28" s="34" t="e">
        <f t="shared" si="10"/>
        <v>#REF!</v>
      </c>
      <c r="CI28" s="34" t="e">
        <f t="shared" si="10"/>
        <v>#REF!</v>
      </c>
      <c r="CJ28" s="34" t="e">
        <f t="shared" si="10"/>
        <v>#REF!</v>
      </c>
      <c r="CK28" s="34" t="e">
        <f t="shared" si="10"/>
        <v>#REF!</v>
      </c>
      <c r="CL28" s="34" t="e">
        <f t="shared" si="10"/>
        <v>#REF!</v>
      </c>
      <c r="CM28" s="34" t="e">
        <f t="shared" si="10"/>
        <v>#REF!</v>
      </c>
      <c r="CN28" s="34" t="e">
        <f t="shared" si="10"/>
        <v>#REF!</v>
      </c>
      <c r="CO28" s="34" t="e">
        <f t="shared" si="10"/>
        <v>#REF!</v>
      </c>
      <c r="CP28" s="34" t="e">
        <f t="shared" si="10"/>
        <v>#REF!</v>
      </c>
      <c r="CQ28" s="34" t="e">
        <f t="shared" si="10"/>
        <v>#REF!</v>
      </c>
      <c r="CR28" s="34">
        <f t="shared" si="10"/>
        <v>0</v>
      </c>
      <c r="CS28" s="34">
        <f t="shared" si="10"/>
        <v>0</v>
      </c>
      <c r="CT28" s="34">
        <f t="shared" si="10"/>
        <v>0</v>
      </c>
    </row>
    <row r="29" spans="2:98" ht="12.75" customHeight="1" x14ac:dyDescent="0.25">
      <c r="H29" s="9" t="s">
        <v>3</v>
      </c>
      <c r="J29" s="16"/>
      <c r="K29" s="16"/>
      <c r="N29" s="35" t="e">
        <f>SUM(P29:CT29)</f>
        <v>#REF!</v>
      </c>
      <c r="O29" s="36"/>
      <c r="P29" s="37" t="e">
        <f>SUM(P28)</f>
        <v>#REF!</v>
      </c>
      <c r="Q29" s="37" t="e">
        <f t="shared" ref="Q29:CB29" si="11">SUM(Q28)</f>
        <v>#REF!</v>
      </c>
      <c r="R29" s="37" t="e">
        <f t="shared" si="11"/>
        <v>#REF!</v>
      </c>
      <c r="S29" s="37" t="e">
        <f t="shared" si="11"/>
        <v>#REF!</v>
      </c>
      <c r="T29" s="37" t="e">
        <f t="shared" si="11"/>
        <v>#REF!</v>
      </c>
      <c r="U29" s="37" t="e">
        <f t="shared" si="11"/>
        <v>#REF!</v>
      </c>
      <c r="V29" s="37" t="e">
        <f t="shared" si="11"/>
        <v>#REF!</v>
      </c>
      <c r="W29" s="37" t="e">
        <f t="shared" si="11"/>
        <v>#REF!</v>
      </c>
      <c r="X29" s="37" t="e">
        <f t="shared" si="11"/>
        <v>#REF!</v>
      </c>
      <c r="Y29" s="37" t="e">
        <f t="shared" si="11"/>
        <v>#REF!</v>
      </c>
      <c r="Z29" s="37" t="e">
        <f t="shared" si="11"/>
        <v>#REF!</v>
      </c>
      <c r="AA29" s="37" t="e">
        <f t="shared" si="11"/>
        <v>#REF!</v>
      </c>
      <c r="AB29" s="37" t="e">
        <f t="shared" si="11"/>
        <v>#REF!</v>
      </c>
      <c r="AC29" s="37" t="e">
        <f t="shared" si="11"/>
        <v>#REF!</v>
      </c>
      <c r="AD29" s="37" t="e">
        <f t="shared" si="11"/>
        <v>#REF!</v>
      </c>
      <c r="AE29" s="37" t="e">
        <f t="shared" si="11"/>
        <v>#REF!</v>
      </c>
      <c r="AF29" s="37" t="e">
        <f t="shared" si="11"/>
        <v>#REF!</v>
      </c>
      <c r="AG29" s="37" t="e">
        <f t="shared" si="11"/>
        <v>#REF!</v>
      </c>
      <c r="AH29" s="37" t="e">
        <f t="shared" si="11"/>
        <v>#REF!</v>
      </c>
      <c r="AI29" s="37" t="e">
        <f t="shared" si="11"/>
        <v>#REF!</v>
      </c>
      <c r="AJ29" s="37" t="e">
        <f t="shared" si="11"/>
        <v>#REF!</v>
      </c>
      <c r="AK29" s="37" t="e">
        <f t="shared" si="11"/>
        <v>#REF!</v>
      </c>
      <c r="AL29" s="37" t="e">
        <f t="shared" si="11"/>
        <v>#REF!</v>
      </c>
      <c r="AM29" s="37" t="e">
        <f t="shared" si="11"/>
        <v>#REF!</v>
      </c>
      <c r="AN29" s="37" t="e">
        <f t="shared" si="11"/>
        <v>#REF!</v>
      </c>
      <c r="AO29" s="37" t="e">
        <f t="shared" si="11"/>
        <v>#REF!</v>
      </c>
      <c r="AP29" s="37" t="e">
        <f t="shared" si="11"/>
        <v>#REF!</v>
      </c>
      <c r="AQ29" s="37" t="e">
        <f t="shared" si="11"/>
        <v>#REF!</v>
      </c>
      <c r="AR29" s="37" t="e">
        <f t="shared" si="11"/>
        <v>#REF!</v>
      </c>
      <c r="AS29" s="37" t="e">
        <f t="shared" si="11"/>
        <v>#REF!</v>
      </c>
      <c r="AT29" s="37" t="e">
        <f t="shared" si="11"/>
        <v>#REF!</v>
      </c>
      <c r="AU29" s="37" t="e">
        <f t="shared" si="11"/>
        <v>#REF!</v>
      </c>
      <c r="AV29" s="37" t="e">
        <f t="shared" si="11"/>
        <v>#REF!</v>
      </c>
      <c r="AW29" s="37" t="e">
        <f t="shared" si="11"/>
        <v>#REF!</v>
      </c>
      <c r="AX29" s="37" t="e">
        <f t="shared" si="11"/>
        <v>#REF!</v>
      </c>
      <c r="AY29" s="37" t="e">
        <f t="shared" si="11"/>
        <v>#REF!</v>
      </c>
      <c r="AZ29" s="37" t="e">
        <f t="shared" si="11"/>
        <v>#REF!</v>
      </c>
      <c r="BA29" s="37" t="e">
        <f t="shared" si="11"/>
        <v>#REF!</v>
      </c>
      <c r="BB29" s="37" t="e">
        <f t="shared" si="11"/>
        <v>#REF!</v>
      </c>
      <c r="BC29" s="37" t="e">
        <f t="shared" si="11"/>
        <v>#REF!</v>
      </c>
      <c r="BD29" s="37" t="e">
        <f t="shared" si="11"/>
        <v>#REF!</v>
      </c>
      <c r="BE29" s="37" t="e">
        <f t="shared" si="11"/>
        <v>#REF!</v>
      </c>
      <c r="BF29" s="37" t="e">
        <f t="shared" si="11"/>
        <v>#REF!</v>
      </c>
      <c r="BG29" s="37" t="e">
        <f t="shared" si="11"/>
        <v>#REF!</v>
      </c>
      <c r="BH29" s="37" t="e">
        <f t="shared" si="11"/>
        <v>#REF!</v>
      </c>
      <c r="BI29" s="37" t="e">
        <f t="shared" si="11"/>
        <v>#REF!</v>
      </c>
      <c r="BJ29" s="37" t="e">
        <f t="shared" si="11"/>
        <v>#REF!</v>
      </c>
      <c r="BK29" s="37" t="e">
        <f t="shared" si="11"/>
        <v>#REF!</v>
      </c>
      <c r="BL29" s="37" t="e">
        <f t="shared" si="11"/>
        <v>#REF!</v>
      </c>
      <c r="BM29" s="37" t="e">
        <f t="shared" si="11"/>
        <v>#REF!</v>
      </c>
      <c r="BN29" s="37" t="e">
        <f t="shared" si="11"/>
        <v>#REF!</v>
      </c>
      <c r="BO29" s="37" t="e">
        <f t="shared" si="11"/>
        <v>#REF!</v>
      </c>
      <c r="BP29" s="37" t="e">
        <f t="shared" si="11"/>
        <v>#REF!</v>
      </c>
      <c r="BQ29" s="37" t="e">
        <f t="shared" si="11"/>
        <v>#REF!</v>
      </c>
      <c r="BR29" s="37" t="e">
        <f t="shared" si="11"/>
        <v>#REF!</v>
      </c>
      <c r="BS29" s="37" t="e">
        <f t="shared" si="11"/>
        <v>#REF!</v>
      </c>
      <c r="BT29" s="37" t="e">
        <f t="shared" si="11"/>
        <v>#REF!</v>
      </c>
      <c r="BU29" s="37" t="e">
        <f t="shared" si="11"/>
        <v>#REF!</v>
      </c>
      <c r="BV29" s="37" t="e">
        <f t="shared" si="11"/>
        <v>#REF!</v>
      </c>
      <c r="BW29" s="37" t="e">
        <f t="shared" si="11"/>
        <v>#REF!</v>
      </c>
      <c r="BX29" s="37" t="e">
        <f t="shared" si="11"/>
        <v>#REF!</v>
      </c>
      <c r="BY29" s="37" t="e">
        <f t="shared" si="11"/>
        <v>#REF!</v>
      </c>
      <c r="BZ29" s="37" t="e">
        <f t="shared" si="11"/>
        <v>#REF!</v>
      </c>
      <c r="CA29" s="37" t="e">
        <f t="shared" si="11"/>
        <v>#REF!</v>
      </c>
      <c r="CB29" s="37" t="e">
        <f t="shared" si="11"/>
        <v>#REF!</v>
      </c>
      <c r="CC29" s="37" t="e">
        <f t="shared" ref="CC29:CT29" si="12">SUM(CC28)</f>
        <v>#REF!</v>
      </c>
      <c r="CD29" s="37" t="e">
        <f t="shared" si="12"/>
        <v>#REF!</v>
      </c>
      <c r="CE29" s="37" t="e">
        <f t="shared" si="12"/>
        <v>#REF!</v>
      </c>
      <c r="CF29" s="37" t="e">
        <f t="shared" si="12"/>
        <v>#REF!</v>
      </c>
      <c r="CG29" s="37" t="e">
        <f t="shared" si="12"/>
        <v>#REF!</v>
      </c>
      <c r="CH29" s="37" t="e">
        <f t="shared" si="12"/>
        <v>#REF!</v>
      </c>
      <c r="CI29" s="37" t="e">
        <f t="shared" si="12"/>
        <v>#REF!</v>
      </c>
      <c r="CJ29" s="37" t="e">
        <f t="shared" si="12"/>
        <v>#REF!</v>
      </c>
      <c r="CK29" s="37" t="e">
        <f t="shared" si="12"/>
        <v>#REF!</v>
      </c>
      <c r="CL29" s="37" t="e">
        <f t="shared" si="12"/>
        <v>#REF!</v>
      </c>
      <c r="CM29" s="37" t="e">
        <f t="shared" si="12"/>
        <v>#REF!</v>
      </c>
      <c r="CN29" s="37" t="e">
        <f t="shared" si="12"/>
        <v>#REF!</v>
      </c>
      <c r="CO29" s="37" t="e">
        <f t="shared" si="12"/>
        <v>#REF!</v>
      </c>
      <c r="CP29" s="37" t="e">
        <f t="shared" si="12"/>
        <v>#REF!</v>
      </c>
      <c r="CQ29" s="37" t="e">
        <f t="shared" si="12"/>
        <v>#REF!</v>
      </c>
      <c r="CR29" s="37">
        <f t="shared" si="12"/>
        <v>0</v>
      </c>
      <c r="CS29" s="37">
        <f t="shared" si="12"/>
        <v>0</v>
      </c>
      <c r="CT29" s="37">
        <f t="shared" si="12"/>
        <v>0</v>
      </c>
    </row>
    <row r="30" spans="2:98" ht="12.75" customHeight="1" x14ac:dyDescent="0.25">
      <c r="H30" s="9"/>
      <c r="J30" s="16"/>
      <c r="K30" s="16"/>
      <c r="N30" s="19"/>
      <c r="O30" s="13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</row>
    <row r="31" spans="2:98" ht="12.75" customHeight="1" x14ac:dyDescent="0.25">
      <c r="C31" s="184" t="s">
        <v>24</v>
      </c>
      <c r="H31" s="9" t="s">
        <v>25</v>
      </c>
      <c r="J31" s="40" t="e">
        <f>AND(P31:CT31)</f>
        <v>#REF!</v>
      </c>
      <c r="K31" s="16"/>
      <c r="N31" s="19"/>
      <c r="O31" s="13"/>
      <c r="P31" s="40" t="e">
        <f>IF(P25&lt;&gt;0,P25=P28,"")</f>
        <v>#REF!</v>
      </c>
      <c r="Q31" s="40" t="e">
        <f t="shared" ref="Q31:CB31" si="13">IF(Q25&lt;&gt;0,Q25=Q28,"")</f>
        <v>#REF!</v>
      </c>
      <c r="R31" s="40" t="e">
        <f t="shared" si="13"/>
        <v>#REF!</v>
      </c>
      <c r="S31" s="40" t="e">
        <f t="shared" si="13"/>
        <v>#REF!</v>
      </c>
      <c r="T31" s="40" t="e">
        <f t="shared" si="13"/>
        <v>#REF!</v>
      </c>
      <c r="U31" s="40" t="e">
        <f t="shared" si="13"/>
        <v>#REF!</v>
      </c>
      <c r="V31" s="40" t="e">
        <f t="shared" si="13"/>
        <v>#REF!</v>
      </c>
      <c r="W31" s="40" t="e">
        <f t="shared" si="13"/>
        <v>#REF!</v>
      </c>
      <c r="X31" s="40" t="e">
        <f t="shared" si="13"/>
        <v>#REF!</v>
      </c>
      <c r="Y31" s="40" t="e">
        <f t="shared" si="13"/>
        <v>#REF!</v>
      </c>
      <c r="Z31" s="40" t="e">
        <f t="shared" si="13"/>
        <v>#REF!</v>
      </c>
      <c r="AA31" s="40" t="e">
        <f t="shared" si="13"/>
        <v>#REF!</v>
      </c>
      <c r="AB31" s="40" t="e">
        <f t="shared" si="13"/>
        <v>#REF!</v>
      </c>
      <c r="AC31" s="40" t="e">
        <f t="shared" si="13"/>
        <v>#REF!</v>
      </c>
      <c r="AD31" s="40" t="e">
        <f t="shared" si="13"/>
        <v>#REF!</v>
      </c>
      <c r="AE31" s="40" t="e">
        <f t="shared" si="13"/>
        <v>#REF!</v>
      </c>
      <c r="AF31" s="40" t="e">
        <f t="shared" si="13"/>
        <v>#REF!</v>
      </c>
      <c r="AG31" s="40" t="e">
        <f t="shared" si="13"/>
        <v>#REF!</v>
      </c>
      <c r="AH31" s="40" t="e">
        <f t="shared" si="13"/>
        <v>#REF!</v>
      </c>
      <c r="AI31" s="40" t="e">
        <f t="shared" si="13"/>
        <v>#REF!</v>
      </c>
      <c r="AJ31" s="40" t="e">
        <f t="shared" si="13"/>
        <v>#REF!</v>
      </c>
      <c r="AK31" s="40" t="e">
        <f t="shared" si="13"/>
        <v>#REF!</v>
      </c>
      <c r="AL31" s="40" t="e">
        <f t="shared" si="13"/>
        <v>#REF!</v>
      </c>
      <c r="AM31" s="40" t="e">
        <f t="shared" si="13"/>
        <v>#REF!</v>
      </c>
      <c r="AN31" s="40" t="e">
        <f t="shared" si="13"/>
        <v>#REF!</v>
      </c>
      <c r="AO31" s="40" t="e">
        <f t="shared" si="13"/>
        <v>#REF!</v>
      </c>
      <c r="AP31" s="40" t="e">
        <f t="shared" si="13"/>
        <v>#REF!</v>
      </c>
      <c r="AQ31" s="40" t="e">
        <f t="shared" si="13"/>
        <v>#REF!</v>
      </c>
      <c r="AR31" s="40" t="e">
        <f t="shared" si="13"/>
        <v>#REF!</v>
      </c>
      <c r="AS31" s="40" t="e">
        <f t="shared" si="13"/>
        <v>#REF!</v>
      </c>
      <c r="AT31" s="40" t="e">
        <f t="shared" si="13"/>
        <v>#REF!</v>
      </c>
      <c r="AU31" s="40" t="e">
        <f t="shared" si="13"/>
        <v>#REF!</v>
      </c>
      <c r="AV31" s="40" t="e">
        <f t="shared" si="13"/>
        <v>#REF!</v>
      </c>
      <c r="AW31" s="40" t="e">
        <f t="shared" si="13"/>
        <v>#REF!</v>
      </c>
      <c r="AX31" s="40" t="e">
        <f t="shared" si="13"/>
        <v>#REF!</v>
      </c>
      <c r="AY31" s="40" t="e">
        <f t="shared" si="13"/>
        <v>#REF!</v>
      </c>
      <c r="AZ31" s="40" t="e">
        <f t="shared" si="13"/>
        <v>#REF!</v>
      </c>
      <c r="BA31" s="40" t="e">
        <f t="shared" si="13"/>
        <v>#REF!</v>
      </c>
      <c r="BB31" s="40" t="e">
        <f t="shared" si="13"/>
        <v>#REF!</v>
      </c>
      <c r="BC31" s="40" t="e">
        <f t="shared" si="13"/>
        <v>#REF!</v>
      </c>
      <c r="BD31" s="40" t="e">
        <f t="shared" si="13"/>
        <v>#REF!</v>
      </c>
      <c r="BE31" s="40" t="e">
        <f t="shared" si="13"/>
        <v>#REF!</v>
      </c>
      <c r="BF31" s="40" t="e">
        <f t="shared" si="13"/>
        <v>#REF!</v>
      </c>
      <c r="BG31" s="40" t="e">
        <f t="shared" si="13"/>
        <v>#REF!</v>
      </c>
      <c r="BH31" s="40" t="e">
        <f t="shared" si="13"/>
        <v>#REF!</v>
      </c>
      <c r="BI31" s="40" t="e">
        <f t="shared" si="13"/>
        <v>#REF!</v>
      </c>
      <c r="BJ31" s="40" t="e">
        <f t="shared" si="13"/>
        <v>#REF!</v>
      </c>
      <c r="BK31" s="40" t="e">
        <f t="shared" si="13"/>
        <v>#REF!</v>
      </c>
      <c r="BL31" s="40" t="e">
        <f t="shared" si="13"/>
        <v>#REF!</v>
      </c>
      <c r="BM31" s="40" t="e">
        <f t="shared" si="13"/>
        <v>#REF!</v>
      </c>
      <c r="BN31" s="40" t="e">
        <f t="shared" si="13"/>
        <v>#REF!</v>
      </c>
      <c r="BO31" s="40" t="e">
        <f t="shared" si="13"/>
        <v>#REF!</v>
      </c>
      <c r="BP31" s="40" t="e">
        <f t="shared" si="13"/>
        <v>#REF!</v>
      </c>
      <c r="BQ31" s="40" t="e">
        <f t="shared" si="13"/>
        <v>#REF!</v>
      </c>
      <c r="BR31" s="40" t="e">
        <f t="shared" si="13"/>
        <v>#REF!</v>
      </c>
      <c r="BS31" s="40" t="e">
        <f t="shared" si="13"/>
        <v>#REF!</v>
      </c>
      <c r="BT31" s="40" t="e">
        <f t="shared" si="13"/>
        <v>#REF!</v>
      </c>
      <c r="BU31" s="40" t="e">
        <f t="shared" si="13"/>
        <v>#REF!</v>
      </c>
      <c r="BV31" s="40" t="e">
        <f t="shared" si="13"/>
        <v>#REF!</v>
      </c>
      <c r="BW31" s="40" t="e">
        <f t="shared" si="13"/>
        <v>#REF!</v>
      </c>
      <c r="BX31" s="40" t="e">
        <f t="shared" si="13"/>
        <v>#REF!</v>
      </c>
      <c r="BY31" s="40" t="e">
        <f t="shared" si="13"/>
        <v>#REF!</v>
      </c>
      <c r="BZ31" s="40" t="e">
        <f t="shared" si="13"/>
        <v>#REF!</v>
      </c>
      <c r="CA31" s="40" t="e">
        <f t="shared" si="13"/>
        <v>#REF!</v>
      </c>
      <c r="CB31" s="40" t="e">
        <f t="shared" si="13"/>
        <v>#REF!</v>
      </c>
      <c r="CC31" s="40" t="e">
        <f t="shared" ref="CC31:CT31" si="14">IF(CC25&lt;&gt;0,CC25=CC28,"")</f>
        <v>#REF!</v>
      </c>
      <c r="CD31" s="40" t="e">
        <f t="shared" si="14"/>
        <v>#REF!</v>
      </c>
      <c r="CE31" s="40" t="e">
        <f t="shared" si="14"/>
        <v>#REF!</v>
      </c>
      <c r="CF31" s="40" t="e">
        <f t="shared" si="14"/>
        <v>#REF!</v>
      </c>
      <c r="CG31" s="40" t="e">
        <f t="shared" si="14"/>
        <v>#REF!</v>
      </c>
      <c r="CH31" s="40" t="e">
        <f t="shared" si="14"/>
        <v>#REF!</v>
      </c>
      <c r="CI31" s="40" t="e">
        <f t="shared" si="14"/>
        <v>#REF!</v>
      </c>
      <c r="CJ31" s="40" t="e">
        <f t="shared" si="14"/>
        <v>#REF!</v>
      </c>
      <c r="CK31" s="40" t="e">
        <f t="shared" si="14"/>
        <v>#REF!</v>
      </c>
      <c r="CL31" s="40" t="e">
        <f t="shared" si="14"/>
        <v>#REF!</v>
      </c>
      <c r="CM31" s="40" t="e">
        <f t="shared" si="14"/>
        <v>#REF!</v>
      </c>
      <c r="CN31" s="40" t="e">
        <f t="shared" si="14"/>
        <v>#REF!</v>
      </c>
      <c r="CO31" s="40" t="e">
        <f t="shared" si="14"/>
        <v>#REF!</v>
      </c>
      <c r="CP31" s="40" t="e">
        <f t="shared" si="14"/>
        <v>#REF!</v>
      </c>
      <c r="CQ31" s="40" t="e">
        <f t="shared" si="14"/>
        <v>#REF!</v>
      </c>
      <c r="CR31" s="40" t="str">
        <f t="shared" si="14"/>
        <v/>
      </c>
      <c r="CS31" s="40" t="str">
        <f t="shared" si="14"/>
        <v/>
      </c>
      <c r="CT31" s="40" t="str">
        <f t="shared" si="14"/>
        <v/>
      </c>
    </row>
    <row r="32" spans="2:98" ht="12.75" customHeight="1" x14ac:dyDescent="0.25">
      <c r="H32" s="9"/>
      <c r="J32" s="16"/>
      <c r="K32" s="16"/>
      <c r="N32" s="19"/>
      <c r="O32" s="13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</row>
    <row r="33" spans="1:98" ht="12.75" customHeight="1" x14ac:dyDescent="0.25">
      <c r="A33" s="41"/>
      <c r="B33" s="42" t="s">
        <v>26</v>
      </c>
      <c r="C33" s="43"/>
      <c r="D33" s="41"/>
      <c r="E33" s="41"/>
      <c r="F33" s="41"/>
      <c r="G33" s="41"/>
      <c r="H33" s="9"/>
      <c r="I33" s="44"/>
      <c r="J33" s="41"/>
      <c r="K33" s="41"/>
      <c r="L33" s="41"/>
      <c r="M33" s="41"/>
      <c r="N33" s="41"/>
      <c r="O33" s="41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5"/>
      <c r="CF33" s="45"/>
      <c r="CG33" s="45"/>
      <c r="CH33" s="45"/>
      <c r="CI33" s="45"/>
      <c r="CJ33" s="45"/>
      <c r="CK33" s="45"/>
      <c r="CL33" s="45"/>
      <c r="CM33" s="45"/>
      <c r="CN33" s="45"/>
      <c r="CO33" s="45"/>
      <c r="CP33" s="45"/>
      <c r="CQ33" s="45"/>
      <c r="CR33" s="45"/>
      <c r="CS33" s="45"/>
      <c r="CT33" s="45"/>
    </row>
    <row r="34" spans="1:98" ht="12.75" customHeight="1" x14ac:dyDescent="0.25">
      <c r="H34" s="9"/>
      <c r="J34" s="16"/>
      <c r="N34" s="19"/>
      <c r="O34" s="14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</row>
    <row r="35" spans="1:98" ht="12.75" customHeight="1" x14ac:dyDescent="0.25">
      <c r="C35" s="184" t="s">
        <v>21</v>
      </c>
      <c r="H35" s="9" t="s">
        <v>3</v>
      </c>
      <c r="N35" s="25">
        <f>SUM(P35:CT35)</f>
        <v>40</v>
      </c>
      <c r="O35" s="14"/>
      <c r="P35" s="26">
        <f>P24</f>
        <v>0</v>
      </c>
      <c r="Q35" s="26">
        <f t="shared" ref="Q35:CB35" si="15">Q24</f>
        <v>0</v>
      </c>
      <c r="R35" s="26">
        <f t="shared" si="15"/>
        <v>0</v>
      </c>
      <c r="S35" s="26">
        <f t="shared" si="15"/>
        <v>0</v>
      </c>
      <c r="T35" s="26">
        <f t="shared" si="15"/>
        <v>0</v>
      </c>
      <c r="U35" s="26">
        <f t="shared" si="15"/>
        <v>40</v>
      </c>
      <c r="V35" s="26">
        <f t="shared" si="15"/>
        <v>0</v>
      </c>
      <c r="W35" s="26">
        <f t="shared" si="15"/>
        <v>0</v>
      </c>
      <c r="X35" s="26">
        <f t="shared" si="15"/>
        <v>0</v>
      </c>
      <c r="Y35" s="26">
        <f t="shared" si="15"/>
        <v>0</v>
      </c>
      <c r="Z35" s="26">
        <f t="shared" si="15"/>
        <v>0</v>
      </c>
      <c r="AA35" s="26">
        <f t="shared" si="15"/>
        <v>0</v>
      </c>
      <c r="AB35" s="26">
        <f t="shared" si="15"/>
        <v>0</v>
      </c>
      <c r="AC35" s="26">
        <f t="shared" si="15"/>
        <v>0</v>
      </c>
      <c r="AD35" s="26">
        <f t="shared" si="15"/>
        <v>0</v>
      </c>
      <c r="AE35" s="26">
        <f t="shared" si="15"/>
        <v>0</v>
      </c>
      <c r="AF35" s="26">
        <f t="shared" si="15"/>
        <v>0</v>
      </c>
      <c r="AG35" s="26">
        <f t="shared" si="15"/>
        <v>0</v>
      </c>
      <c r="AH35" s="26">
        <f t="shared" si="15"/>
        <v>0</v>
      </c>
      <c r="AI35" s="26">
        <f t="shared" si="15"/>
        <v>0</v>
      </c>
      <c r="AJ35" s="26">
        <f t="shared" si="15"/>
        <v>0</v>
      </c>
      <c r="AK35" s="26">
        <f t="shared" si="15"/>
        <v>0</v>
      </c>
      <c r="AL35" s="26">
        <f t="shared" si="15"/>
        <v>0</v>
      </c>
      <c r="AM35" s="26">
        <f t="shared" si="15"/>
        <v>0</v>
      </c>
      <c r="AN35" s="26">
        <f t="shared" si="15"/>
        <v>0</v>
      </c>
      <c r="AO35" s="26">
        <f t="shared" si="15"/>
        <v>0</v>
      </c>
      <c r="AP35" s="26">
        <f t="shared" si="15"/>
        <v>0</v>
      </c>
      <c r="AQ35" s="26">
        <f t="shared" si="15"/>
        <v>0</v>
      </c>
      <c r="AR35" s="26">
        <f t="shared" si="15"/>
        <v>0</v>
      </c>
      <c r="AS35" s="26">
        <f t="shared" si="15"/>
        <v>0</v>
      </c>
      <c r="AT35" s="26">
        <f t="shared" si="15"/>
        <v>0</v>
      </c>
      <c r="AU35" s="26">
        <f t="shared" si="15"/>
        <v>0</v>
      </c>
      <c r="AV35" s="26">
        <f t="shared" si="15"/>
        <v>0</v>
      </c>
      <c r="AW35" s="26">
        <f t="shared" si="15"/>
        <v>0</v>
      </c>
      <c r="AX35" s="26">
        <f t="shared" si="15"/>
        <v>0</v>
      </c>
      <c r="AY35" s="26">
        <f t="shared" si="15"/>
        <v>0</v>
      </c>
      <c r="AZ35" s="26">
        <f t="shared" si="15"/>
        <v>0</v>
      </c>
      <c r="BA35" s="26">
        <f t="shared" si="15"/>
        <v>0</v>
      </c>
      <c r="BB35" s="26">
        <f t="shared" si="15"/>
        <v>0</v>
      </c>
      <c r="BC35" s="26">
        <f t="shared" si="15"/>
        <v>0</v>
      </c>
      <c r="BD35" s="26">
        <f t="shared" si="15"/>
        <v>0</v>
      </c>
      <c r="BE35" s="26">
        <f t="shared" si="15"/>
        <v>0</v>
      </c>
      <c r="BF35" s="26">
        <f t="shared" si="15"/>
        <v>0</v>
      </c>
      <c r="BG35" s="26">
        <f t="shared" si="15"/>
        <v>0</v>
      </c>
      <c r="BH35" s="26">
        <f t="shared" si="15"/>
        <v>0</v>
      </c>
      <c r="BI35" s="26">
        <f t="shared" si="15"/>
        <v>0</v>
      </c>
      <c r="BJ35" s="26">
        <f t="shared" si="15"/>
        <v>0</v>
      </c>
      <c r="BK35" s="26">
        <f t="shared" si="15"/>
        <v>0</v>
      </c>
      <c r="BL35" s="26">
        <f t="shared" si="15"/>
        <v>0</v>
      </c>
      <c r="BM35" s="26">
        <f t="shared" si="15"/>
        <v>0</v>
      </c>
      <c r="BN35" s="26">
        <f t="shared" si="15"/>
        <v>0</v>
      </c>
      <c r="BO35" s="26">
        <f t="shared" si="15"/>
        <v>0</v>
      </c>
      <c r="BP35" s="26">
        <f t="shared" si="15"/>
        <v>0</v>
      </c>
      <c r="BQ35" s="26">
        <f t="shared" si="15"/>
        <v>0</v>
      </c>
      <c r="BR35" s="26">
        <f t="shared" si="15"/>
        <v>0</v>
      </c>
      <c r="BS35" s="26">
        <f t="shared" si="15"/>
        <v>0</v>
      </c>
      <c r="BT35" s="26">
        <f t="shared" si="15"/>
        <v>0</v>
      </c>
      <c r="BU35" s="26">
        <f t="shared" si="15"/>
        <v>0</v>
      </c>
      <c r="BV35" s="26">
        <f t="shared" si="15"/>
        <v>0</v>
      </c>
      <c r="BW35" s="26">
        <f t="shared" si="15"/>
        <v>0</v>
      </c>
      <c r="BX35" s="26">
        <f t="shared" si="15"/>
        <v>0</v>
      </c>
      <c r="BY35" s="26">
        <f t="shared" si="15"/>
        <v>0</v>
      </c>
      <c r="BZ35" s="26">
        <f t="shared" si="15"/>
        <v>0</v>
      </c>
      <c r="CA35" s="26">
        <f t="shared" si="15"/>
        <v>0</v>
      </c>
      <c r="CB35" s="26">
        <f t="shared" si="15"/>
        <v>0</v>
      </c>
      <c r="CC35" s="26">
        <f t="shared" ref="CC35:CT35" si="16">CC24</f>
        <v>0</v>
      </c>
      <c r="CD35" s="26">
        <f t="shared" si="16"/>
        <v>0</v>
      </c>
      <c r="CE35" s="26">
        <f t="shared" si="16"/>
        <v>0</v>
      </c>
      <c r="CF35" s="26">
        <f t="shared" si="16"/>
        <v>0</v>
      </c>
      <c r="CG35" s="26">
        <f t="shared" si="16"/>
        <v>0</v>
      </c>
      <c r="CH35" s="26">
        <f t="shared" si="16"/>
        <v>0</v>
      </c>
      <c r="CI35" s="26">
        <f t="shared" si="16"/>
        <v>0</v>
      </c>
      <c r="CJ35" s="26">
        <f t="shared" si="16"/>
        <v>0</v>
      </c>
      <c r="CK35" s="26">
        <f t="shared" si="16"/>
        <v>0</v>
      </c>
      <c r="CL35" s="26">
        <f t="shared" si="16"/>
        <v>0</v>
      </c>
      <c r="CM35" s="26">
        <f t="shared" si="16"/>
        <v>0</v>
      </c>
      <c r="CN35" s="26">
        <f t="shared" si="16"/>
        <v>0</v>
      </c>
      <c r="CO35" s="26">
        <f t="shared" si="16"/>
        <v>0</v>
      </c>
      <c r="CP35" s="26">
        <f t="shared" si="16"/>
        <v>0</v>
      </c>
      <c r="CQ35" s="26">
        <f t="shared" si="16"/>
        <v>0</v>
      </c>
      <c r="CR35" s="26">
        <f t="shared" si="16"/>
        <v>0</v>
      </c>
      <c r="CS35" s="26">
        <f t="shared" si="16"/>
        <v>0</v>
      </c>
      <c r="CT35" s="26">
        <f t="shared" si="16"/>
        <v>0</v>
      </c>
    </row>
    <row r="36" spans="1:98" ht="12.75" customHeight="1" x14ac:dyDescent="0.25">
      <c r="C36" s="184" t="s">
        <v>27</v>
      </c>
      <c r="H36" s="9" t="s">
        <v>3</v>
      </c>
      <c r="N36" s="25" t="e">
        <f>SUM(P36:CT36)</f>
        <v>#REF!</v>
      </c>
      <c r="O36" s="46"/>
      <c r="P36" s="47" t="e">
        <f>Valuation!P28*Buyout!P15</f>
        <v>#REF!</v>
      </c>
      <c r="Q36" s="47" t="e">
        <f>Valuation!Q28*Buyout!Q15</f>
        <v>#REF!</v>
      </c>
      <c r="R36" s="47" t="e">
        <f>Valuation!R28*Buyout!R15</f>
        <v>#REF!</v>
      </c>
      <c r="S36" s="47" t="e">
        <f>Valuation!S28*Buyout!S15</f>
        <v>#REF!</v>
      </c>
      <c r="T36" s="47" t="e">
        <f>Valuation!T28*Buyout!T15</f>
        <v>#REF!</v>
      </c>
      <c r="U36" s="47" t="e">
        <f>Valuation!U28*Buyout!U15</f>
        <v>#REF!</v>
      </c>
      <c r="V36" s="47" t="e">
        <f>Valuation!V28*Buyout!V15</f>
        <v>#REF!</v>
      </c>
      <c r="W36" s="47" t="e">
        <f>Valuation!W28*Buyout!W15</f>
        <v>#REF!</v>
      </c>
      <c r="X36" s="47" t="e">
        <f>Valuation!X28*Buyout!X15</f>
        <v>#REF!</v>
      </c>
      <c r="Y36" s="47" t="e">
        <f>Valuation!Y28*Buyout!Y15</f>
        <v>#REF!</v>
      </c>
      <c r="Z36" s="47" t="e">
        <f>Valuation!Z28*Buyout!Z15</f>
        <v>#REF!</v>
      </c>
      <c r="AA36" s="47" t="e">
        <f>Valuation!AA28*Buyout!AA15</f>
        <v>#REF!</v>
      </c>
      <c r="AB36" s="47" t="e">
        <f>Valuation!AB28*Buyout!AB15</f>
        <v>#REF!</v>
      </c>
      <c r="AC36" s="47" t="e">
        <f>Valuation!AC28*Buyout!AC15</f>
        <v>#REF!</v>
      </c>
      <c r="AD36" s="47" t="e">
        <f>Valuation!AD28*Buyout!AD15</f>
        <v>#REF!</v>
      </c>
      <c r="AE36" s="47" t="e">
        <f>Valuation!AE28*Buyout!AE15</f>
        <v>#REF!</v>
      </c>
      <c r="AF36" s="47" t="e">
        <f>Valuation!AF28*Buyout!AF15</f>
        <v>#REF!</v>
      </c>
      <c r="AG36" s="47" t="e">
        <f>Valuation!AG28*Buyout!AG15</f>
        <v>#REF!</v>
      </c>
      <c r="AH36" s="47" t="e">
        <f>Valuation!AH28*Buyout!AH15</f>
        <v>#REF!</v>
      </c>
      <c r="AI36" s="47" t="e">
        <f>Valuation!AI28*Buyout!AI15</f>
        <v>#REF!</v>
      </c>
      <c r="AJ36" s="47" t="e">
        <f>Valuation!AJ28*Buyout!AJ15</f>
        <v>#REF!</v>
      </c>
      <c r="AK36" s="47" t="e">
        <f>Valuation!AK28*Buyout!AK15</f>
        <v>#REF!</v>
      </c>
      <c r="AL36" s="47" t="e">
        <f>Valuation!AL28*Buyout!AL15</f>
        <v>#REF!</v>
      </c>
      <c r="AM36" s="47" t="e">
        <f>Valuation!AM28*Buyout!AM15</f>
        <v>#REF!</v>
      </c>
      <c r="AN36" s="47" t="e">
        <f>Valuation!AN28*Buyout!AN15</f>
        <v>#REF!</v>
      </c>
      <c r="AO36" s="47" t="e">
        <f>Valuation!AO28*Buyout!AO15</f>
        <v>#REF!</v>
      </c>
      <c r="AP36" s="47" t="e">
        <f>Valuation!AP28*Buyout!AP15</f>
        <v>#REF!</v>
      </c>
      <c r="AQ36" s="47" t="e">
        <f>Valuation!AQ28*Buyout!AQ15</f>
        <v>#REF!</v>
      </c>
      <c r="AR36" s="47" t="e">
        <f>Valuation!AR28*Buyout!AR15</f>
        <v>#REF!</v>
      </c>
      <c r="AS36" s="47" t="e">
        <f>Valuation!AS28*Buyout!AS15</f>
        <v>#REF!</v>
      </c>
      <c r="AT36" s="47" t="e">
        <f>Valuation!AT28*Buyout!AT15</f>
        <v>#REF!</v>
      </c>
      <c r="AU36" s="47" t="e">
        <f>Valuation!AU28*Buyout!AU15</f>
        <v>#REF!</v>
      </c>
      <c r="AV36" s="47" t="e">
        <f>Valuation!AV28*Buyout!AV15</f>
        <v>#REF!</v>
      </c>
      <c r="AW36" s="47" t="e">
        <f>Valuation!AW28*Buyout!AW15</f>
        <v>#REF!</v>
      </c>
      <c r="AX36" s="47" t="e">
        <f>Valuation!AX28*Buyout!AX15</f>
        <v>#REF!</v>
      </c>
      <c r="AY36" s="47" t="e">
        <f>Valuation!AY28*Buyout!AY15</f>
        <v>#REF!</v>
      </c>
      <c r="AZ36" s="47" t="e">
        <f>Valuation!AZ28*Buyout!AZ15</f>
        <v>#REF!</v>
      </c>
      <c r="BA36" s="47" t="e">
        <f>Valuation!BA28*Buyout!BA15</f>
        <v>#REF!</v>
      </c>
      <c r="BB36" s="47" t="e">
        <f>Valuation!BB28*Buyout!BB15</f>
        <v>#REF!</v>
      </c>
      <c r="BC36" s="47" t="e">
        <f>Valuation!BC28*Buyout!BC15</f>
        <v>#REF!</v>
      </c>
      <c r="BD36" s="47" t="e">
        <f>Valuation!BD28*Buyout!BD15</f>
        <v>#REF!</v>
      </c>
      <c r="BE36" s="47" t="e">
        <f>Valuation!BE28*Buyout!BE15</f>
        <v>#REF!</v>
      </c>
      <c r="BF36" s="47" t="e">
        <f>Valuation!BF28*Buyout!BF15</f>
        <v>#REF!</v>
      </c>
      <c r="BG36" s="47" t="e">
        <f>Valuation!BG28*Buyout!BG15</f>
        <v>#REF!</v>
      </c>
      <c r="BH36" s="47" t="e">
        <f>Valuation!BH28*Buyout!BH15</f>
        <v>#REF!</v>
      </c>
      <c r="BI36" s="47" t="e">
        <f>Valuation!BI28*Buyout!BI15</f>
        <v>#REF!</v>
      </c>
      <c r="BJ36" s="47" t="e">
        <f>Valuation!BJ28*Buyout!BJ15</f>
        <v>#REF!</v>
      </c>
      <c r="BK36" s="47" t="e">
        <f>Valuation!BK28*Buyout!BK15</f>
        <v>#REF!</v>
      </c>
      <c r="BL36" s="47" t="e">
        <f>Valuation!BL28*Buyout!BL15</f>
        <v>#REF!</v>
      </c>
      <c r="BM36" s="47" t="e">
        <f>Valuation!BM28*Buyout!BM15</f>
        <v>#REF!</v>
      </c>
      <c r="BN36" s="47" t="e">
        <f>Valuation!BN28*Buyout!BN15</f>
        <v>#REF!</v>
      </c>
      <c r="BO36" s="47" t="e">
        <f>Valuation!BO28*Buyout!BO15</f>
        <v>#REF!</v>
      </c>
      <c r="BP36" s="47" t="e">
        <f>Valuation!BP28*Buyout!BP15</f>
        <v>#REF!</v>
      </c>
      <c r="BQ36" s="47" t="e">
        <f>Valuation!BQ28*Buyout!BQ15</f>
        <v>#REF!</v>
      </c>
      <c r="BR36" s="47" t="e">
        <f>Valuation!BR28*Buyout!BR15</f>
        <v>#REF!</v>
      </c>
      <c r="BS36" s="47" t="e">
        <f>Valuation!BS28*Buyout!BS15</f>
        <v>#REF!</v>
      </c>
      <c r="BT36" s="47" t="e">
        <f>Valuation!BT28*Buyout!BT15</f>
        <v>#REF!</v>
      </c>
      <c r="BU36" s="47" t="e">
        <f>Valuation!BU28*Buyout!BU15</f>
        <v>#REF!</v>
      </c>
      <c r="BV36" s="47" t="e">
        <f>Valuation!BV28*Buyout!BV15</f>
        <v>#REF!</v>
      </c>
      <c r="BW36" s="47" t="e">
        <f>Valuation!BW28*Buyout!BW15</f>
        <v>#REF!</v>
      </c>
      <c r="BX36" s="47" t="e">
        <f>Valuation!BX28*Buyout!BX15</f>
        <v>#REF!</v>
      </c>
      <c r="BY36" s="47" t="e">
        <f>Valuation!BY28*Buyout!BY15</f>
        <v>#REF!</v>
      </c>
      <c r="BZ36" s="47" t="e">
        <f>Valuation!BZ28*Buyout!BZ15</f>
        <v>#REF!</v>
      </c>
      <c r="CA36" s="47" t="e">
        <f>Valuation!CA28*Buyout!CA15</f>
        <v>#REF!</v>
      </c>
      <c r="CB36" s="47" t="e">
        <f>Valuation!CB28*Buyout!CB15</f>
        <v>#REF!</v>
      </c>
      <c r="CC36" s="47" t="e">
        <f>Valuation!CC28*Buyout!CC15</f>
        <v>#REF!</v>
      </c>
      <c r="CD36" s="47" t="e">
        <f>Valuation!CD28*Buyout!CD15</f>
        <v>#REF!</v>
      </c>
      <c r="CE36" s="47" t="e">
        <f>Valuation!CE28*Buyout!CE15</f>
        <v>#REF!</v>
      </c>
      <c r="CF36" s="47" t="e">
        <f>Valuation!CF28*Buyout!CF15</f>
        <v>#REF!</v>
      </c>
      <c r="CG36" s="47" t="e">
        <f>Valuation!CG28*Buyout!CG15</f>
        <v>#REF!</v>
      </c>
      <c r="CH36" s="47" t="e">
        <f>Valuation!CH28*Buyout!CH15</f>
        <v>#REF!</v>
      </c>
      <c r="CI36" s="47" t="e">
        <f>Valuation!CI28*Buyout!CI15</f>
        <v>#REF!</v>
      </c>
      <c r="CJ36" s="47" t="e">
        <f>Valuation!CJ28*Buyout!CJ15</f>
        <v>#REF!</v>
      </c>
      <c r="CK36" s="47" t="e">
        <f>Valuation!CK28*Buyout!CK15</f>
        <v>#REF!</v>
      </c>
      <c r="CL36" s="47" t="e">
        <f>Valuation!CL28*Buyout!CL15</f>
        <v>#REF!</v>
      </c>
      <c r="CM36" s="47" t="e">
        <f>Valuation!CM28*Buyout!CM15</f>
        <v>#REF!</v>
      </c>
      <c r="CN36" s="47" t="e">
        <f>Valuation!CN28*Buyout!CN15</f>
        <v>#REF!</v>
      </c>
      <c r="CO36" s="47" t="e">
        <f>Valuation!CO28*Buyout!CO15</f>
        <v>#REF!</v>
      </c>
      <c r="CP36" s="47" t="e">
        <f>Valuation!CP28*Buyout!CP15</f>
        <v>#REF!</v>
      </c>
      <c r="CQ36" s="47" t="e">
        <f>Valuation!CQ28*Buyout!CQ15</f>
        <v>#REF!</v>
      </c>
      <c r="CR36" s="47">
        <f>Valuation!CR28*Buyout!CR15</f>
        <v>0</v>
      </c>
      <c r="CS36" s="47">
        <f>Valuation!CS28*Buyout!CS15</f>
        <v>0</v>
      </c>
      <c r="CT36" s="47">
        <f>Valuation!CT28*Buyout!CT15</f>
        <v>0</v>
      </c>
    </row>
    <row r="37" spans="1:98" ht="12.75" customHeight="1" x14ac:dyDescent="0.25">
      <c r="C37" s="202" t="s">
        <v>28</v>
      </c>
      <c r="D37" s="27"/>
      <c r="E37" s="27"/>
      <c r="F37" s="27"/>
      <c r="G37" s="27"/>
      <c r="H37" s="28" t="s">
        <v>3</v>
      </c>
      <c r="I37" s="27"/>
      <c r="J37" s="27"/>
      <c r="K37" s="27"/>
      <c r="L37" s="27"/>
      <c r="M37" s="27"/>
      <c r="N37" s="32">
        <f>SUM(P37:CT37)</f>
        <v>5807.9975845449517</v>
      </c>
      <c r="O37" s="27"/>
      <c r="P37" s="48">
        <f>P65</f>
        <v>0</v>
      </c>
      <c r="Q37" s="48">
        <f t="shared" ref="Q37:CB37" si="17">Q65</f>
        <v>0</v>
      </c>
      <c r="R37" s="48">
        <f t="shared" si="17"/>
        <v>0</v>
      </c>
      <c r="S37" s="48">
        <f t="shared" si="17"/>
        <v>0</v>
      </c>
      <c r="T37" s="48">
        <f t="shared" si="17"/>
        <v>0</v>
      </c>
      <c r="U37" s="48">
        <f t="shared" si="17"/>
        <v>0</v>
      </c>
      <c r="V37" s="48">
        <f t="shared" si="17"/>
        <v>0</v>
      </c>
      <c r="W37" s="48">
        <f t="shared" si="17"/>
        <v>0</v>
      </c>
      <c r="X37" s="48">
        <f t="shared" si="17"/>
        <v>0</v>
      </c>
      <c r="Y37" s="48">
        <f t="shared" si="17"/>
        <v>0</v>
      </c>
      <c r="Z37" s="48">
        <f t="shared" si="17"/>
        <v>0</v>
      </c>
      <c r="AA37" s="48">
        <f t="shared" si="17"/>
        <v>0</v>
      </c>
      <c r="AB37" s="48">
        <f t="shared" si="17"/>
        <v>0</v>
      </c>
      <c r="AC37" s="48">
        <f t="shared" si="17"/>
        <v>0</v>
      </c>
      <c r="AD37" s="48">
        <f t="shared" si="17"/>
        <v>0</v>
      </c>
      <c r="AE37" s="48">
        <f t="shared" si="17"/>
        <v>5807.9975845449517</v>
      </c>
      <c r="AF37" s="48">
        <f t="shared" si="17"/>
        <v>0</v>
      </c>
      <c r="AG37" s="48">
        <f t="shared" si="17"/>
        <v>0</v>
      </c>
      <c r="AH37" s="48">
        <f t="shared" si="17"/>
        <v>0</v>
      </c>
      <c r="AI37" s="48">
        <f t="shared" si="17"/>
        <v>0</v>
      </c>
      <c r="AJ37" s="48">
        <f t="shared" si="17"/>
        <v>0</v>
      </c>
      <c r="AK37" s="48">
        <f t="shared" si="17"/>
        <v>0</v>
      </c>
      <c r="AL37" s="48">
        <f t="shared" si="17"/>
        <v>0</v>
      </c>
      <c r="AM37" s="48">
        <f t="shared" si="17"/>
        <v>0</v>
      </c>
      <c r="AN37" s="48">
        <f t="shared" si="17"/>
        <v>0</v>
      </c>
      <c r="AO37" s="48">
        <f t="shared" si="17"/>
        <v>0</v>
      </c>
      <c r="AP37" s="48">
        <f t="shared" si="17"/>
        <v>0</v>
      </c>
      <c r="AQ37" s="48">
        <f t="shared" si="17"/>
        <v>0</v>
      </c>
      <c r="AR37" s="48">
        <f t="shared" si="17"/>
        <v>0</v>
      </c>
      <c r="AS37" s="48">
        <f t="shared" si="17"/>
        <v>0</v>
      </c>
      <c r="AT37" s="48">
        <f t="shared" si="17"/>
        <v>0</v>
      </c>
      <c r="AU37" s="48">
        <f t="shared" si="17"/>
        <v>0</v>
      </c>
      <c r="AV37" s="48">
        <f t="shared" si="17"/>
        <v>0</v>
      </c>
      <c r="AW37" s="48">
        <f t="shared" si="17"/>
        <v>0</v>
      </c>
      <c r="AX37" s="48">
        <f t="shared" si="17"/>
        <v>0</v>
      </c>
      <c r="AY37" s="48">
        <f t="shared" si="17"/>
        <v>0</v>
      </c>
      <c r="AZ37" s="48">
        <f t="shared" si="17"/>
        <v>0</v>
      </c>
      <c r="BA37" s="48">
        <f t="shared" si="17"/>
        <v>0</v>
      </c>
      <c r="BB37" s="48">
        <f t="shared" si="17"/>
        <v>0</v>
      </c>
      <c r="BC37" s="48">
        <f t="shared" si="17"/>
        <v>0</v>
      </c>
      <c r="BD37" s="48">
        <f t="shared" si="17"/>
        <v>0</v>
      </c>
      <c r="BE37" s="48">
        <f t="shared" si="17"/>
        <v>0</v>
      </c>
      <c r="BF37" s="48">
        <f t="shared" si="17"/>
        <v>0</v>
      </c>
      <c r="BG37" s="48">
        <f t="shared" si="17"/>
        <v>0</v>
      </c>
      <c r="BH37" s="48">
        <f t="shared" si="17"/>
        <v>0</v>
      </c>
      <c r="BI37" s="48">
        <f t="shared" si="17"/>
        <v>0</v>
      </c>
      <c r="BJ37" s="48">
        <f t="shared" si="17"/>
        <v>0</v>
      </c>
      <c r="BK37" s="48">
        <f t="shared" si="17"/>
        <v>0</v>
      </c>
      <c r="BL37" s="48">
        <f t="shared" si="17"/>
        <v>0</v>
      </c>
      <c r="BM37" s="48">
        <f t="shared" si="17"/>
        <v>0</v>
      </c>
      <c r="BN37" s="48">
        <f t="shared" si="17"/>
        <v>0</v>
      </c>
      <c r="BO37" s="48">
        <f t="shared" si="17"/>
        <v>0</v>
      </c>
      <c r="BP37" s="48">
        <f t="shared" si="17"/>
        <v>0</v>
      </c>
      <c r="BQ37" s="48">
        <f t="shared" si="17"/>
        <v>0</v>
      </c>
      <c r="BR37" s="48">
        <f t="shared" si="17"/>
        <v>0</v>
      </c>
      <c r="BS37" s="48">
        <f t="shared" si="17"/>
        <v>0</v>
      </c>
      <c r="BT37" s="48">
        <f t="shared" si="17"/>
        <v>0</v>
      </c>
      <c r="BU37" s="48">
        <f t="shared" si="17"/>
        <v>0</v>
      </c>
      <c r="BV37" s="48">
        <f t="shared" si="17"/>
        <v>0</v>
      </c>
      <c r="BW37" s="48">
        <f t="shared" si="17"/>
        <v>0</v>
      </c>
      <c r="BX37" s="48">
        <f t="shared" si="17"/>
        <v>0</v>
      </c>
      <c r="BY37" s="48">
        <f t="shared" si="17"/>
        <v>0</v>
      </c>
      <c r="BZ37" s="48">
        <f t="shared" si="17"/>
        <v>0</v>
      </c>
      <c r="CA37" s="48">
        <f t="shared" si="17"/>
        <v>0</v>
      </c>
      <c r="CB37" s="48">
        <f t="shared" si="17"/>
        <v>0</v>
      </c>
      <c r="CC37" s="48">
        <f t="shared" ref="CC37:CT37" si="18">CC65</f>
        <v>0</v>
      </c>
      <c r="CD37" s="48">
        <f t="shared" si="18"/>
        <v>0</v>
      </c>
      <c r="CE37" s="48">
        <f t="shared" si="18"/>
        <v>0</v>
      </c>
      <c r="CF37" s="48">
        <f t="shared" si="18"/>
        <v>0</v>
      </c>
      <c r="CG37" s="48">
        <f t="shared" si="18"/>
        <v>0</v>
      </c>
      <c r="CH37" s="48">
        <f t="shared" si="18"/>
        <v>0</v>
      </c>
      <c r="CI37" s="48">
        <f t="shared" si="18"/>
        <v>0</v>
      </c>
      <c r="CJ37" s="48">
        <f t="shared" si="18"/>
        <v>0</v>
      </c>
      <c r="CK37" s="48">
        <f t="shared" si="18"/>
        <v>0</v>
      </c>
      <c r="CL37" s="48">
        <f t="shared" si="18"/>
        <v>0</v>
      </c>
      <c r="CM37" s="48">
        <f t="shared" si="18"/>
        <v>0</v>
      </c>
      <c r="CN37" s="48">
        <f t="shared" si="18"/>
        <v>0</v>
      </c>
      <c r="CO37" s="48">
        <f t="shared" si="18"/>
        <v>0</v>
      </c>
      <c r="CP37" s="48">
        <f t="shared" si="18"/>
        <v>0</v>
      </c>
      <c r="CQ37" s="48">
        <f t="shared" si="18"/>
        <v>0</v>
      </c>
      <c r="CR37" s="48">
        <f t="shared" si="18"/>
        <v>0</v>
      </c>
      <c r="CS37" s="48">
        <f t="shared" si="18"/>
        <v>0</v>
      </c>
      <c r="CT37" s="48">
        <f t="shared" si="18"/>
        <v>0</v>
      </c>
    </row>
    <row r="38" spans="1:98" ht="12.75" customHeight="1" x14ac:dyDescent="0.25">
      <c r="H38" s="9" t="s">
        <v>3</v>
      </c>
      <c r="N38" s="35" t="e">
        <f>SUM(P38:CT38)</f>
        <v>#REF!</v>
      </c>
      <c r="P38" s="49" t="e">
        <f>-P35+P36+P37</f>
        <v>#REF!</v>
      </c>
      <c r="Q38" s="49" t="e">
        <f t="shared" ref="Q38:CB38" si="19">-Q35+Q36+Q37</f>
        <v>#REF!</v>
      </c>
      <c r="R38" s="49" t="e">
        <f t="shared" si="19"/>
        <v>#REF!</v>
      </c>
      <c r="S38" s="49" t="e">
        <f t="shared" si="19"/>
        <v>#REF!</v>
      </c>
      <c r="T38" s="49" t="e">
        <f t="shared" si="19"/>
        <v>#REF!</v>
      </c>
      <c r="U38" s="49" t="e">
        <f t="shared" si="19"/>
        <v>#REF!</v>
      </c>
      <c r="V38" s="49" t="e">
        <f t="shared" si="19"/>
        <v>#REF!</v>
      </c>
      <c r="W38" s="49" t="e">
        <f t="shared" si="19"/>
        <v>#REF!</v>
      </c>
      <c r="X38" s="49" t="e">
        <f t="shared" si="19"/>
        <v>#REF!</v>
      </c>
      <c r="Y38" s="49" t="e">
        <f t="shared" si="19"/>
        <v>#REF!</v>
      </c>
      <c r="Z38" s="49" t="e">
        <f t="shared" si="19"/>
        <v>#REF!</v>
      </c>
      <c r="AA38" s="49" t="e">
        <f t="shared" si="19"/>
        <v>#REF!</v>
      </c>
      <c r="AB38" s="49" t="e">
        <f t="shared" si="19"/>
        <v>#REF!</v>
      </c>
      <c r="AC38" s="49" t="e">
        <f t="shared" si="19"/>
        <v>#REF!</v>
      </c>
      <c r="AD38" s="49" t="e">
        <f t="shared" si="19"/>
        <v>#REF!</v>
      </c>
      <c r="AE38" s="49" t="e">
        <f t="shared" si="19"/>
        <v>#REF!</v>
      </c>
      <c r="AF38" s="49" t="e">
        <f t="shared" si="19"/>
        <v>#REF!</v>
      </c>
      <c r="AG38" s="49" t="e">
        <f t="shared" si="19"/>
        <v>#REF!</v>
      </c>
      <c r="AH38" s="49" t="e">
        <f t="shared" si="19"/>
        <v>#REF!</v>
      </c>
      <c r="AI38" s="49" t="e">
        <f t="shared" si="19"/>
        <v>#REF!</v>
      </c>
      <c r="AJ38" s="49" t="e">
        <f t="shared" si="19"/>
        <v>#REF!</v>
      </c>
      <c r="AK38" s="49" t="e">
        <f t="shared" si="19"/>
        <v>#REF!</v>
      </c>
      <c r="AL38" s="49" t="e">
        <f t="shared" si="19"/>
        <v>#REF!</v>
      </c>
      <c r="AM38" s="49" t="e">
        <f t="shared" si="19"/>
        <v>#REF!</v>
      </c>
      <c r="AN38" s="49" t="e">
        <f t="shared" si="19"/>
        <v>#REF!</v>
      </c>
      <c r="AO38" s="49" t="e">
        <f t="shared" si="19"/>
        <v>#REF!</v>
      </c>
      <c r="AP38" s="49" t="e">
        <f t="shared" si="19"/>
        <v>#REF!</v>
      </c>
      <c r="AQ38" s="49" t="e">
        <f t="shared" si="19"/>
        <v>#REF!</v>
      </c>
      <c r="AR38" s="49" t="e">
        <f t="shared" si="19"/>
        <v>#REF!</v>
      </c>
      <c r="AS38" s="49" t="e">
        <f t="shared" si="19"/>
        <v>#REF!</v>
      </c>
      <c r="AT38" s="49" t="e">
        <f t="shared" si="19"/>
        <v>#REF!</v>
      </c>
      <c r="AU38" s="49" t="e">
        <f t="shared" si="19"/>
        <v>#REF!</v>
      </c>
      <c r="AV38" s="49" t="e">
        <f t="shared" si="19"/>
        <v>#REF!</v>
      </c>
      <c r="AW38" s="49" t="e">
        <f t="shared" si="19"/>
        <v>#REF!</v>
      </c>
      <c r="AX38" s="49" t="e">
        <f t="shared" si="19"/>
        <v>#REF!</v>
      </c>
      <c r="AY38" s="49" t="e">
        <f t="shared" si="19"/>
        <v>#REF!</v>
      </c>
      <c r="AZ38" s="49" t="e">
        <f t="shared" si="19"/>
        <v>#REF!</v>
      </c>
      <c r="BA38" s="49" t="e">
        <f t="shared" si="19"/>
        <v>#REF!</v>
      </c>
      <c r="BB38" s="49" t="e">
        <f t="shared" si="19"/>
        <v>#REF!</v>
      </c>
      <c r="BC38" s="49" t="e">
        <f t="shared" si="19"/>
        <v>#REF!</v>
      </c>
      <c r="BD38" s="49" t="e">
        <f t="shared" si="19"/>
        <v>#REF!</v>
      </c>
      <c r="BE38" s="49" t="e">
        <f t="shared" si="19"/>
        <v>#REF!</v>
      </c>
      <c r="BF38" s="49" t="e">
        <f t="shared" si="19"/>
        <v>#REF!</v>
      </c>
      <c r="BG38" s="49" t="e">
        <f t="shared" si="19"/>
        <v>#REF!</v>
      </c>
      <c r="BH38" s="49" t="e">
        <f t="shared" si="19"/>
        <v>#REF!</v>
      </c>
      <c r="BI38" s="49" t="e">
        <f t="shared" si="19"/>
        <v>#REF!</v>
      </c>
      <c r="BJ38" s="49" t="e">
        <f t="shared" si="19"/>
        <v>#REF!</v>
      </c>
      <c r="BK38" s="49" t="e">
        <f t="shared" si="19"/>
        <v>#REF!</v>
      </c>
      <c r="BL38" s="49" t="e">
        <f t="shared" si="19"/>
        <v>#REF!</v>
      </c>
      <c r="BM38" s="49" t="e">
        <f t="shared" si="19"/>
        <v>#REF!</v>
      </c>
      <c r="BN38" s="49" t="e">
        <f t="shared" si="19"/>
        <v>#REF!</v>
      </c>
      <c r="BO38" s="49" t="e">
        <f t="shared" si="19"/>
        <v>#REF!</v>
      </c>
      <c r="BP38" s="49" t="e">
        <f t="shared" si="19"/>
        <v>#REF!</v>
      </c>
      <c r="BQ38" s="49" t="e">
        <f t="shared" si="19"/>
        <v>#REF!</v>
      </c>
      <c r="BR38" s="49" t="e">
        <f t="shared" si="19"/>
        <v>#REF!</v>
      </c>
      <c r="BS38" s="49" t="e">
        <f t="shared" si="19"/>
        <v>#REF!</v>
      </c>
      <c r="BT38" s="49" t="e">
        <f t="shared" si="19"/>
        <v>#REF!</v>
      </c>
      <c r="BU38" s="49" t="e">
        <f t="shared" si="19"/>
        <v>#REF!</v>
      </c>
      <c r="BV38" s="49" t="e">
        <f t="shared" si="19"/>
        <v>#REF!</v>
      </c>
      <c r="BW38" s="49" t="e">
        <f t="shared" si="19"/>
        <v>#REF!</v>
      </c>
      <c r="BX38" s="49" t="e">
        <f t="shared" si="19"/>
        <v>#REF!</v>
      </c>
      <c r="BY38" s="49" t="e">
        <f t="shared" si="19"/>
        <v>#REF!</v>
      </c>
      <c r="BZ38" s="49" t="e">
        <f t="shared" si="19"/>
        <v>#REF!</v>
      </c>
      <c r="CA38" s="49" t="e">
        <f t="shared" si="19"/>
        <v>#REF!</v>
      </c>
      <c r="CB38" s="49" t="e">
        <f t="shared" si="19"/>
        <v>#REF!</v>
      </c>
      <c r="CC38" s="49" t="e">
        <f t="shared" ref="CC38:CT38" si="20">-CC35+CC36+CC37</f>
        <v>#REF!</v>
      </c>
      <c r="CD38" s="49" t="e">
        <f t="shared" si="20"/>
        <v>#REF!</v>
      </c>
      <c r="CE38" s="49" t="e">
        <f t="shared" si="20"/>
        <v>#REF!</v>
      </c>
      <c r="CF38" s="49" t="e">
        <f t="shared" si="20"/>
        <v>#REF!</v>
      </c>
      <c r="CG38" s="49" t="e">
        <f t="shared" si="20"/>
        <v>#REF!</v>
      </c>
      <c r="CH38" s="49" t="e">
        <f t="shared" si="20"/>
        <v>#REF!</v>
      </c>
      <c r="CI38" s="49" t="e">
        <f t="shared" si="20"/>
        <v>#REF!</v>
      </c>
      <c r="CJ38" s="49" t="e">
        <f t="shared" si="20"/>
        <v>#REF!</v>
      </c>
      <c r="CK38" s="49" t="e">
        <f t="shared" si="20"/>
        <v>#REF!</v>
      </c>
      <c r="CL38" s="49" t="e">
        <f t="shared" si="20"/>
        <v>#REF!</v>
      </c>
      <c r="CM38" s="49" t="e">
        <f t="shared" si="20"/>
        <v>#REF!</v>
      </c>
      <c r="CN38" s="49" t="e">
        <f t="shared" si="20"/>
        <v>#REF!</v>
      </c>
      <c r="CO38" s="49" t="e">
        <f t="shared" si="20"/>
        <v>#REF!</v>
      </c>
      <c r="CP38" s="49" t="e">
        <f t="shared" si="20"/>
        <v>#REF!</v>
      </c>
      <c r="CQ38" s="49" t="e">
        <f t="shared" si="20"/>
        <v>#REF!</v>
      </c>
      <c r="CR38" s="49">
        <f t="shared" si="20"/>
        <v>0</v>
      </c>
      <c r="CS38" s="49">
        <f t="shared" si="20"/>
        <v>0</v>
      </c>
      <c r="CT38" s="49">
        <f t="shared" si="20"/>
        <v>0</v>
      </c>
    </row>
    <row r="39" spans="1:98" ht="12.75" customHeight="1" x14ac:dyDescent="0.25">
      <c r="B39" s="10"/>
      <c r="H39" s="9"/>
      <c r="J39" s="38" t="s">
        <v>29</v>
      </c>
      <c r="N39" s="19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</row>
    <row r="40" spans="1:98" ht="12.75" customHeight="1" x14ac:dyDescent="0.25">
      <c r="C40" s="184" t="s">
        <v>30</v>
      </c>
      <c r="H40" s="9" t="s">
        <v>3</v>
      </c>
      <c r="J40" s="50">
        <v>0.12</v>
      </c>
      <c r="N40" s="19"/>
      <c r="O40" s="51"/>
      <c r="P40" s="47" t="e">
        <f>XNPV($J$40,P38:$CT38,P18:$CT18)*P15</f>
        <v>#REF!</v>
      </c>
      <c r="Q40" s="47" t="e">
        <f>XNPV($J$40,Q38:$CT38,Q18:$CT18)*Q15</f>
        <v>#REF!</v>
      </c>
      <c r="R40" s="47" t="e">
        <f>XNPV($J$40,R38:$CT38,R18:$CT18)*R15</f>
        <v>#REF!</v>
      </c>
      <c r="S40" s="47" t="e">
        <f>XNPV($J$40,S38:$CT38,S18:$CT18)*S15</f>
        <v>#REF!</v>
      </c>
      <c r="T40" s="47" t="e">
        <f>XNPV($J$40,T38:$CT38,T18:$CT18)*T15</f>
        <v>#REF!</v>
      </c>
      <c r="U40" s="47" t="e">
        <f>XNPV($J$40,U38:$CT38,U18:$CT18)*U15</f>
        <v>#REF!</v>
      </c>
      <c r="V40" s="47" t="e">
        <f>XNPV($J$40,V38:$CT38,V18:$CT18)*V15</f>
        <v>#REF!</v>
      </c>
      <c r="W40" s="47" t="e">
        <f>XNPV($J$40,W38:$CT38,W18:$CT18)*W15</f>
        <v>#REF!</v>
      </c>
      <c r="X40" s="47" t="e">
        <f>XNPV($J$40,X38:$CT38,X18:$CT18)*X15</f>
        <v>#REF!</v>
      </c>
      <c r="Y40" s="47" t="e">
        <f>XNPV($J$40,Y38:$CT38,Y18:$CT18)*Y15</f>
        <v>#REF!</v>
      </c>
      <c r="Z40" s="47" t="e">
        <f>XNPV($J$40,Z38:$CT38,Z18:$CT18)*Z15</f>
        <v>#REF!</v>
      </c>
      <c r="AA40" s="47" t="e">
        <f>XNPV($J$40,AA38:$CT38,AA18:$CT18)*AA15</f>
        <v>#REF!</v>
      </c>
      <c r="AB40" s="47" t="e">
        <f>XNPV($J$40,AB38:$CT38,AB18:$CT18)*AB15</f>
        <v>#REF!</v>
      </c>
      <c r="AC40" s="47" t="e">
        <f>XNPV($J$40,AC38:$CT38,AC18:$CT18)*AC15</f>
        <v>#REF!</v>
      </c>
      <c r="AD40" s="47" t="e">
        <f>XNPV($J$40,AD38:$CT38,AD18:$CT18)*AD15</f>
        <v>#REF!</v>
      </c>
      <c r="AE40" s="47" t="e">
        <f>XNPV($J$40,AE38:$CT38,AE18:$CT18)*AE15</f>
        <v>#REF!</v>
      </c>
      <c r="AF40" s="47" t="e">
        <f>XNPV($J$40,AF38:$CT38,AF18:$CT18)*AF15</f>
        <v>#REF!</v>
      </c>
      <c r="AG40" s="47" t="e">
        <f>XNPV($J$40,AG38:$CT38,AG18:$CT18)*AG15</f>
        <v>#REF!</v>
      </c>
      <c r="AH40" s="47" t="e">
        <f>XNPV($J$40,AH38:$CT38,AH18:$CT18)*AH15</f>
        <v>#REF!</v>
      </c>
      <c r="AI40" s="47" t="e">
        <f>XNPV($J$40,AI38:$CT38,AI18:$CT18)*AI15</f>
        <v>#REF!</v>
      </c>
      <c r="AJ40" s="47" t="e">
        <f>XNPV($J$40,AJ38:$CT38,AJ18:$CT18)*AJ15</f>
        <v>#REF!</v>
      </c>
      <c r="AK40" s="47" t="e">
        <f>XNPV($J$40,AK38:$CT38,AK18:$CT18)*AK15</f>
        <v>#REF!</v>
      </c>
      <c r="AL40" s="47" t="e">
        <f>XNPV($J$40,AL38:$CT38,AL18:$CT18)*AL15</f>
        <v>#REF!</v>
      </c>
      <c r="AM40" s="47" t="e">
        <f>XNPV($J$40,AM38:$CT38,AM18:$CT18)*AM15</f>
        <v>#REF!</v>
      </c>
      <c r="AN40" s="47" t="e">
        <f>XNPV($J$40,AN38:$CT38,AN18:$CT18)*AN15</f>
        <v>#REF!</v>
      </c>
      <c r="AO40" s="47" t="e">
        <f>XNPV($J$40,AO38:$CT38,AO18:$CT18)*AO15</f>
        <v>#REF!</v>
      </c>
      <c r="AP40" s="47" t="e">
        <f>XNPV($J$40,AP38:$CT38,AP18:$CT18)*AP15</f>
        <v>#REF!</v>
      </c>
      <c r="AQ40" s="47" t="e">
        <f>XNPV($J$40,AQ38:$CT38,AQ18:$CT18)*AQ15</f>
        <v>#REF!</v>
      </c>
      <c r="AR40" s="47" t="e">
        <f>XNPV($J$40,AR38:$CT38,AR18:$CT18)*AR15</f>
        <v>#REF!</v>
      </c>
      <c r="AS40" s="47" t="e">
        <f>XNPV($J$40,AS38:$CT38,AS18:$CT18)*AS15</f>
        <v>#REF!</v>
      </c>
      <c r="AT40" s="47" t="e">
        <f>XNPV($J$40,AT38:$CT38,AT18:$CT18)*AT15</f>
        <v>#REF!</v>
      </c>
      <c r="AU40" s="47" t="e">
        <f>XNPV($J$40,AU38:$CT38,AU18:$CT18)*AU15</f>
        <v>#REF!</v>
      </c>
      <c r="AV40" s="47" t="e">
        <f>XNPV($J$40,AV38:$CT38,AV18:$CT18)*AV15</f>
        <v>#REF!</v>
      </c>
      <c r="AW40" s="47" t="e">
        <f>XNPV($J$40,AW38:$CT38,AW18:$CT18)*AW15</f>
        <v>#REF!</v>
      </c>
      <c r="AX40" s="47" t="e">
        <f>XNPV($J$40,AX38:$CT38,AX18:$CT18)*AX15</f>
        <v>#REF!</v>
      </c>
      <c r="AY40" s="47" t="e">
        <f>XNPV($J$40,AY38:$CT38,AY18:$CT18)*AY15</f>
        <v>#REF!</v>
      </c>
      <c r="AZ40" s="47" t="e">
        <f>XNPV($J$40,AZ38:$CT38,AZ18:$CT18)*AZ15</f>
        <v>#REF!</v>
      </c>
      <c r="BA40" s="47" t="e">
        <f>XNPV($J$40,BA38:$CT38,BA18:$CT18)*BA15</f>
        <v>#REF!</v>
      </c>
      <c r="BB40" s="47" t="e">
        <f>XNPV($J$40,BB38:$CT38,BB18:$CT18)*BB15</f>
        <v>#REF!</v>
      </c>
      <c r="BC40" s="47" t="e">
        <f>XNPV($J$40,BC38:$CT38,BC18:$CT18)*BC15</f>
        <v>#REF!</v>
      </c>
      <c r="BD40" s="47" t="e">
        <f>XNPV($J$40,BD38:$CT38,BD18:$CT18)*BD15</f>
        <v>#REF!</v>
      </c>
      <c r="BE40" s="47" t="e">
        <f>XNPV($J$40,BE38:$CT38,BE18:$CT18)*BE15</f>
        <v>#REF!</v>
      </c>
      <c r="BF40" s="47" t="e">
        <f>XNPV($J$40,BF38:$CT38,BF18:$CT18)*BF15</f>
        <v>#REF!</v>
      </c>
      <c r="BG40" s="47" t="e">
        <f>XNPV($J$40,BG38:$CT38,BG18:$CT18)*BG15</f>
        <v>#REF!</v>
      </c>
      <c r="BH40" s="47" t="e">
        <f>XNPV($J$40,BH38:$CT38,BH18:$CT18)*BH15</f>
        <v>#REF!</v>
      </c>
      <c r="BI40" s="47" t="e">
        <f>XNPV($J$40,BI38:$CT38,BI18:$CT18)*BI15</f>
        <v>#REF!</v>
      </c>
      <c r="BJ40" s="47" t="e">
        <f>XNPV($J$40,BJ38:$CT38,BJ18:$CT18)*BJ15</f>
        <v>#REF!</v>
      </c>
      <c r="BK40" s="47" t="e">
        <f>XNPV($J$40,BK38:$CT38,BK18:$CT18)*BK15</f>
        <v>#REF!</v>
      </c>
      <c r="BL40" s="47" t="e">
        <f>XNPV($J$40,BL38:$CT38,BL18:$CT18)*BL15</f>
        <v>#REF!</v>
      </c>
      <c r="BM40" s="47" t="e">
        <f>XNPV($J$40,BM38:$CT38,BM18:$CT18)*BM15</f>
        <v>#REF!</v>
      </c>
      <c r="BN40" s="47" t="e">
        <f>XNPV($J$40,BN38:$CT38,BN18:$CT18)*BN15</f>
        <v>#REF!</v>
      </c>
      <c r="BO40" s="47" t="e">
        <f>XNPV($J$40,BO38:$CT38,BO18:$CT18)*BO15</f>
        <v>#REF!</v>
      </c>
      <c r="BP40" s="47" t="e">
        <f>XNPV($J$40,BP38:$CT38,BP18:$CT18)*BP15</f>
        <v>#REF!</v>
      </c>
      <c r="BQ40" s="47" t="e">
        <f>XNPV($J$40,BQ38:$CT38,BQ18:$CT18)*BQ15</f>
        <v>#REF!</v>
      </c>
      <c r="BR40" s="47" t="e">
        <f>XNPV($J$40,BR38:$CT38,BR18:$CT18)*BR15</f>
        <v>#REF!</v>
      </c>
      <c r="BS40" s="47" t="e">
        <f>XNPV($J$40,BS38:$CT38,BS18:$CT18)*BS15</f>
        <v>#REF!</v>
      </c>
      <c r="BT40" s="47" t="e">
        <f>XNPV($J$40,BT38:$CT38,BT18:$CT18)*BT15</f>
        <v>#REF!</v>
      </c>
      <c r="BU40" s="47" t="e">
        <f>XNPV($J$40,BU38:$CT38,BU18:$CT18)*BU15</f>
        <v>#REF!</v>
      </c>
      <c r="BV40" s="47" t="e">
        <f>XNPV($J$40,BV38:$CT38,BV18:$CT18)*BV15</f>
        <v>#REF!</v>
      </c>
      <c r="BW40" s="47" t="e">
        <f>XNPV($J$40,BW38:$CT38,BW18:$CT18)*BW15</f>
        <v>#REF!</v>
      </c>
      <c r="BX40" s="47" t="e">
        <f>XNPV($J$40,BX38:$CT38,BX18:$CT18)*BX15</f>
        <v>#REF!</v>
      </c>
      <c r="BY40" s="47" t="e">
        <f>XNPV($J$40,BY38:$CT38,BY18:$CT18)*BY15</f>
        <v>#REF!</v>
      </c>
      <c r="BZ40" s="47" t="e">
        <f>XNPV($J$40,BZ38:$CT38,BZ18:$CT18)*BZ15</f>
        <v>#REF!</v>
      </c>
      <c r="CA40" s="47" t="e">
        <f>XNPV($J$40,CA38:$CT38,CA18:$CT18)*CA15</f>
        <v>#REF!</v>
      </c>
      <c r="CB40" s="47" t="e">
        <f>XNPV($J$40,CB38:$CT38,CB18:$CT18)*CB15</f>
        <v>#REF!</v>
      </c>
      <c r="CC40" s="47" t="e">
        <f>XNPV($J$40,CC38:$CT38,CC18:$CT18)*CC15</f>
        <v>#REF!</v>
      </c>
      <c r="CD40" s="47" t="e">
        <f>XNPV($J$40,CD38:$CT38,CD18:$CT18)*CD15</f>
        <v>#REF!</v>
      </c>
      <c r="CE40" s="47" t="e">
        <f>XNPV($J$40,CE38:$CT38,CE18:$CT18)*CE15</f>
        <v>#REF!</v>
      </c>
      <c r="CF40" s="47" t="e">
        <f>XNPV($J$40,CF38:$CT38,CF18:$CT18)*CF15</f>
        <v>#REF!</v>
      </c>
      <c r="CG40" s="47" t="e">
        <f>XNPV($J$40,CG38:$CT38,CG18:$CT18)*CG15</f>
        <v>#REF!</v>
      </c>
      <c r="CH40" s="47" t="e">
        <f>XNPV($J$40,CH38:$CT38,CH18:$CT18)*CH15</f>
        <v>#REF!</v>
      </c>
      <c r="CI40" s="47" t="e">
        <f>XNPV($J$40,CI38:$CT38,CI18:$CT18)*CI15</f>
        <v>#REF!</v>
      </c>
      <c r="CJ40" s="47" t="e">
        <f>XNPV($J$40,CJ38:$CT38,CJ18:$CT18)*CJ15</f>
        <v>#REF!</v>
      </c>
      <c r="CK40" s="47" t="e">
        <f>XNPV($J$40,CK38:$CT38,CK18:$CT18)*CK15</f>
        <v>#REF!</v>
      </c>
      <c r="CL40" s="47" t="e">
        <f>XNPV($J$40,CL38:$CT38,CL18:$CT18)*CL15</f>
        <v>#REF!</v>
      </c>
      <c r="CM40" s="47" t="e">
        <f>XNPV($J$40,CM38:$CT38,CM18:$CT18)*CM15</f>
        <v>#REF!</v>
      </c>
      <c r="CN40" s="47" t="e">
        <f>XNPV($J$40,CN38:$CT38,CN18:$CT18)*CN15</f>
        <v>#REF!</v>
      </c>
      <c r="CO40" s="47" t="e">
        <f>XNPV($J$40,CO38:$CT38,CO18:$CT18)*CO15</f>
        <v>#REF!</v>
      </c>
      <c r="CP40" s="47" t="e">
        <f>XNPV($J$40,CP38:$CT38,CP18:$CT18)*CP15</f>
        <v>#REF!</v>
      </c>
      <c r="CQ40" s="47" t="e">
        <f>XNPV($J$40,CQ38:$CT38,CQ18:$CT18)*CQ15</f>
        <v>#REF!</v>
      </c>
      <c r="CR40" s="47">
        <f>XNPV($J$40,CR38:$CT38,CR18:$CT18)*CR15</f>
        <v>0</v>
      </c>
      <c r="CS40" s="47">
        <f>XNPV($J$40,CS38:$CT38,CS18:$CT18)*CS15</f>
        <v>0</v>
      </c>
      <c r="CT40" s="47">
        <f>XNPV($J$40,CT38:$CT38,CT18:$CT18)*CT15</f>
        <v>0</v>
      </c>
    </row>
    <row r="41" spans="1:98" ht="12.75" customHeight="1" x14ac:dyDescent="0.25">
      <c r="H41" s="9"/>
      <c r="J41" s="52"/>
      <c r="N41" s="19"/>
      <c r="O41" s="51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</row>
    <row r="42" spans="1:98" ht="12.75" customHeight="1" x14ac:dyDescent="0.25">
      <c r="B42" s="21" t="s">
        <v>31</v>
      </c>
      <c r="H42" s="9"/>
      <c r="J42" s="53"/>
      <c r="N42" s="19"/>
      <c r="O42" s="10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</row>
    <row r="43" spans="1:98" ht="12.75" customHeight="1" x14ac:dyDescent="0.25">
      <c r="H43" s="9"/>
      <c r="J43" s="53"/>
      <c r="N43" s="19"/>
      <c r="O43" s="10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</row>
    <row r="44" spans="1:98" ht="12.75" customHeight="1" x14ac:dyDescent="0.25">
      <c r="C44" s="17" t="s">
        <v>32</v>
      </c>
      <c r="D44" t="s">
        <v>33</v>
      </c>
      <c r="H44" s="9" t="s">
        <v>3</v>
      </c>
      <c r="J44" s="55"/>
      <c r="N44" s="25" t="e">
        <f>SUM(P44:CT44)</f>
        <v>#REF!</v>
      </c>
      <c r="O44" s="51"/>
      <c r="P44" s="47" t="e">
        <f t="shared" ref="P44:CA44" si="21">P28</f>
        <v>#REF!</v>
      </c>
      <c r="Q44" s="47" t="e">
        <f t="shared" si="21"/>
        <v>#REF!</v>
      </c>
      <c r="R44" s="47" t="e">
        <f t="shared" si="21"/>
        <v>#REF!</v>
      </c>
      <c r="S44" s="47" t="e">
        <f t="shared" si="21"/>
        <v>#REF!</v>
      </c>
      <c r="T44" s="47" t="e">
        <f t="shared" si="21"/>
        <v>#REF!</v>
      </c>
      <c r="U44" s="47" t="e">
        <f t="shared" si="21"/>
        <v>#REF!</v>
      </c>
      <c r="V44" s="47" t="e">
        <f t="shared" si="21"/>
        <v>#REF!</v>
      </c>
      <c r="W44" s="47" t="e">
        <f t="shared" si="21"/>
        <v>#REF!</v>
      </c>
      <c r="X44" s="47" t="e">
        <f t="shared" si="21"/>
        <v>#REF!</v>
      </c>
      <c r="Y44" s="47" t="e">
        <f t="shared" si="21"/>
        <v>#REF!</v>
      </c>
      <c r="Z44" s="47" t="e">
        <f t="shared" si="21"/>
        <v>#REF!</v>
      </c>
      <c r="AA44" s="47" t="e">
        <f t="shared" si="21"/>
        <v>#REF!</v>
      </c>
      <c r="AB44" s="47" t="e">
        <f t="shared" si="21"/>
        <v>#REF!</v>
      </c>
      <c r="AC44" s="47" t="e">
        <f t="shared" si="21"/>
        <v>#REF!</v>
      </c>
      <c r="AD44" s="47" t="e">
        <f t="shared" si="21"/>
        <v>#REF!</v>
      </c>
      <c r="AE44" s="47" t="e">
        <f t="shared" si="21"/>
        <v>#REF!</v>
      </c>
      <c r="AF44" s="47" t="e">
        <f t="shared" si="21"/>
        <v>#REF!</v>
      </c>
      <c r="AG44" s="47" t="e">
        <f t="shared" si="21"/>
        <v>#REF!</v>
      </c>
      <c r="AH44" s="47" t="e">
        <f t="shared" si="21"/>
        <v>#REF!</v>
      </c>
      <c r="AI44" s="47" t="e">
        <f t="shared" si="21"/>
        <v>#REF!</v>
      </c>
      <c r="AJ44" s="47" t="e">
        <f t="shared" si="21"/>
        <v>#REF!</v>
      </c>
      <c r="AK44" s="47" t="e">
        <f t="shared" si="21"/>
        <v>#REF!</v>
      </c>
      <c r="AL44" s="47" t="e">
        <f t="shared" si="21"/>
        <v>#REF!</v>
      </c>
      <c r="AM44" s="47" t="e">
        <f t="shared" si="21"/>
        <v>#REF!</v>
      </c>
      <c r="AN44" s="47" t="e">
        <f t="shared" si="21"/>
        <v>#REF!</v>
      </c>
      <c r="AO44" s="47" t="e">
        <f t="shared" si="21"/>
        <v>#REF!</v>
      </c>
      <c r="AP44" s="47" t="e">
        <f t="shared" si="21"/>
        <v>#REF!</v>
      </c>
      <c r="AQ44" s="47" t="e">
        <f t="shared" si="21"/>
        <v>#REF!</v>
      </c>
      <c r="AR44" s="47" t="e">
        <f t="shared" si="21"/>
        <v>#REF!</v>
      </c>
      <c r="AS44" s="47" t="e">
        <f t="shared" si="21"/>
        <v>#REF!</v>
      </c>
      <c r="AT44" s="47" t="e">
        <f t="shared" si="21"/>
        <v>#REF!</v>
      </c>
      <c r="AU44" s="47" t="e">
        <f t="shared" si="21"/>
        <v>#REF!</v>
      </c>
      <c r="AV44" s="47" t="e">
        <f t="shared" si="21"/>
        <v>#REF!</v>
      </c>
      <c r="AW44" s="47" t="e">
        <f t="shared" si="21"/>
        <v>#REF!</v>
      </c>
      <c r="AX44" s="47" t="e">
        <f t="shared" si="21"/>
        <v>#REF!</v>
      </c>
      <c r="AY44" s="47" t="e">
        <f t="shared" si="21"/>
        <v>#REF!</v>
      </c>
      <c r="AZ44" s="47" t="e">
        <f t="shared" si="21"/>
        <v>#REF!</v>
      </c>
      <c r="BA44" s="47" t="e">
        <f t="shared" si="21"/>
        <v>#REF!</v>
      </c>
      <c r="BB44" s="47" t="e">
        <f t="shared" si="21"/>
        <v>#REF!</v>
      </c>
      <c r="BC44" s="47" t="e">
        <f t="shared" si="21"/>
        <v>#REF!</v>
      </c>
      <c r="BD44" s="47" t="e">
        <f t="shared" si="21"/>
        <v>#REF!</v>
      </c>
      <c r="BE44" s="47" t="e">
        <f t="shared" si="21"/>
        <v>#REF!</v>
      </c>
      <c r="BF44" s="47" t="e">
        <f t="shared" si="21"/>
        <v>#REF!</v>
      </c>
      <c r="BG44" s="47" t="e">
        <f t="shared" si="21"/>
        <v>#REF!</v>
      </c>
      <c r="BH44" s="47" t="e">
        <f t="shared" si="21"/>
        <v>#REF!</v>
      </c>
      <c r="BI44" s="47" t="e">
        <f t="shared" si="21"/>
        <v>#REF!</v>
      </c>
      <c r="BJ44" s="47" t="e">
        <f t="shared" si="21"/>
        <v>#REF!</v>
      </c>
      <c r="BK44" s="47" t="e">
        <f t="shared" si="21"/>
        <v>#REF!</v>
      </c>
      <c r="BL44" s="47" t="e">
        <f t="shared" si="21"/>
        <v>#REF!</v>
      </c>
      <c r="BM44" s="47" t="e">
        <f t="shared" si="21"/>
        <v>#REF!</v>
      </c>
      <c r="BN44" s="47" t="e">
        <f t="shared" si="21"/>
        <v>#REF!</v>
      </c>
      <c r="BO44" s="47" t="e">
        <f t="shared" si="21"/>
        <v>#REF!</v>
      </c>
      <c r="BP44" s="47" t="e">
        <f t="shared" si="21"/>
        <v>#REF!</v>
      </c>
      <c r="BQ44" s="47" t="e">
        <f t="shared" si="21"/>
        <v>#REF!</v>
      </c>
      <c r="BR44" s="47" t="e">
        <f t="shared" si="21"/>
        <v>#REF!</v>
      </c>
      <c r="BS44" s="47" t="e">
        <f t="shared" si="21"/>
        <v>#REF!</v>
      </c>
      <c r="BT44" s="47" t="e">
        <f t="shared" si="21"/>
        <v>#REF!</v>
      </c>
      <c r="BU44" s="47" t="e">
        <f t="shared" si="21"/>
        <v>#REF!</v>
      </c>
      <c r="BV44" s="47" t="e">
        <f t="shared" si="21"/>
        <v>#REF!</v>
      </c>
      <c r="BW44" s="47" t="e">
        <f t="shared" si="21"/>
        <v>#REF!</v>
      </c>
      <c r="BX44" s="47" t="e">
        <f t="shared" si="21"/>
        <v>#REF!</v>
      </c>
      <c r="BY44" s="47" t="e">
        <f t="shared" si="21"/>
        <v>#REF!</v>
      </c>
      <c r="BZ44" s="47" t="e">
        <f t="shared" si="21"/>
        <v>#REF!</v>
      </c>
      <c r="CA44" s="47" t="e">
        <f t="shared" si="21"/>
        <v>#REF!</v>
      </c>
      <c r="CB44" s="47" t="e">
        <f t="shared" ref="CB44:CT44" si="22">CB28</f>
        <v>#REF!</v>
      </c>
      <c r="CC44" s="47" t="e">
        <f t="shared" si="22"/>
        <v>#REF!</v>
      </c>
      <c r="CD44" s="47" t="e">
        <f t="shared" si="22"/>
        <v>#REF!</v>
      </c>
      <c r="CE44" s="47" t="e">
        <f t="shared" si="22"/>
        <v>#REF!</v>
      </c>
      <c r="CF44" s="47" t="e">
        <f t="shared" si="22"/>
        <v>#REF!</v>
      </c>
      <c r="CG44" s="47" t="e">
        <f t="shared" si="22"/>
        <v>#REF!</v>
      </c>
      <c r="CH44" s="47" t="e">
        <f t="shared" si="22"/>
        <v>#REF!</v>
      </c>
      <c r="CI44" s="47" t="e">
        <f t="shared" si="22"/>
        <v>#REF!</v>
      </c>
      <c r="CJ44" s="47" t="e">
        <f t="shared" si="22"/>
        <v>#REF!</v>
      </c>
      <c r="CK44" s="47" t="e">
        <f t="shared" si="22"/>
        <v>#REF!</v>
      </c>
      <c r="CL44" s="47" t="e">
        <f t="shared" si="22"/>
        <v>#REF!</v>
      </c>
      <c r="CM44" s="47" t="e">
        <f t="shared" si="22"/>
        <v>#REF!</v>
      </c>
      <c r="CN44" s="47" t="e">
        <f t="shared" si="22"/>
        <v>#REF!</v>
      </c>
      <c r="CO44" s="47" t="e">
        <f t="shared" si="22"/>
        <v>#REF!</v>
      </c>
      <c r="CP44" s="47" t="e">
        <f t="shared" si="22"/>
        <v>#REF!</v>
      </c>
      <c r="CQ44" s="47" t="e">
        <f t="shared" si="22"/>
        <v>#REF!</v>
      </c>
      <c r="CR44" s="47">
        <f t="shared" si="22"/>
        <v>0</v>
      </c>
      <c r="CS44" s="47">
        <f t="shared" si="22"/>
        <v>0</v>
      </c>
      <c r="CT44" s="47">
        <f t="shared" si="22"/>
        <v>0</v>
      </c>
    </row>
    <row r="45" spans="1:98" ht="12.75" customHeight="1" x14ac:dyDescent="0.25">
      <c r="C45" s="17" t="s">
        <v>34</v>
      </c>
      <c r="D45" t="s">
        <v>27</v>
      </c>
      <c r="H45" s="9" t="s">
        <v>3</v>
      </c>
      <c r="J45" s="55"/>
      <c r="N45" s="25" t="e">
        <f>SUM(P45:CT45)</f>
        <v>#REF!</v>
      </c>
      <c r="P45" s="47" t="e">
        <f>P36</f>
        <v>#REF!</v>
      </c>
      <c r="Q45" s="47" t="e">
        <f t="shared" ref="Q45:CB45" si="23">Q36</f>
        <v>#REF!</v>
      </c>
      <c r="R45" s="47" t="e">
        <f t="shared" si="23"/>
        <v>#REF!</v>
      </c>
      <c r="S45" s="47" t="e">
        <f t="shared" si="23"/>
        <v>#REF!</v>
      </c>
      <c r="T45" s="47" t="e">
        <f t="shared" si="23"/>
        <v>#REF!</v>
      </c>
      <c r="U45" s="47" t="e">
        <f t="shared" si="23"/>
        <v>#REF!</v>
      </c>
      <c r="V45" s="47" t="e">
        <f t="shared" si="23"/>
        <v>#REF!</v>
      </c>
      <c r="W45" s="47" t="e">
        <f t="shared" si="23"/>
        <v>#REF!</v>
      </c>
      <c r="X45" s="47" t="e">
        <f t="shared" si="23"/>
        <v>#REF!</v>
      </c>
      <c r="Y45" s="47" t="e">
        <f t="shared" si="23"/>
        <v>#REF!</v>
      </c>
      <c r="Z45" s="47" t="e">
        <f t="shared" si="23"/>
        <v>#REF!</v>
      </c>
      <c r="AA45" s="47" t="e">
        <f t="shared" si="23"/>
        <v>#REF!</v>
      </c>
      <c r="AB45" s="47" t="e">
        <f t="shared" si="23"/>
        <v>#REF!</v>
      </c>
      <c r="AC45" s="47" t="e">
        <f t="shared" si="23"/>
        <v>#REF!</v>
      </c>
      <c r="AD45" s="47" t="e">
        <f t="shared" si="23"/>
        <v>#REF!</v>
      </c>
      <c r="AE45" s="47" t="e">
        <f t="shared" si="23"/>
        <v>#REF!</v>
      </c>
      <c r="AF45" s="47" t="e">
        <f t="shared" si="23"/>
        <v>#REF!</v>
      </c>
      <c r="AG45" s="47" t="e">
        <f t="shared" si="23"/>
        <v>#REF!</v>
      </c>
      <c r="AH45" s="47" t="e">
        <f t="shared" si="23"/>
        <v>#REF!</v>
      </c>
      <c r="AI45" s="47" t="e">
        <f t="shared" si="23"/>
        <v>#REF!</v>
      </c>
      <c r="AJ45" s="47" t="e">
        <f t="shared" si="23"/>
        <v>#REF!</v>
      </c>
      <c r="AK45" s="47" t="e">
        <f t="shared" si="23"/>
        <v>#REF!</v>
      </c>
      <c r="AL45" s="47" t="e">
        <f t="shared" si="23"/>
        <v>#REF!</v>
      </c>
      <c r="AM45" s="47" t="e">
        <f t="shared" si="23"/>
        <v>#REF!</v>
      </c>
      <c r="AN45" s="47" t="e">
        <f t="shared" si="23"/>
        <v>#REF!</v>
      </c>
      <c r="AO45" s="47" t="e">
        <f t="shared" si="23"/>
        <v>#REF!</v>
      </c>
      <c r="AP45" s="47" t="e">
        <f t="shared" si="23"/>
        <v>#REF!</v>
      </c>
      <c r="AQ45" s="47" t="e">
        <f t="shared" si="23"/>
        <v>#REF!</v>
      </c>
      <c r="AR45" s="47" t="e">
        <f t="shared" si="23"/>
        <v>#REF!</v>
      </c>
      <c r="AS45" s="47" t="e">
        <f t="shared" si="23"/>
        <v>#REF!</v>
      </c>
      <c r="AT45" s="47" t="e">
        <f t="shared" si="23"/>
        <v>#REF!</v>
      </c>
      <c r="AU45" s="47" t="e">
        <f t="shared" si="23"/>
        <v>#REF!</v>
      </c>
      <c r="AV45" s="47" t="e">
        <f t="shared" si="23"/>
        <v>#REF!</v>
      </c>
      <c r="AW45" s="47" t="e">
        <f t="shared" si="23"/>
        <v>#REF!</v>
      </c>
      <c r="AX45" s="47" t="e">
        <f t="shared" si="23"/>
        <v>#REF!</v>
      </c>
      <c r="AY45" s="47" t="e">
        <f t="shared" si="23"/>
        <v>#REF!</v>
      </c>
      <c r="AZ45" s="47" t="e">
        <f t="shared" si="23"/>
        <v>#REF!</v>
      </c>
      <c r="BA45" s="47" t="e">
        <f t="shared" si="23"/>
        <v>#REF!</v>
      </c>
      <c r="BB45" s="47" t="e">
        <f t="shared" si="23"/>
        <v>#REF!</v>
      </c>
      <c r="BC45" s="47" t="e">
        <f t="shared" si="23"/>
        <v>#REF!</v>
      </c>
      <c r="BD45" s="47" t="e">
        <f t="shared" si="23"/>
        <v>#REF!</v>
      </c>
      <c r="BE45" s="47" t="e">
        <f t="shared" si="23"/>
        <v>#REF!</v>
      </c>
      <c r="BF45" s="47" t="e">
        <f t="shared" si="23"/>
        <v>#REF!</v>
      </c>
      <c r="BG45" s="47" t="e">
        <f t="shared" si="23"/>
        <v>#REF!</v>
      </c>
      <c r="BH45" s="47" t="e">
        <f t="shared" si="23"/>
        <v>#REF!</v>
      </c>
      <c r="BI45" s="47" t="e">
        <f t="shared" si="23"/>
        <v>#REF!</v>
      </c>
      <c r="BJ45" s="47" t="e">
        <f t="shared" si="23"/>
        <v>#REF!</v>
      </c>
      <c r="BK45" s="47" t="e">
        <f t="shared" si="23"/>
        <v>#REF!</v>
      </c>
      <c r="BL45" s="47" t="e">
        <f t="shared" si="23"/>
        <v>#REF!</v>
      </c>
      <c r="BM45" s="47" t="e">
        <f t="shared" si="23"/>
        <v>#REF!</v>
      </c>
      <c r="BN45" s="47" t="e">
        <f t="shared" si="23"/>
        <v>#REF!</v>
      </c>
      <c r="BO45" s="47" t="e">
        <f t="shared" si="23"/>
        <v>#REF!</v>
      </c>
      <c r="BP45" s="47" t="e">
        <f t="shared" si="23"/>
        <v>#REF!</v>
      </c>
      <c r="BQ45" s="47" t="e">
        <f t="shared" si="23"/>
        <v>#REF!</v>
      </c>
      <c r="BR45" s="47" t="e">
        <f t="shared" si="23"/>
        <v>#REF!</v>
      </c>
      <c r="BS45" s="47" t="e">
        <f t="shared" si="23"/>
        <v>#REF!</v>
      </c>
      <c r="BT45" s="47" t="e">
        <f t="shared" si="23"/>
        <v>#REF!</v>
      </c>
      <c r="BU45" s="47" t="e">
        <f t="shared" si="23"/>
        <v>#REF!</v>
      </c>
      <c r="BV45" s="47" t="e">
        <f t="shared" si="23"/>
        <v>#REF!</v>
      </c>
      <c r="BW45" s="47" t="e">
        <f t="shared" si="23"/>
        <v>#REF!</v>
      </c>
      <c r="BX45" s="47" t="e">
        <f t="shared" si="23"/>
        <v>#REF!</v>
      </c>
      <c r="BY45" s="47" t="e">
        <f t="shared" si="23"/>
        <v>#REF!</v>
      </c>
      <c r="BZ45" s="47" t="e">
        <f t="shared" si="23"/>
        <v>#REF!</v>
      </c>
      <c r="CA45" s="47" t="e">
        <f t="shared" si="23"/>
        <v>#REF!</v>
      </c>
      <c r="CB45" s="47" t="e">
        <f t="shared" si="23"/>
        <v>#REF!</v>
      </c>
      <c r="CC45" s="47" t="e">
        <f t="shared" ref="CC45:CT45" si="24">CC36</f>
        <v>#REF!</v>
      </c>
      <c r="CD45" s="47" t="e">
        <f t="shared" si="24"/>
        <v>#REF!</v>
      </c>
      <c r="CE45" s="47" t="e">
        <f t="shared" si="24"/>
        <v>#REF!</v>
      </c>
      <c r="CF45" s="47" t="e">
        <f t="shared" si="24"/>
        <v>#REF!</v>
      </c>
      <c r="CG45" s="47" t="e">
        <f t="shared" si="24"/>
        <v>#REF!</v>
      </c>
      <c r="CH45" s="47" t="e">
        <f t="shared" si="24"/>
        <v>#REF!</v>
      </c>
      <c r="CI45" s="47" t="e">
        <f t="shared" si="24"/>
        <v>#REF!</v>
      </c>
      <c r="CJ45" s="47" t="e">
        <f t="shared" si="24"/>
        <v>#REF!</v>
      </c>
      <c r="CK45" s="47" t="e">
        <f t="shared" si="24"/>
        <v>#REF!</v>
      </c>
      <c r="CL45" s="47" t="e">
        <f t="shared" si="24"/>
        <v>#REF!</v>
      </c>
      <c r="CM45" s="47" t="e">
        <f t="shared" si="24"/>
        <v>#REF!</v>
      </c>
      <c r="CN45" s="47" t="e">
        <f t="shared" si="24"/>
        <v>#REF!</v>
      </c>
      <c r="CO45" s="47" t="e">
        <f t="shared" si="24"/>
        <v>#REF!</v>
      </c>
      <c r="CP45" s="47" t="e">
        <f t="shared" si="24"/>
        <v>#REF!</v>
      </c>
      <c r="CQ45" s="47" t="e">
        <f t="shared" si="24"/>
        <v>#REF!</v>
      </c>
      <c r="CR45" s="47">
        <f t="shared" si="24"/>
        <v>0</v>
      </c>
      <c r="CS45" s="47">
        <f t="shared" si="24"/>
        <v>0</v>
      </c>
      <c r="CT45" s="47">
        <f t="shared" si="24"/>
        <v>0</v>
      </c>
    </row>
    <row r="46" spans="1:98" ht="12.75" customHeight="1" x14ac:dyDescent="0.25">
      <c r="C46" s="17" t="s">
        <v>34</v>
      </c>
      <c r="D46" s="27" t="s">
        <v>28</v>
      </c>
      <c r="E46" s="27"/>
      <c r="F46" s="27"/>
      <c r="G46" s="27"/>
      <c r="H46" s="28" t="s">
        <v>3</v>
      </c>
      <c r="I46" s="27"/>
      <c r="J46" s="56"/>
      <c r="K46" s="27"/>
      <c r="L46" s="27"/>
      <c r="M46" s="27"/>
      <c r="N46" s="32">
        <f>SUM(P46:CT46)</f>
        <v>5807.9975845449517</v>
      </c>
      <c r="O46" s="27"/>
      <c r="P46" s="48">
        <f t="shared" ref="P46:CA46" si="25">P37</f>
        <v>0</v>
      </c>
      <c r="Q46" s="48">
        <f t="shared" si="25"/>
        <v>0</v>
      </c>
      <c r="R46" s="48">
        <f t="shared" si="25"/>
        <v>0</v>
      </c>
      <c r="S46" s="48">
        <f t="shared" si="25"/>
        <v>0</v>
      </c>
      <c r="T46" s="48">
        <f t="shared" si="25"/>
        <v>0</v>
      </c>
      <c r="U46" s="48">
        <f t="shared" si="25"/>
        <v>0</v>
      </c>
      <c r="V46" s="48">
        <f t="shared" si="25"/>
        <v>0</v>
      </c>
      <c r="W46" s="48">
        <f t="shared" si="25"/>
        <v>0</v>
      </c>
      <c r="X46" s="48">
        <f t="shared" si="25"/>
        <v>0</v>
      </c>
      <c r="Y46" s="48">
        <f t="shared" si="25"/>
        <v>0</v>
      </c>
      <c r="Z46" s="48">
        <f t="shared" si="25"/>
        <v>0</v>
      </c>
      <c r="AA46" s="48">
        <f t="shared" si="25"/>
        <v>0</v>
      </c>
      <c r="AB46" s="48">
        <f t="shared" si="25"/>
        <v>0</v>
      </c>
      <c r="AC46" s="48">
        <f t="shared" si="25"/>
        <v>0</v>
      </c>
      <c r="AD46" s="48">
        <f t="shared" si="25"/>
        <v>0</v>
      </c>
      <c r="AE46" s="48">
        <f t="shared" si="25"/>
        <v>5807.9975845449517</v>
      </c>
      <c r="AF46" s="48">
        <f t="shared" si="25"/>
        <v>0</v>
      </c>
      <c r="AG46" s="48">
        <f t="shared" si="25"/>
        <v>0</v>
      </c>
      <c r="AH46" s="48">
        <f t="shared" si="25"/>
        <v>0</v>
      </c>
      <c r="AI46" s="48">
        <f t="shared" si="25"/>
        <v>0</v>
      </c>
      <c r="AJ46" s="48">
        <f t="shared" si="25"/>
        <v>0</v>
      </c>
      <c r="AK46" s="48">
        <f t="shared" si="25"/>
        <v>0</v>
      </c>
      <c r="AL46" s="48">
        <f t="shared" si="25"/>
        <v>0</v>
      </c>
      <c r="AM46" s="48">
        <f t="shared" si="25"/>
        <v>0</v>
      </c>
      <c r="AN46" s="48">
        <f t="shared" si="25"/>
        <v>0</v>
      </c>
      <c r="AO46" s="48">
        <f t="shared" si="25"/>
        <v>0</v>
      </c>
      <c r="AP46" s="48">
        <f t="shared" si="25"/>
        <v>0</v>
      </c>
      <c r="AQ46" s="48">
        <f t="shared" si="25"/>
        <v>0</v>
      </c>
      <c r="AR46" s="48">
        <f t="shared" si="25"/>
        <v>0</v>
      </c>
      <c r="AS46" s="48">
        <f t="shared" si="25"/>
        <v>0</v>
      </c>
      <c r="AT46" s="48">
        <f t="shared" si="25"/>
        <v>0</v>
      </c>
      <c r="AU46" s="48">
        <f t="shared" si="25"/>
        <v>0</v>
      </c>
      <c r="AV46" s="48">
        <f t="shared" si="25"/>
        <v>0</v>
      </c>
      <c r="AW46" s="48">
        <f t="shared" si="25"/>
        <v>0</v>
      </c>
      <c r="AX46" s="48">
        <f t="shared" si="25"/>
        <v>0</v>
      </c>
      <c r="AY46" s="48">
        <f t="shared" si="25"/>
        <v>0</v>
      </c>
      <c r="AZ46" s="48">
        <f t="shared" si="25"/>
        <v>0</v>
      </c>
      <c r="BA46" s="48">
        <f t="shared" si="25"/>
        <v>0</v>
      </c>
      <c r="BB46" s="48">
        <f t="shared" si="25"/>
        <v>0</v>
      </c>
      <c r="BC46" s="48">
        <f t="shared" si="25"/>
        <v>0</v>
      </c>
      <c r="BD46" s="48">
        <f t="shared" si="25"/>
        <v>0</v>
      </c>
      <c r="BE46" s="48">
        <f t="shared" si="25"/>
        <v>0</v>
      </c>
      <c r="BF46" s="48">
        <f t="shared" si="25"/>
        <v>0</v>
      </c>
      <c r="BG46" s="48">
        <f t="shared" si="25"/>
        <v>0</v>
      </c>
      <c r="BH46" s="48">
        <f t="shared" si="25"/>
        <v>0</v>
      </c>
      <c r="BI46" s="48">
        <f t="shared" si="25"/>
        <v>0</v>
      </c>
      <c r="BJ46" s="48">
        <f t="shared" si="25"/>
        <v>0</v>
      </c>
      <c r="BK46" s="48">
        <f t="shared" si="25"/>
        <v>0</v>
      </c>
      <c r="BL46" s="48">
        <f t="shared" si="25"/>
        <v>0</v>
      </c>
      <c r="BM46" s="48">
        <f t="shared" si="25"/>
        <v>0</v>
      </c>
      <c r="BN46" s="48">
        <f t="shared" si="25"/>
        <v>0</v>
      </c>
      <c r="BO46" s="48">
        <f t="shared" si="25"/>
        <v>0</v>
      </c>
      <c r="BP46" s="48">
        <f t="shared" si="25"/>
        <v>0</v>
      </c>
      <c r="BQ46" s="48">
        <f t="shared" si="25"/>
        <v>0</v>
      </c>
      <c r="BR46" s="48">
        <f t="shared" si="25"/>
        <v>0</v>
      </c>
      <c r="BS46" s="48">
        <f t="shared" si="25"/>
        <v>0</v>
      </c>
      <c r="BT46" s="48">
        <f t="shared" si="25"/>
        <v>0</v>
      </c>
      <c r="BU46" s="48">
        <f t="shared" si="25"/>
        <v>0</v>
      </c>
      <c r="BV46" s="48">
        <f t="shared" si="25"/>
        <v>0</v>
      </c>
      <c r="BW46" s="48">
        <f t="shared" si="25"/>
        <v>0</v>
      </c>
      <c r="BX46" s="48">
        <f t="shared" si="25"/>
        <v>0</v>
      </c>
      <c r="BY46" s="48">
        <f t="shared" si="25"/>
        <v>0</v>
      </c>
      <c r="BZ46" s="48">
        <f t="shared" si="25"/>
        <v>0</v>
      </c>
      <c r="CA46" s="48">
        <f t="shared" si="25"/>
        <v>0</v>
      </c>
      <c r="CB46" s="48">
        <f t="shared" ref="CB46:CT46" si="26">CB37</f>
        <v>0</v>
      </c>
      <c r="CC46" s="48">
        <f t="shared" si="26"/>
        <v>0</v>
      </c>
      <c r="CD46" s="48">
        <f t="shared" si="26"/>
        <v>0</v>
      </c>
      <c r="CE46" s="48">
        <f t="shared" si="26"/>
        <v>0</v>
      </c>
      <c r="CF46" s="48">
        <f t="shared" si="26"/>
        <v>0</v>
      </c>
      <c r="CG46" s="48">
        <f t="shared" si="26"/>
        <v>0</v>
      </c>
      <c r="CH46" s="48">
        <f t="shared" si="26"/>
        <v>0</v>
      </c>
      <c r="CI46" s="48">
        <f t="shared" si="26"/>
        <v>0</v>
      </c>
      <c r="CJ46" s="48">
        <f t="shared" si="26"/>
        <v>0</v>
      </c>
      <c r="CK46" s="48">
        <f t="shared" si="26"/>
        <v>0</v>
      </c>
      <c r="CL46" s="48">
        <f t="shared" si="26"/>
        <v>0</v>
      </c>
      <c r="CM46" s="48">
        <f t="shared" si="26"/>
        <v>0</v>
      </c>
      <c r="CN46" s="48">
        <f t="shared" si="26"/>
        <v>0</v>
      </c>
      <c r="CO46" s="48">
        <f t="shared" si="26"/>
        <v>0</v>
      </c>
      <c r="CP46" s="48">
        <f t="shared" si="26"/>
        <v>0</v>
      </c>
      <c r="CQ46" s="48">
        <f t="shared" si="26"/>
        <v>0</v>
      </c>
      <c r="CR46" s="48">
        <f t="shared" si="26"/>
        <v>0</v>
      </c>
      <c r="CS46" s="48">
        <f t="shared" si="26"/>
        <v>0</v>
      </c>
      <c r="CT46" s="48">
        <f t="shared" si="26"/>
        <v>0</v>
      </c>
    </row>
    <row r="47" spans="1:98" ht="12.75" customHeight="1" x14ac:dyDescent="0.25">
      <c r="A47" s="41"/>
      <c r="B47" s="41"/>
      <c r="C47" s="43"/>
      <c r="D47" s="41"/>
      <c r="E47" s="41"/>
      <c r="F47" s="41"/>
      <c r="G47" s="41"/>
      <c r="H47" s="9" t="s">
        <v>3</v>
      </c>
      <c r="J47" s="55"/>
      <c r="N47" s="35" t="e">
        <f>SUM(P47:CT47)</f>
        <v>#REF!</v>
      </c>
      <c r="O47" s="41"/>
      <c r="P47" s="49" t="e">
        <f>-P44+P45+P46</f>
        <v>#REF!</v>
      </c>
      <c r="Q47" s="49" t="e">
        <f t="shared" ref="Q47:CB47" si="27">-Q44+Q45+Q46</f>
        <v>#REF!</v>
      </c>
      <c r="R47" s="49" t="e">
        <f t="shared" si="27"/>
        <v>#REF!</v>
      </c>
      <c r="S47" s="49" t="e">
        <f t="shared" si="27"/>
        <v>#REF!</v>
      </c>
      <c r="T47" s="49" t="e">
        <f t="shared" si="27"/>
        <v>#REF!</v>
      </c>
      <c r="U47" s="49" t="e">
        <f t="shared" si="27"/>
        <v>#REF!</v>
      </c>
      <c r="V47" s="49" t="e">
        <f t="shared" si="27"/>
        <v>#REF!</v>
      </c>
      <c r="W47" s="49" t="e">
        <f t="shared" si="27"/>
        <v>#REF!</v>
      </c>
      <c r="X47" s="49" t="e">
        <f t="shared" si="27"/>
        <v>#REF!</v>
      </c>
      <c r="Y47" s="49" t="e">
        <f t="shared" si="27"/>
        <v>#REF!</v>
      </c>
      <c r="Z47" s="49" t="e">
        <f t="shared" si="27"/>
        <v>#REF!</v>
      </c>
      <c r="AA47" s="49" t="e">
        <f t="shared" si="27"/>
        <v>#REF!</v>
      </c>
      <c r="AB47" s="49" t="e">
        <f t="shared" si="27"/>
        <v>#REF!</v>
      </c>
      <c r="AC47" s="49" t="e">
        <f t="shared" si="27"/>
        <v>#REF!</v>
      </c>
      <c r="AD47" s="49" t="e">
        <f t="shared" si="27"/>
        <v>#REF!</v>
      </c>
      <c r="AE47" s="49" t="e">
        <f t="shared" si="27"/>
        <v>#REF!</v>
      </c>
      <c r="AF47" s="49" t="e">
        <f t="shared" si="27"/>
        <v>#REF!</v>
      </c>
      <c r="AG47" s="49" t="e">
        <f t="shared" si="27"/>
        <v>#REF!</v>
      </c>
      <c r="AH47" s="49" t="e">
        <f t="shared" si="27"/>
        <v>#REF!</v>
      </c>
      <c r="AI47" s="49" t="e">
        <f t="shared" si="27"/>
        <v>#REF!</v>
      </c>
      <c r="AJ47" s="49" t="e">
        <f t="shared" si="27"/>
        <v>#REF!</v>
      </c>
      <c r="AK47" s="49" t="e">
        <f t="shared" si="27"/>
        <v>#REF!</v>
      </c>
      <c r="AL47" s="49" t="e">
        <f t="shared" si="27"/>
        <v>#REF!</v>
      </c>
      <c r="AM47" s="49" t="e">
        <f t="shared" si="27"/>
        <v>#REF!</v>
      </c>
      <c r="AN47" s="49" t="e">
        <f t="shared" si="27"/>
        <v>#REF!</v>
      </c>
      <c r="AO47" s="49" t="e">
        <f t="shared" si="27"/>
        <v>#REF!</v>
      </c>
      <c r="AP47" s="49" t="e">
        <f t="shared" si="27"/>
        <v>#REF!</v>
      </c>
      <c r="AQ47" s="49" t="e">
        <f t="shared" si="27"/>
        <v>#REF!</v>
      </c>
      <c r="AR47" s="49" t="e">
        <f t="shared" si="27"/>
        <v>#REF!</v>
      </c>
      <c r="AS47" s="49" t="e">
        <f t="shared" si="27"/>
        <v>#REF!</v>
      </c>
      <c r="AT47" s="49" t="e">
        <f t="shared" si="27"/>
        <v>#REF!</v>
      </c>
      <c r="AU47" s="49" t="e">
        <f t="shared" si="27"/>
        <v>#REF!</v>
      </c>
      <c r="AV47" s="49" t="e">
        <f t="shared" si="27"/>
        <v>#REF!</v>
      </c>
      <c r="AW47" s="49" t="e">
        <f t="shared" si="27"/>
        <v>#REF!</v>
      </c>
      <c r="AX47" s="49" t="e">
        <f t="shared" si="27"/>
        <v>#REF!</v>
      </c>
      <c r="AY47" s="49" t="e">
        <f t="shared" si="27"/>
        <v>#REF!</v>
      </c>
      <c r="AZ47" s="49" t="e">
        <f t="shared" si="27"/>
        <v>#REF!</v>
      </c>
      <c r="BA47" s="49" t="e">
        <f t="shared" si="27"/>
        <v>#REF!</v>
      </c>
      <c r="BB47" s="49" t="e">
        <f t="shared" si="27"/>
        <v>#REF!</v>
      </c>
      <c r="BC47" s="49" t="e">
        <f t="shared" si="27"/>
        <v>#REF!</v>
      </c>
      <c r="BD47" s="49" t="e">
        <f t="shared" si="27"/>
        <v>#REF!</v>
      </c>
      <c r="BE47" s="49" t="e">
        <f t="shared" si="27"/>
        <v>#REF!</v>
      </c>
      <c r="BF47" s="49" t="e">
        <f t="shared" si="27"/>
        <v>#REF!</v>
      </c>
      <c r="BG47" s="49" t="e">
        <f t="shared" si="27"/>
        <v>#REF!</v>
      </c>
      <c r="BH47" s="49" t="e">
        <f t="shared" si="27"/>
        <v>#REF!</v>
      </c>
      <c r="BI47" s="49" t="e">
        <f t="shared" si="27"/>
        <v>#REF!</v>
      </c>
      <c r="BJ47" s="49" t="e">
        <f t="shared" si="27"/>
        <v>#REF!</v>
      </c>
      <c r="BK47" s="49" t="e">
        <f t="shared" si="27"/>
        <v>#REF!</v>
      </c>
      <c r="BL47" s="49" t="e">
        <f t="shared" si="27"/>
        <v>#REF!</v>
      </c>
      <c r="BM47" s="49" t="e">
        <f t="shared" si="27"/>
        <v>#REF!</v>
      </c>
      <c r="BN47" s="49" t="e">
        <f t="shared" si="27"/>
        <v>#REF!</v>
      </c>
      <c r="BO47" s="49" t="e">
        <f t="shared" si="27"/>
        <v>#REF!</v>
      </c>
      <c r="BP47" s="49" t="e">
        <f t="shared" si="27"/>
        <v>#REF!</v>
      </c>
      <c r="BQ47" s="49" t="e">
        <f t="shared" si="27"/>
        <v>#REF!</v>
      </c>
      <c r="BR47" s="49" t="e">
        <f t="shared" si="27"/>
        <v>#REF!</v>
      </c>
      <c r="BS47" s="49" t="e">
        <f t="shared" si="27"/>
        <v>#REF!</v>
      </c>
      <c r="BT47" s="49" t="e">
        <f t="shared" si="27"/>
        <v>#REF!</v>
      </c>
      <c r="BU47" s="49" t="e">
        <f t="shared" si="27"/>
        <v>#REF!</v>
      </c>
      <c r="BV47" s="49" t="e">
        <f t="shared" si="27"/>
        <v>#REF!</v>
      </c>
      <c r="BW47" s="49" t="e">
        <f t="shared" si="27"/>
        <v>#REF!</v>
      </c>
      <c r="BX47" s="49" t="e">
        <f t="shared" si="27"/>
        <v>#REF!</v>
      </c>
      <c r="BY47" s="49" t="e">
        <f t="shared" si="27"/>
        <v>#REF!</v>
      </c>
      <c r="BZ47" s="49" t="e">
        <f t="shared" si="27"/>
        <v>#REF!</v>
      </c>
      <c r="CA47" s="49" t="e">
        <f t="shared" si="27"/>
        <v>#REF!</v>
      </c>
      <c r="CB47" s="49" t="e">
        <f t="shared" si="27"/>
        <v>#REF!</v>
      </c>
      <c r="CC47" s="49" t="e">
        <f t="shared" ref="CC47:CT47" si="28">-CC44+CC45+CC46</f>
        <v>#REF!</v>
      </c>
      <c r="CD47" s="49" t="e">
        <f t="shared" si="28"/>
        <v>#REF!</v>
      </c>
      <c r="CE47" s="49" t="e">
        <f t="shared" si="28"/>
        <v>#REF!</v>
      </c>
      <c r="CF47" s="49" t="e">
        <f t="shared" si="28"/>
        <v>#REF!</v>
      </c>
      <c r="CG47" s="49" t="e">
        <f t="shared" si="28"/>
        <v>#REF!</v>
      </c>
      <c r="CH47" s="49" t="e">
        <f t="shared" si="28"/>
        <v>#REF!</v>
      </c>
      <c r="CI47" s="49" t="e">
        <f t="shared" si="28"/>
        <v>#REF!</v>
      </c>
      <c r="CJ47" s="49" t="e">
        <f t="shared" si="28"/>
        <v>#REF!</v>
      </c>
      <c r="CK47" s="49" t="e">
        <f t="shared" si="28"/>
        <v>#REF!</v>
      </c>
      <c r="CL47" s="49" t="e">
        <f t="shared" si="28"/>
        <v>#REF!</v>
      </c>
      <c r="CM47" s="49" t="e">
        <f t="shared" si="28"/>
        <v>#REF!</v>
      </c>
      <c r="CN47" s="49" t="e">
        <f t="shared" si="28"/>
        <v>#REF!</v>
      </c>
      <c r="CO47" s="49" t="e">
        <f t="shared" si="28"/>
        <v>#REF!</v>
      </c>
      <c r="CP47" s="49" t="e">
        <f t="shared" si="28"/>
        <v>#REF!</v>
      </c>
      <c r="CQ47" s="49" t="e">
        <f t="shared" si="28"/>
        <v>#REF!</v>
      </c>
      <c r="CR47" s="49">
        <f t="shared" si="28"/>
        <v>0</v>
      </c>
      <c r="CS47" s="49">
        <f t="shared" si="28"/>
        <v>0</v>
      </c>
      <c r="CT47" s="49">
        <f t="shared" si="28"/>
        <v>0</v>
      </c>
    </row>
    <row r="48" spans="1:98" ht="12.75" customHeight="1" x14ac:dyDescent="0.25">
      <c r="A48" s="57"/>
      <c r="B48" s="58"/>
      <c r="C48" s="238"/>
      <c r="D48" s="58"/>
      <c r="E48" s="58"/>
      <c r="F48" s="58"/>
      <c r="G48" s="58"/>
      <c r="H48" s="59"/>
      <c r="I48" s="58"/>
      <c r="J48" s="60"/>
      <c r="K48" s="58"/>
      <c r="L48" s="58"/>
      <c r="M48" s="58"/>
      <c r="N48" s="61"/>
      <c r="O48" s="58"/>
      <c r="P48" s="57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</row>
    <row r="49" spans="1:98" ht="12.75" customHeight="1" x14ac:dyDescent="0.25">
      <c r="C49" s="184" t="s">
        <v>5</v>
      </c>
      <c r="H49" s="9" t="s">
        <v>6</v>
      </c>
      <c r="J49" s="62">
        <f>SUMPRODUCT(P49:CT49,P14:CT14)</f>
        <v>0</v>
      </c>
      <c r="N49" s="10"/>
      <c r="P49" s="63">
        <f>IFERROR(IRR(P47:$CT47)*P14,0)</f>
        <v>0</v>
      </c>
      <c r="Q49" s="63">
        <f>IFERROR(IRR(Q47:$CT47)*Q14,0)</f>
        <v>0</v>
      </c>
      <c r="R49" s="63">
        <f>IFERROR(IRR(R47:$CT47)*R14,0)</f>
        <v>0</v>
      </c>
      <c r="S49" s="63">
        <f>IFERROR(IRR(S47:$CT47)*S14,0)</f>
        <v>0</v>
      </c>
      <c r="T49" s="55">
        <f>IFERROR(IRR(T47:$CT47)*T14,0)</f>
        <v>0</v>
      </c>
      <c r="U49" s="63">
        <f>IFERROR(IRR(U47:$CT47)*U14,0)</f>
        <v>0</v>
      </c>
      <c r="V49" s="63">
        <f>IFERROR(IRR(V47:$CT47)*V14,0)</f>
        <v>0</v>
      </c>
      <c r="W49" s="63">
        <f>IFERROR(IRR(W47:$CT47)*W14,0)</f>
        <v>0</v>
      </c>
      <c r="X49" s="63">
        <f>IFERROR(IRR(X47:$CT47)*X14,0)</f>
        <v>0</v>
      </c>
      <c r="Y49" s="63">
        <f>IFERROR(IRR(Y47:$CT47)*Y14,0)</f>
        <v>0</v>
      </c>
      <c r="Z49" s="63">
        <f>IFERROR(IRR(Z47:$CT47)*Z14,0)</f>
        <v>0</v>
      </c>
      <c r="AA49" s="63">
        <f>IFERROR(IRR(AA47:$CT47)*AA14,0)</f>
        <v>0</v>
      </c>
      <c r="AB49" s="63">
        <f>IFERROR(IRR(AB47:$CT47)*AB14,0)</f>
        <v>0</v>
      </c>
      <c r="AC49" s="63">
        <f>IFERROR(IRR(AC47:$CT47)*AC14,0)</f>
        <v>0</v>
      </c>
      <c r="AD49" s="63">
        <f>IFERROR(IRR(AD47:$CT47)*AD14,0)</f>
        <v>0</v>
      </c>
      <c r="AE49" s="63">
        <f>IFERROR(IRR(AE47:$CT47)*AE14,0)</f>
        <v>0</v>
      </c>
      <c r="AF49" s="63">
        <f>IFERROR(IRR(AF47:$CT47)*AF14,0)</f>
        <v>0</v>
      </c>
      <c r="AG49" s="63">
        <f>IFERROR(IRR(AG47:$CT47)*AG14,0)</f>
        <v>0</v>
      </c>
      <c r="AH49" s="63">
        <f>IFERROR(IRR(AH47:$CT47)*AH14,0)</f>
        <v>0</v>
      </c>
      <c r="AI49" s="63">
        <f>IFERROR(IRR(AI47:$CT47)*AI14,0)</f>
        <v>0</v>
      </c>
      <c r="AJ49" s="63">
        <f>IFERROR(IRR(AJ47:$CT47)*AJ14,0)</f>
        <v>0</v>
      </c>
      <c r="AK49" s="63">
        <f>IFERROR(IRR(AK47:$CT47)*AK14,0)</f>
        <v>0</v>
      </c>
      <c r="AL49" s="63">
        <f>IFERROR(IRR(AL47:$CT47)*AL14,0)</f>
        <v>0</v>
      </c>
      <c r="AM49" s="63">
        <f>IFERROR(IRR(AM47:$CT47)*AM14,0)</f>
        <v>0</v>
      </c>
      <c r="AN49" s="63">
        <f>IFERROR(IRR(AN47:$CT47)*AN14,0)</f>
        <v>0</v>
      </c>
      <c r="AO49" s="63">
        <f>IFERROR(IRR(AO47:$CT47)*AO14,0)</f>
        <v>0</v>
      </c>
      <c r="AP49" s="63">
        <f>IFERROR(IRR(AP47:$CT47)*AP14,0)</f>
        <v>0</v>
      </c>
      <c r="AQ49" s="63">
        <f>IFERROR(IRR(AQ47:$CT47)*AQ14,0)</f>
        <v>0</v>
      </c>
      <c r="AR49" s="63">
        <f>IFERROR(IRR(AR47:$CT47)*AR14,0)</f>
        <v>0</v>
      </c>
      <c r="AS49" s="63">
        <f>IFERROR(IRR(AS47:$CT47)*AS14,0)</f>
        <v>0</v>
      </c>
      <c r="AT49" s="63">
        <f>IFERROR(IRR(AT47:$CT47)*AT14,0)</f>
        <v>0</v>
      </c>
      <c r="AU49" s="63">
        <f>IFERROR(IRR(AU47:$CT47)*AU14,0)</f>
        <v>0</v>
      </c>
      <c r="AV49" s="63">
        <f>IFERROR(IRR(AV47:$CT47)*AV14,0)</f>
        <v>0</v>
      </c>
      <c r="AW49" s="63">
        <f>IFERROR(IRR(AW47:$CT47)*AW14,0)</f>
        <v>0</v>
      </c>
      <c r="AX49" s="63">
        <f>IFERROR(IRR(AX47:$CT47)*AX14,0)</f>
        <v>0</v>
      </c>
      <c r="AY49" s="63">
        <f>IFERROR(IRR(AY47:$CT47)*AY14,0)</f>
        <v>0</v>
      </c>
      <c r="AZ49" s="63">
        <f>IFERROR(IRR(AZ47:$CT47)*AZ14,0)</f>
        <v>0</v>
      </c>
      <c r="BA49" s="63">
        <f>IFERROR(IRR(BA47:$CT47)*BA14,0)</f>
        <v>0</v>
      </c>
      <c r="BB49" s="63">
        <f>IFERROR(IRR(BB47:$CT47)*BB14,0)</f>
        <v>0</v>
      </c>
      <c r="BC49" s="63">
        <f>IFERROR(IRR(BC47:$CT47)*BC14,0)</f>
        <v>0</v>
      </c>
      <c r="BD49" s="63">
        <f>IFERROR(IRR(BD47:$CT47)*BD14,0)</f>
        <v>0</v>
      </c>
      <c r="BE49" s="63">
        <f>IFERROR(IRR(BE47:$CT47)*BE14,0)</f>
        <v>0</v>
      </c>
      <c r="BF49" s="63">
        <f>IFERROR(IRR(BF47:$CT47)*BF14,0)</f>
        <v>0</v>
      </c>
      <c r="BG49" s="63">
        <f>IFERROR(IRR(BG47:$CT47)*BG14,0)</f>
        <v>0</v>
      </c>
      <c r="BH49" s="63">
        <f>IFERROR(IRR(BH47:$CT47)*BH14,0)</f>
        <v>0</v>
      </c>
      <c r="BI49" s="63">
        <f>IFERROR(IRR(BI47:$CT47)*BI14,0)</f>
        <v>0</v>
      </c>
      <c r="BJ49" s="63">
        <f>IFERROR(IRR(BJ47:$CT47)*BJ14,0)</f>
        <v>0</v>
      </c>
      <c r="BK49" s="63">
        <f>IFERROR(IRR(BK47:$CT47)*BK14,0)</f>
        <v>0</v>
      </c>
      <c r="BL49" s="63">
        <f>IFERROR(IRR(BL47:$CT47)*BL14,0)</f>
        <v>0</v>
      </c>
      <c r="BM49" s="63">
        <f>IFERROR(IRR(BM47:$CT47)*BM14,0)</f>
        <v>0</v>
      </c>
      <c r="BN49" s="63">
        <f>IFERROR(IRR(BN47:$CT47)*BN14,0)</f>
        <v>0</v>
      </c>
      <c r="BO49" s="63">
        <f>IFERROR(IRR(BO47:$CT47)*BO14,0)</f>
        <v>0</v>
      </c>
      <c r="BP49" s="63">
        <f>IFERROR(IRR(BP47:$CT47)*BP14,0)</f>
        <v>0</v>
      </c>
      <c r="BQ49" s="63">
        <f>IFERROR(IRR(BQ47:$CT47)*BQ14,0)</f>
        <v>0</v>
      </c>
      <c r="BR49" s="63">
        <f>IFERROR(IRR(BR47:$CT47)*BR14,0)</f>
        <v>0</v>
      </c>
      <c r="BS49" s="63">
        <f>IFERROR(IRR(BS47:$CT47)*BS14,0)</f>
        <v>0</v>
      </c>
      <c r="BT49" s="63">
        <f>IFERROR(IRR(BT47:$CT47)*BT14,0)</f>
        <v>0</v>
      </c>
      <c r="BU49" s="63">
        <f>IFERROR(IRR(BU47:$CT47)*BU14,0)</f>
        <v>0</v>
      </c>
      <c r="BV49" s="63">
        <f>IFERROR(IRR(BV47:$CT47)*BV14,0)</f>
        <v>0</v>
      </c>
      <c r="BW49" s="63">
        <f>IFERROR(IRR(BW47:$CT47)*BW14,0)</f>
        <v>0</v>
      </c>
      <c r="BX49" s="63">
        <f>IFERROR(IRR(BX47:$CT47)*BX14,0)</f>
        <v>0</v>
      </c>
      <c r="BY49" s="63">
        <f>IFERROR(IRR(BY47:$CT47)*BY14,0)</f>
        <v>0</v>
      </c>
      <c r="BZ49" s="63">
        <f>IFERROR(IRR(BZ47:$CT47)*BZ14,0)</f>
        <v>0</v>
      </c>
      <c r="CA49" s="63">
        <f>IFERROR(IRR(CA47:$CT47)*CA14,0)</f>
        <v>0</v>
      </c>
      <c r="CB49" s="63">
        <f>IFERROR(IRR(CB47:$CT47)*CB14,0)</f>
        <v>0</v>
      </c>
      <c r="CC49" s="63">
        <f>IFERROR(IRR(CC47:$CT47)*CC14,0)</f>
        <v>0</v>
      </c>
      <c r="CD49" s="63">
        <f>IFERROR(IRR(CD47:$CT47)*CD14,0)</f>
        <v>0</v>
      </c>
      <c r="CE49" s="63">
        <f>IFERROR(IRR(CE47:$CT47)*CE14,0)</f>
        <v>0</v>
      </c>
      <c r="CF49" s="63">
        <f>IFERROR(IRR(CF47:$CT47)*CF14,0)</f>
        <v>0</v>
      </c>
      <c r="CG49" s="63">
        <f>IFERROR(IRR(CG47:$CT47)*CG14,0)</f>
        <v>0</v>
      </c>
      <c r="CH49" s="63">
        <f>IFERROR(IRR(CH47:$CT47)*CH14,0)</f>
        <v>0</v>
      </c>
      <c r="CI49" s="63">
        <f>IFERROR(IRR(CI47:$CT47)*CI14,0)</f>
        <v>0</v>
      </c>
      <c r="CJ49" s="63">
        <f>IFERROR(IRR(CJ47:$CT47)*CJ14,0)</f>
        <v>0</v>
      </c>
      <c r="CK49" s="63">
        <f>IFERROR(IRR(CK47:$CT47)*CK14,0)</f>
        <v>0</v>
      </c>
      <c r="CL49" s="63">
        <f>IFERROR(IRR(CL47:$CT47)*CL14,0)</f>
        <v>0</v>
      </c>
      <c r="CM49" s="63">
        <f>IFERROR(IRR(CM47:$CT47)*CM14,0)</f>
        <v>0</v>
      </c>
      <c r="CN49" s="63">
        <f>IFERROR(IRR(CN47:$CT47)*CN14,0)</f>
        <v>0</v>
      </c>
      <c r="CO49" s="63">
        <f>IFERROR(IRR(CO47:$CT47)*CO14,0)</f>
        <v>0</v>
      </c>
      <c r="CP49" s="63">
        <f>IFERROR(IRR(CP47:$CT47)*CP14,0)</f>
        <v>0</v>
      </c>
      <c r="CQ49" s="63">
        <f>IFERROR(IRR(CQ47:$CT47)*CQ14,0)</f>
        <v>0</v>
      </c>
      <c r="CR49" s="63">
        <f>IFERROR(IRR(CR47:$CT47)*CR14,0)</f>
        <v>0</v>
      </c>
      <c r="CS49" s="63">
        <f>IFERROR(IRR(CS47:$CT47)*CS14,0)</f>
        <v>0</v>
      </c>
      <c r="CT49" s="63">
        <f>IFERROR(IRR(CT47:$CT47)*CT14,0)</f>
        <v>0</v>
      </c>
    </row>
    <row r="50" spans="1:98" ht="12.75" customHeight="1" x14ac:dyDescent="0.25">
      <c r="H50" s="9"/>
      <c r="J50" s="64"/>
      <c r="N50" s="10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</row>
    <row r="51" spans="1:98" ht="12.75" customHeight="1" x14ac:dyDescent="0.25">
      <c r="A51" s="5" t="s">
        <v>28</v>
      </c>
      <c r="B51" s="5"/>
      <c r="C51" s="6"/>
      <c r="D51" s="5"/>
      <c r="E51" s="5"/>
      <c r="F51" s="5"/>
      <c r="G51" s="5"/>
      <c r="H51" s="7"/>
      <c r="I51" s="8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</row>
    <row r="52" spans="1:98" ht="12.75" customHeight="1" x14ac:dyDescent="0.25">
      <c r="H52" s="9"/>
      <c r="N52" s="10"/>
    </row>
    <row r="53" spans="1:98" ht="12.75" customHeight="1" x14ac:dyDescent="0.25">
      <c r="B53" s="21" t="s">
        <v>35</v>
      </c>
      <c r="H53" s="9"/>
      <c r="N53" s="10"/>
    </row>
    <row r="54" spans="1:98" ht="12.75" customHeight="1" x14ac:dyDescent="0.25">
      <c r="H54" s="9"/>
      <c r="N54" s="10"/>
    </row>
    <row r="55" spans="1:98" ht="12.75" customHeight="1" x14ac:dyDescent="0.25">
      <c r="C55" s="184" t="s">
        <v>36</v>
      </c>
      <c r="D55" s="40"/>
      <c r="E55" s="65"/>
      <c r="G55" s="66"/>
      <c r="H55" s="67" t="s">
        <v>13</v>
      </c>
      <c r="N55" s="12">
        <f t="shared" ref="N55:N61" si="29">SUM(P55:CT55)</f>
        <v>39</v>
      </c>
      <c r="P55" s="68">
        <f>Timing!R60</f>
        <v>0</v>
      </c>
      <c r="Q55" s="68">
        <f>Timing!S60</f>
        <v>0</v>
      </c>
      <c r="R55" s="68">
        <f>Timing!T60</f>
        <v>0</v>
      </c>
      <c r="S55" s="68">
        <f>Timing!U60</f>
        <v>0</v>
      </c>
      <c r="T55" s="68">
        <f>Timing!V60</f>
        <v>0</v>
      </c>
      <c r="U55" s="68">
        <f>Timing!W60</f>
        <v>0</v>
      </c>
      <c r="V55" s="68">
        <f>Timing!X60</f>
        <v>0</v>
      </c>
      <c r="W55" s="68">
        <f>Timing!Y60</f>
        <v>0</v>
      </c>
      <c r="X55" s="68">
        <f>Timing!Z60</f>
        <v>0</v>
      </c>
      <c r="Y55" s="68">
        <f>Timing!AA60</f>
        <v>0</v>
      </c>
      <c r="Z55" s="68">
        <f>Timing!AB60</f>
        <v>0</v>
      </c>
      <c r="AA55" s="68">
        <f>Timing!AC60</f>
        <v>0</v>
      </c>
      <c r="AB55" s="68">
        <f>Timing!AD60</f>
        <v>0</v>
      </c>
      <c r="AC55" s="68">
        <f>Timing!AE60</f>
        <v>0</v>
      </c>
      <c r="AD55" s="68">
        <f>Timing!AF60</f>
        <v>0</v>
      </c>
      <c r="AE55" s="68">
        <f>Timing!AG60</f>
        <v>1</v>
      </c>
      <c r="AF55" s="68">
        <f>Timing!AH60</f>
        <v>1</v>
      </c>
      <c r="AG55" s="68">
        <f>Timing!AI60</f>
        <v>1</v>
      </c>
      <c r="AH55" s="68">
        <f>Timing!AJ60</f>
        <v>1</v>
      </c>
      <c r="AI55" s="68">
        <f>Timing!AK60</f>
        <v>1</v>
      </c>
      <c r="AJ55" s="68">
        <f>Timing!AL60</f>
        <v>1</v>
      </c>
      <c r="AK55" s="68">
        <f>Timing!AM60</f>
        <v>1</v>
      </c>
      <c r="AL55" s="68">
        <f>Timing!AN60</f>
        <v>1</v>
      </c>
      <c r="AM55" s="68">
        <f>Timing!AO60</f>
        <v>1</v>
      </c>
      <c r="AN55" s="68">
        <f>Timing!AP60</f>
        <v>1</v>
      </c>
      <c r="AO55" s="68">
        <f>Timing!AQ60</f>
        <v>1</v>
      </c>
      <c r="AP55" s="68">
        <f>Timing!AR60</f>
        <v>1</v>
      </c>
      <c r="AQ55" s="68">
        <f>Timing!AS60</f>
        <v>1</v>
      </c>
      <c r="AR55" s="68">
        <f>Timing!AT60</f>
        <v>1</v>
      </c>
      <c r="AS55" s="68">
        <f>Timing!AU60</f>
        <v>1</v>
      </c>
      <c r="AT55" s="68">
        <f>Timing!AV60</f>
        <v>1</v>
      </c>
      <c r="AU55" s="68">
        <f>Timing!AW60</f>
        <v>1</v>
      </c>
      <c r="AV55" s="68">
        <f>Timing!AX60</f>
        <v>1</v>
      </c>
      <c r="AW55" s="68">
        <f>Timing!AY60</f>
        <v>1</v>
      </c>
      <c r="AX55" s="68">
        <f>Timing!AZ60</f>
        <v>1</v>
      </c>
      <c r="AY55" s="68">
        <f>Timing!BA60</f>
        <v>1</v>
      </c>
      <c r="AZ55" s="68">
        <f>Timing!BB60</f>
        <v>1</v>
      </c>
      <c r="BA55" s="68">
        <f>Timing!BC60</f>
        <v>1</v>
      </c>
      <c r="BB55" s="68">
        <f>Timing!BD60</f>
        <v>1</v>
      </c>
      <c r="BC55" s="68">
        <f>Timing!BE60</f>
        <v>1</v>
      </c>
      <c r="BD55" s="68">
        <f>Timing!BF60</f>
        <v>1</v>
      </c>
      <c r="BE55" s="68">
        <f>Timing!BG60</f>
        <v>1</v>
      </c>
      <c r="BF55" s="68">
        <f>Timing!BH60</f>
        <v>1</v>
      </c>
      <c r="BG55" s="68">
        <f>Timing!BI60</f>
        <v>1</v>
      </c>
      <c r="BH55" s="68">
        <f>Timing!BJ60</f>
        <v>1</v>
      </c>
      <c r="BI55" s="68">
        <f>Timing!BK60</f>
        <v>1</v>
      </c>
      <c r="BJ55" s="68">
        <f>Timing!BL60</f>
        <v>1</v>
      </c>
      <c r="BK55" s="68">
        <f>Timing!BM60</f>
        <v>1</v>
      </c>
      <c r="BL55" s="68">
        <f>Timing!BN60</f>
        <v>1</v>
      </c>
      <c r="BM55" s="68">
        <f>Timing!BO60</f>
        <v>1</v>
      </c>
      <c r="BN55" s="68">
        <f>Timing!BP60</f>
        <v>1</v>
      </c>
      <c r="BO55" s="68">
        <f>Timing!BQ60</f>
        <v>1</v>
      </c>
      <c r="BP55" s="68">
        <f>Timing!BR60</f>
        <v>1</v>
      </c>
      <c r="BQ55" s="68">
        <f>Timing!BS60</f>
        <v>1</v>
      </c>
      <c r="BR55" s="68">
        <f>Timing!BT60</f>
        <v>0</v>
      </c>
      <c r="BS55" s="68">
        <f>Timing!BU60</f>
        <v>0</v>
      </c>
      <c r="BT55" s="68">
        <f>Timing!BV60</f>
        <v>0</v>
      </c>
      <c r="BU55" s="68">
        <f>Timing!BW60</f>
        <v>0</v>
      </c>
      <c r="BV55" s="68">
        <f>Timing!BX60</f>
        <v>0</v>
      </c>
      <c r="BW55" s="68">
        <f>Timing!BY60</f>
        <v>0</v>
      </c>
      <c r="BX55" s="68">
        <f>Timing!BZ60</f>
        <v>0</v>
      </c>
      <c r="BY55" s="68">
        <f>Timing!CA60</f>
        <v>0</v>
      </c>
      <c r="BZ55" s="68">
        <f>Timing!CB60</f>
        <v>0</v>
      </c>
      <c r="CA55" s="68">
        <f>Timing!CC60</f>
        <v>0</v>
      </c>
      <c r="CB55" s="68">
        <f>Timing!CD60</f>
        <v>0</v>
      </c>
      <c r="CC55" s="68">
        <f>Timing!CE60</f>
        <v>0</v>
      </c>
      <c r="CD55" s="68">
        <f>Timing!CF60</f>
        <v>0</v>
      </c>
      <c r="CE55" s="68">
        <f>Timing!CG60</f>
        <v>0</v>
      </c>
      <c r="CF55" s="68">
        <f>Timing!CH60</f>
        <v>0</v>
      </c>
      <c r="CG55" s="68">
        <f>Timing!CI60</f>
        <v>0</v>
      </c>
      <c r="CH55" s="68">
        <f>Timing!CJ60</f>
        <v>0</v>
      </c>
      <c r="CI55" s="68">
        <f>Timing!CK60</f>
        <v>0</v>
      </c>
      <c r="CJ55" s="68">
        <f>Timing!CL60</f>
        <v>0</v>
      </c>
      <c r="CK55" s="68">
        <f>Timing!CM60</f>
        <v>0</v>
      </c>
      <c r="CL55" s="68">
        <f>Timing!CN60</f>
        <v>0</v>
      </c>
      <c r="CM55" s="68">
        <f>Timing!CO60</f>
        <v>0</v>
      </c>
      <c r="CN55" s="68">
        <f>Timing!CP60</f>
        <v>0</v>
      </c>
      <c r="CO55" s="68">
        <f>Timing!CQ60</f>
        <v>0</v>
      </c>
      <c r="CP55" s="68">
        <f>Timing!CR60</f>
        <v>0</v>
      </c>
      <c r="CQ55" s="68">
        <f>Timing!CS60</f>
        <v>0</v>
      </c>
      <c r="CR55" s="68">
        <f>Timing!CT60</f>
        <v>0</v>
      </c>
      <c r="CS55" s="68">
        <f>Timing!CU60</f>
        <v>0</v>
      </c>
      <c r="CT55" s="68">
        <f>Timing!CV60</f>
        <v>0</v>
      </c>
    </row>
    <row r="56" spans="1:98" ht="12.75" customHeight="1" x14ac:dyDescent="0.25">
      <c r="C56" s="184" t="s">
        <v>15</v>
      </c>
      <c r="D56" s="40"/>
      <c r="E56" s="65"/>
      <c r="G56" s="66"/>
      <c r="H56" s="67" t="s">
        <v>13</v>
      </c>
      <c r="N56" s="12">
        <f t="shared" si="29"/>
        <v>1</v>
      </c>
      <c r="P56" s="68">
        <f t="shared" ref="P56:CA56" si="30">P16</f>
        <v>0</v>
      </c>
      <c r="Q56" s="68">
        <f t="shared" si="30"/>
        <v>0</v>
      </c>
      <c r="R56" s="68">
        <f t="shared" si="30"/>
        <v>0</v>
      </c>
      <c r="S56" s="68">
        <f t="shared" si="30"/>
        <v>0</v>
      </c>
      <c r="T56" s="68">
        <f t="shared" si="30"/>
        <v>0</v>
      </c>
      <c r="U56" s="68">
        <f t="shared" si="30"/>
        <v>0</v>
      </c>
      <c r="V56" s="68">
        <f t="shared" si="30"/>
        <v>0</v>
      </c>
      <c r="W56" s="68">
        <f t="shared" si="30"/>
        <v>0</v>
      </c>
      <c r="X56" s="68">
        <f t="shared" si="30"/>
        <v>0</v>
      </c>
      <c r="Y56" s="68">
        <f t="shared" si="30"/>
        <v>0</v>
      </c>
      <c r="Z56" s="68">
        <f t="shared" si="30"/>
        <v>0</v>
      </c>
      <c r="AA56" s="68">
        <f t="shared" si="30"/>
        <v>0</v>
      </c>
      <c r="AB56" s="68">
        <f t="shared" si="30"/>
        <v>0</v>
      </c>
      <c r="AC56" s="68">
        <f t="shared" si="30"/>
        <v>0</v>
      </c>
      <c r="AD56" s="68">
        <f t="shared" si="30"/>
        <v>0</v>
      </c>
      <c r="AE56" s="68">
        <f t="shared" si="30"/>
        <v>1</v>
      </c>
      <c r="AF56" s="68">
        <f t="shared" si="30"/>
        <v>0</v>
      </c>
      <c r="AG56" s="68">
        <f t="shared" si="30"/>
        <v>0</v>
      </c>
      <c r="AH56" s="68">
        <f t="shared" si="30"/>
        <v>0</v>
      </c>
      <c r="AI56" s="68">
        <f t="shared" si="30"/>
        <v>0</v>
      </c>
      <c r="AJ56" s="68">
        <f t="shared" si="30"/>
        <v>0</v>
      </c>
      <c r="AK56" s="68">
        <f t="shared" si="30"/>
        <v>0</v>
      </c>
      <c r="AL56" s="68">
        <f t="shared" si="30"/>
        <v>0</v>
      </c>
      <c r="AM56" s="68">
        <f t="shared" si="30"/>
        <v>0</v>
      </c>
      <c r="AN56" s="68">
        <f t="shared" si="30"/>
        <v>0</v>
      </c>
      <c r="AO56" s="68">
        <f t="shared" si="30"/>
        <v>0</v>
      </c>
      <c r="AP56" s="68">
        <f t="shared" si="30"/>
        <v>0</v>
      </c>
      <c r="AQ56" s="68">
        <f t="shared" si="30"/>
        <v>0</v>
      </c>
      <c r="AR56" s="68">
        <f t="shared" si="30"/>
        <v>0</v>
      </c>
      <c r="AS56" s="68">
        <f t="shared" si="30"/>
        <v>0</v>
      </c>
      <c r="AT56" s="68">
        <f t="shared" si="30"/>
        <v>0</v>
      </c>
      <c r="AU56" s="68">
        <f t="shared" si="30"/>
        <v>0</v>
      </c>
      <c r="AV56" s="68">
        <f t="shared" si="30"/>
        <v>0</v>
      </c>
      <c r="AW56" s="68">
        <f t="shared" si="30"/>
        <v>0</v>
      </c>
      <c r="AX56" s="68">
        <f t="shared" si="30"/>
        <v>0</v>
      </c>
      <c r="AY56" s="68">
        <f t="shared" si="30"/>
        <v>0</v>
      </c>
      <c r="AZ56" s="68">
        <f t="shared" si="30"/>
        <v>0</v>
      </c>
      <c r="BA56" s="68">
        <f t="shared" si="30"/>
        <v>0</v>
      </c>
      <c r="BB56" s="68">
        <f t="shared" si="30"/>
        <v>0</v>
      </c>
      <c r="BC56" s="68">
        <f t="shared" si="30"/>
        <v>0</v>
      </c>
      <c r="BD56" s="68">
        <f t="shared" si="30"/>
        <v>0</v>
      </c>
      <c r="BE56" s="68">
        <f t="shared" si="30"/>
        <v>0</v>
      </c>
      <c r="BF56" s="68">
        <f t="shared" si="30"/>
        <v>0</v>
      </c>
      <c r="BG56" s="68">
        <f t="shared" si="30"/>
        <v>0</v>
      </c>
      <c r="BH56" s="68">
        <f t="shared" si="30"/>
        <v>0</v>
      </c>
      <c r="BI56" s="68">
        <f t="shared" si="30"/>
        <v>0</v>
      </c>
      <c r="BJ56" s="68">
        <f t="shared" si="30"/>
        <v>0</v>
      </c>
      <c r="BK56" s="68">
        <f t="shared" si="30"/>
        <v>0</v>
      </c>
      <c r="BL56" s="68">
        <f t="shared" si="30"/>
        <v>0</v>
      </c>
      <c r="BM56" s="68">
        <f t="shared" si="30"/>
        <v>0</v>
      </c>
      <c r="BN56" s="68">
        <f t="shared" si="30"/>
        <v>0</v>
      </c>
      <c r="BO56" s="68">
        <f t="shared" si="30"/>
        <v>0</v>
      </c>
      <c r="BP56" s="68">
        <f t="shared" si="30"/>
        <v>0</v>
      </c>
      <c r="BQ56" s="68">
        <f t="shared" si="30"/>
        <v>0</v>
      </c>
      <c r="BR56" s="68">
        <f t="shared" si="30"/>
        <v>0</v>
      </c>
      <c r="BS56" s="68">
        <f t="shared" si="30"/>
        <v>0</v>
      </c>
      <c r="BT56" s="68">
        <f t="shared" si="30"/>
        <v>0</v>
      </c>
      <c r="BU56" s="68">
        <f t="shared" si="30"/>
        <v>0</v>
      </c>
      <c r="BV56" s="68">
        <f t="shared" si="30"/>
        <v>0</v>
      </c>
      <c r="BW56" s="68">
        <f t="shared" si="30"/>
        <v>0</v>
      </c>
      <c r="BX56" s="68">
        <f t="shared" si="30"/>
        <v>0</v>
      </c>
      <c r="BY56" s="68">
        <f t="shared" si="30"/>
        <v>0</v>
      </c>
      <c r="BZ56" s="68">
        <f t="shared" si="30"/>
        <v>0</v>
      </c>
      <c r="CA56" s="68">
        <f t="shared" si="30"/>
        <v>0</v>
      </c>
      <c r="CB56" s="68">
        <f t="shared" ref="CB56:CT56" si="31">CB16</f>
        <v>0</v>
      </c>
      <c r="CC56" s="68">
        <f t="shared" si="31"/>
        <v>0</v>
      </c>
      <c r="CD56" s="68">
        <f t="shared" si="31"/>
        <v>0</v>
      </c>
      <c r="CE56" s="68">
        <f t="shared" si="31"/>
        <v>0</v>
      </c>
      <c r="CF56" s="68">
        <f t="shared" si="31"/>
        <v>0</v>
      </c>
      <c r="CG56" s="68">
        <f t="shared" si="31"/>
        <v>0</v>
      </c>
      <c r="CH56" s="68">
        <f t="shared" si="31"/>
        <v>0</v>
      </c>
      <c r="CI56" s="68">
        <f t="shared" si="31"/>
        <v>0</v>
      </c>
      <c r="CJ56" s="68">
        <f t="shared" si="31"/>
        <v>0</v>
      </c>
      <c r="CK56" s="68">
        <f t="shared" si="31"/>
        <v>0</v>
      </c>
      <c r="CL56" s="68">
        <f t="shared" si="31"/>
        <v>0</v>
      </c>
      <c r="CM56" s="68">
        <f t="shared" si="31"/>
        <v>0</v>
      </c>
      <c r="CN56" s="68">
        <f t="shared" si="31"/>
        <v>0</v>
      </c>
      <c r="CO56" s="68">
        <f t="shared" si="31"/>
        <v>0</v>
      </c>
      <c r="CP56" s="68">
        <f t="shared" si="31"/>
        <v>0</v>
      </c>
      <c r="CQ56" s="68">
        <f t="shared" si="31"/>
        <v>0</v>
      </c>
      <c r="CR56" s="68">
        <f t="shared" si="31"/>
        <v>0</v>
      </c>
      <c r="CS56" s="68">
        <f t="shared" si="31"/>
        <v>0</v>
      </c>
      <c r="CT56" s="68">
        <f t="shared" si="31"/>
        <v>0</v>
      </c>
    </row>
    <row r="57" spans="1:98" ht="12.75" customHeight="1" x14ac:dyDescent="0.25">
      <c r="C57" s="83"/>
      <c r="D57" s="69"/>
      <c r="E57" s="70"/>
      <c r="F57" s="70"/>
      <c r="G57" s="19"/>
      <c r="H57" s="71"/>
      <c r="J57" s="72"/>
      <c r="K57" s="51"/>
      <c r="N57" s="10"/>
    </row>
    <row r="58" spans="1:98" ht="12.75" customHeight="1" x14ac:dyDescent="0.25">
      <c r="C58" s="184" t="s">
        <v>16</v>
      </c>
      <c r="H58" s="9" t="s">
        <v>17</v>
      </c>
      <c r="N58" s="10"/>
      <c r="P58" s="20">
        <f t="shared" ref="P58:CA58" si="32">P18</f>
        <v>44561</v>
      </c>
      <c r="Q58" s="20">
        <f t="shared" si="32"/>
        <v>44926</v>
      </c>
      <c r="R58" s="20">
        <f t="shared" si="32"/>
        <v>45291</v>
      </c>
      <c r="S58" s="20">
        <f t="shared" si="32"/>
        <v>45657</v>
      </c>
      <c r="T58" s="20">
        <f t="shared" si="32"/>
        <v>46022</v>
      </c>
      <c r="U58" s="20">
        <f t="shared" si="32"/>
        <v>46387</v>
      </c>
      <c r="V58" s="20">
        <f t="shared" si="32"/>
        <v>46752</v>
      </c>
      <c r="W58" s="20">
        <f t="shared" si="32"/>
        <v>47118</v>
      </c>
      <c r="X58" s="20">
        <f t="shared" si="32"/>
        <v>47483</v>
      </c>
      <c r="Y58" s="20">
        <f t="shared" si="32"/>
        <v>47848</v>
      </c>
      <c r="Z58" s="20">
        <f t="shared" si="32"/>
        <v>48213</v>
      </c>
      <c r="AA58" s="20">
        <f t="shared" si="32"/>
        <v>48579</v>
      </c>
      <c r="AB58" s="20">
        <f t="shared" si="32"/>
        <v>48944</v>
      </c>
      <c r="AC58" s="20">
        <f t="shared" si="32"/>
        <v>49309</v>
      </c>
      <c r="AD58" s="20">
        <f t="shared" si="32"/>
        <v>49674</v>
      </c>
      <c r="AE58" s="20">
        <f t="shared" si="32"/>
        <v>50040</v>
      </c>
      <c r="AF58" s="20">
        <f t="shared" si="32"/>
        <v>50405</v>
      </c>
      <c r="AG58" s="20">
        <f t="shared" si="32"/>
        <v>50770</v>
      </c>
      <c r="AH58" s="20">
        <f t="shared" si="32"/>
        <v>51135</v>
      </c>
      <c r="AI58" s="20">
        <f t="shared" si="32"/>
        <v>51501</v>
      </c>
      <c r="AJ58" s="20">
        <f t="shared" si="32"/>
        <v>51866</v>
      </c>
      <c r="AK58" s="20">
        <f t="shared" si="32"/>
        <v>52231</v>
      </c>
      <c r="AL58" s="20">
        <f t="shared" si="32"/>
        <v>52596</v>
      </c>
      <c r="AM58" s="20">
        <f t="shared" si="32"/>
        <v>52962</v>
      </c>
      <c r="AN58" s="20">
        <f t="shared" si="32"/>
        <v>53327</v>
      </c>
      <c r="AO58" s="20">
        <f t="shared" si="32"/>
        <v>53692</v>
      </c>
      <c r="AP58" s="20">
        <f t="shared" si="32"/>
        <v>54057</v>
      </c>
      <c r="AQ58" s="20">
        <f t="shared" si="32"/>
        <v>54423</v>
      </c>
      <c r="AR58" s="20">
        <f t="shared" si="32"/>
        <v>54788</v>
      </c>
      <c r="AS58" s="20">
        <f t="shared" si="32"/>
        <v>55153</v>
      </c>
      <c r="AT58" s="20">
        <f t="shared" si="32"/>
        <v>55518</v>
      </c>
      <c r="AU58" s="20">
        <f t="shared" si="32"/>
        <v>55884</v>
      </c>
      <c r="AV58" s="20">
        <f t="shared" si="32"/>
        <v>56249</v>
      </c>
      <c r="AW58" s="20">
        <f t="shared" si="32"/>
        <v>56614</v>
      </c>
      <c r="AX58" s="20">
        <f t="shared" si="32"/>
        <v>56979</v>
      </c>
      <c r="AY58" s="20">
        <f t="shared" si="32"/>
        <v>57345</v>
      </c>
      <c r="AZ58" s="20">
        <f t="shared" si="32"/>
        <v>57710</v>
      </c>
      <c r="BA58" s="20">
        <f t="shared" si="32"/>
        <v>58075</v>
      </c>
      <c r="BB58" s="20">
        <f t="shared" si="32"/>
        <v>58440</v>
      </c>
      <c r="BC58" s="20">
        <f t="shared" si="32"/>
        <v>58806</v>
      </c>
      <c r="BD58" s="20">
        <f t="shared" si="32"/>
        <v>59171</v>
      </c>
      <c r="BE58" s="20">
        <f t="shared" si="32"/>
        <v>59536</v>
      </c>
      <c r="BF58" s="20">
        <f t="shared" si="32"/>
        <v>59901</v>
      </c>
      <c r="BG58" s="20">
        <f t="shared" si="32"/>
        <v>60267</v>
      </c>
      <c r="BH58" s="20">
        <f t="shared" si="32"/>
        <v>60632</v>
      </c>
      <c r="BI58" s="20">
        <f t="shared" si="32"/>
        <v>60997</v>
      </c>
      <c r="BJ58" s="20">
        <f t="shared" si="32"/>
        <v>61362</v>
      </c>
      <c r="BK58" s="20">
        <f t="shared" si="32"/>
        <v>61728</v>
      </c>
      <c r="BL58" s="20">
        <f t="shared" si="32"/>
        <v>62093</v>
      </c>
      <c r="BM58" s="20">
        <f t="shared" si="32"/>
        <v>62458</v>
      </c>
      <c r="BN58" s="20">
        <f t="shared" si="32"/>
        <v>62823</v>
      </c>
      <c r="BO58" s="20">
        <f t="shared" si="32"/>
        <v>63189</v>
      </c>
      <c r="BP58" s="20">
        <f t="shared" si="32"/>
        <v>63554</v>
      </c>
      <c r="BQ58" s="20">
        <f t="shared" si="32"/>
        <v>63919</v>
      </c>
      <c r="BR58" s="20">
        <f t="shared" si="32"/>
        <v>64284</v>
      </c>
      <c r="BS58" s="20">
        <f t="shared" si="32"/>
        <v>64650</v>
      </c>
      <c r="BT58" s="20">
        <f t="shared" si="32"/>
        <v>65015</v>
      </c>
      <c r="BU58" s="20">
        <f t="shared" si="32"/>
        <v>65380</v>
      </c>
      <c r="BV58" s="20">
        <f t="shared" si="32"/>
        <v>65745</v>
      </c>
      <c r="BW58" s="20">
        <f t="shared" si="32"/>
        <v>66111</v>
      </c>
      <c r="BX58" s="20">
        <f t="shared" si="32"/>
        <v>66476</v>
      </c>
      <c r="BY58" s="20">
        <f t="shared" si="32"/>
        <v>66841</v>
      </c>
      <c r="BZ58" s="20">
        <f t="shared" si="32"/>
        <v>67206</v>
      </c>
      <c r="CA58" s="20">
        <f t="shared" si="32"/>
        <v>67572</v>
      </c>
      <c r="CB58" s="20">
        <f t="shared" ref="CB58:CT58" si="33">CB18</f>
        <v>67937</v>
      </c>
      <c r="CC58" s="20">
        <f t="shared" si="33"/>
        <v>68302</v>
      </c>
      <c r="CD58" s="20">
        <f t="shared" si="33"/>
        <v>68667</v>
      </c>
      <c r="CE58" s="20">
        <f t="shared" si="33"/>
        <v>69033</v>
      </c>
      <c r="CF58" s="20">
        <f t="shared" si="33"/>
        <v>69398</v>
      </c>
      <c r="CG58" s="20">
        <f t="shared" si="33"/>
        <v>69763</v>
      </c>
      <c r="CH58" s="20">
        <f t="shared" si="33"/>
        <v>70128</v>
      </c>
      <c r="CI58" s="20">
        <f t="shared" si="33"/>
        <v>70494</v>
      </c>
      <c r="CJ58" s="20">
        <f t="shared" si="33"/>
        <v>70859</v>
      </c>
      <c r="CK58" s="20">
        <f t="shared" si="33"/>
        <v>71224</v>
      </c>
      <c r="CL58" s="20">
        <f t="shared" si="33"/>
        <v>71589</v>
      </c>
      <c r="CM58" s="20">
        <f t="shared" si="33"/>
        <v>71955</v>
      </c>
      <c r="CN58" s="20">
        <f t="shared" si="33"/>
        <v>72320</v>
      </c>
      <c r="CO58" s="20">
        <f t="shared" si="33"/>
        <v>72685</v>
      </c>
      <c r="CP58" s="20">
        <f t="shared" si="33"/>
        <v>73050</v>
      </c>
      <c r="CQ58" s="20">
        <f t="shared" si="33"/>
        <v>73415</v>
      </c>
      <c r="CR58" s="20">
        <f t="shared" si="33"/>
        <v>73780</v>
      </c>
      <c r="CS58" s="20">
        <f t="shared" si="33"/>
        <v>74145</v>
      </c>
      <c r="CT58" s="20">
        <f t="shared" si="33"/>
        <v>74510</v>
      </c>
    </row>
    <row r="59" spans="1:98" ht="12.75" customHeight="1" x14ac:dyDescent="0.25">
      <c r="C59" s="83"/>
      <c r="D59" s="69"/>
      <c r="E59" s="70"/>
      <c r="F59" s="70"/>
      <c r="G59" s="19"/>
      <c r="H59" s="71"/>
      <c r="J59" s="72"/>
      <c r="K59" s="51"/>
      <c r="N59" s="10"/>
    </row>
    <row r="60" spans="1:98" ht="12.75" customHeight="1" x14ac:dyDescent="0.25">
      <c r="C60" s="73" t="s">
        <v>37</v>
      </c>
      <c r="D60" s="74"/>
      <c r="E60" s="70"/>
      <c r="F60" s="70"/>
      <c r="G60" s="19"/>
      <c r="H60" s="71" t="s">
        <v>3</v>
      </c>
      <c r="J60" s="69"/>
      <c r="K60" s="10"/>
      <c r="N60" s="25">
        <f t="shared" si="29"/>
        <v>27741.364083937624</v>
      </c>
      <c r="P60" s="47">
        <v>-1704.4307999999996</v>
      </c>
      <c r="Q60" s="47">
        <v>-945.25559999999962</v>
      </c>
      <c r="R60" s="47">
        <v>-762.19359999999961</v>
      </c>
      <c r="S60" s="47">
        <v>550.62091818710087</v>
      </c>
      <c r="T60" s="47">
        <v>582.60471783273556</v>
      </c>
      <c r="U60" s="47">
        <v>581.58847376867664</v>
      </c>
      <c r="V60" s="47">
        <v>574.19868441950939</v>
      </c>
      <c r="W60" s="47">
        <v>559.5585764123465</v>
      </c>
      <c r="X60" s="47">
        <v>578.8910712722477</v>
      </c>
      <c r="Y60" s="47">
        <v>577.20396441469632</v>
      </c>
      <c r="Z60" s="47">
        <v>572.852063025299</v>
      </c>
      <c r="AA60" s="47">
        <v>570.84291067802724</v>
      </c>
      <c r="AB60" s="47">
        <v>551.13028092190575</v>
      </c>
      <c r="AC60" s="47">
        <v>566.11391913901593</v>
      </c>
      <c r="AD60" s="47">
        <v>564.68350961196859</v>
      </c>
      <c r="AE60" s="47">
        <v>563.01134521285667</v>
      </c>
      <c r="AF60" s="47">
        <v>560.78401237814751</v>
      </c>
      <c r="AG60" s="47">
        <v>540.54279737110016</v>
      </c>
      <c r="AH60" s="47">
        <v>555.62102576011614</v>
      </c>
      <c r="AI60" s="47">
        <v>553.94082438343116</v>
      </c>
      <c r="AJ60" s="47">
        <v>551.85330183739222</v>
      </c>
      <c r="AK60" s="47">
        <v>549.36252381879297</v>
      </c>
      <c r="AL60" s="47">
        <v>528.53265917282272</v>
      </c>
      <c r="AM60" s="47">
        <v>543.67325608088424</v>
      </c>
      <c r="AN60" s="47">
        <v>541.69196551032906</v>
      </c>
      <c r="AO60" s="47">
        <v>539.11060736680292</v>
      </c>
      <c r="AP60" s="47">
        <v>536.29929795184842</v>
      </c>
      <c r="AQ60" s="47">
        <v>514.80917888655392</v>
      </c>
      <c r="AR60" s="47">
        <v>822.83142159758938</v>
      </c>
      <c r="AS60" s="47">
        <v>821.96939955242078</v>
      </c>
      <c r="AT60" s="47">
        <v>820.06572751445697</v>
      </c>
      <c r="AU60" s="47">
        <v>818.14301875611352</v>
      </c>
      <c r="AV60" s="47">
        <v>786.77364359350895</v>
      </c>
      <c r="AW60" s="47">
        <v>813.40111339721909</v>
      </c>
      <c r="AX60" s="47">
        <v>669.71789290676452</v>
      </c>
      <c r="AY60" s="47">
        <v>640.4861805718208</v>
      </c>
      <c r="AZ60" s="47">
        <v>638.46283302817244</v>
      </c>
      <c r="BA60" s="47">
        <v>619.75804753401599</v>
      </c>
      <c r="BB60" s="47">
        <v>633.68582475554763</v>
      </c>
      <c r="BC60" s="47">
        <v>631.60116775797917</v>
      </c>
      <c r="BD60" s="47">
        <v>629.49566419043492</v>
      </c>
      <c r="BE60" s="47">
        <v>627.36910558721524</v>
      </c>
      <c r="BF60" s="47">
        <v>608.40671659361738</v>
      </c>
      <c r="BG60" s="47">
        <v>622.05527309846605</v>
      </c>
      <c r="BH60" s="47">
        <v>619.86427764301015</v>
      </c>
      <c r="BI60" s="47">
        <v>617.65137223299985</v>
      </c>
      <c r="BJ60" s="47">
        <v>615.41633776888943</v>
      </c>
      <c r="BK60" s="47">
        <v>595.72810520422377</v>
      </c>
      <c r="BL60" s="47">
        <v>609.08319792964255</v>
      </c>
      <c r="BM60" s="47">
        <v>606.78043968623513</v>
      </c>
      <c r="BN60" s="47">
        <v>604.45465386039359</v>
      </c>
      <c r="BO60" s="47">
        <v>602.10561017629357</v>
      </c>
      <c r="BP60" s="47">
        <v>577.6842571210442</v>
      </c>
      <c r="BQ60" s="47">
        <v>590.73091646494197</v>
      </c>
      <c r="BR60" s="47">
        <v>0</v>
      </c>
      <c r="BS60" s="47">
        <v>0</v>
      </c>
      <c r="BT60" s="47">
        <v>0</v>
      </c>
      <c r="BU60" s="47">
        <v>0</v>
      </c>
      <c r="BV60" s="47">
        <v>0</v>
      </c>
      <c r="BW60" s="47">
        <v>0</v>
      </c>
      <c r="BX60" s="47">
        <v>0</v>
      </c>
      <c r="BY60" s="47">
        <v>0</v>
      </c>
      <c r="BZ60" s="47">
        <v>0</v>
      </c>
      <c r="CA60" s="47">
        <v>0</v>
      </c>
      <c r="CB60" s="47">
        <v>0</v>
      </c>
      <c r="CC60" s="47">
        <v>0</v>
      </c>
      <c r="CD60" s="47">
        <v>0</v>
      </c>
      <c r="CE60" s="47">
        <v>0</v>
      </c>
      <c r="CF60" s="47">
        <v>0</v>
      </c>
      <c r="CG60" s="47">
        <v>0</v>
      </c>
      <c r="CH60" s="47">
        <v>0</v>
      </c>
      <c r="CI60" s="47">
        <v>0</v>
      </c>
      <c r="CJ60" s="47">
        <v>0</v>
      </c>
      <c r="CK60" s="47">
        <v>0</v>
      </c>
      <c r="CL60" s="47">
        <v>0</v>
      </c>
      <c r="CM60" s="47">
        <v>0</v>
      </c>
      <c r="CN60" s="47">
        <v>0</v>
      </c>
      <c r="CO60" s="47">
        <v>0</v>
      </c>
      <c r="CP60" s="47">
        <v>0</v>
      </c>
      <c r="CQ60" s="47">
        <v>0</v>
      </c>
      <c r="CR60" s="47">
        <v>0</v>
      </c>
      <c r="CS60" s="47">
        <v>0</v>
      </c>
      <c r="CT60" s="47">
        <v>0</v>
      </c>
    </row>
    <row r="61" spans="1:98" ht="12.75" customHeight="1" x14ac:dyDescent="0.25">
      <c r="C61" s="73" t="s">
        <v>38</v>
      </c>
      <c r="D61" s="74"/>
      <c r="E61" s="70"/>
      <c r="F61" s="70"/>
      <c r="G61" s="19"/>
      <c r="H61" s="71" t="s">
        <v>3</v>
      </c>
      <c r="J61" s="74"/>
      <c r="K61" s="10"/>
      <c r="N61" s="25">
        <f t="shared" si="29"/>
        <v>23759.943649041241</v>
      </c>
      <c r="P61" s="47">
        <f>IF(P56=1,0,P60*P55)</f>
        <v>0</v>
      </c>
      <c r="Q61" s="47">
        <f t="shared" ref="Q61:CB61" si="34">IF(Q56=1,0,Q60*Q55)</f>
        <v>0</v>
      </c>
      <c r="R61" s="47">
        <f t="shared" si="34"/>
        <v>0</v>
      </c>
      <c r="S61" s="47">
        <f t="shared" si="34"/>
        <v>0</v>
      </c>
      <c r="T61" s="47">
        <f t="shared" si="34"/>
        <v>0</v>
      </c>
      <c r="U61" s="47">
        <f t="shared" si="34"/>
        <v>0</v>
      </c>
      <c r="V61" s="47">
        <f t="shared" si="34"/>
        <v>0</v>
      </c>
      <c r="W61" s="47">
        <f t="shared" si="34"/>
        <v>0</v>
      </c>
      <c r="X61" s="47">
        <f t="shared" si="34"/>
        <v>0</v>
      </c>
      <c r="Y61" s="47">
        <f t="shared" si="34"/>
        <v>0</v>
      </c>
      <c r="Z61" s="47">
        <f t="shared" si="34"/>
        <v>0</v>
      </c>
      <c r="AA61" s="47">
        <f t="shared" si="34"/>
        <v>0</v>
      </c>
      <c r="AB61" s="47">
        <f t="shared" si="34"/>
        <v>0</v>
      </c>
      <c r="AC61" s="47">
        <f t="shared" si="34"/>
        <v>0</v>
      </c>
      <c r="AD61" s="47">
        <f t="shared" si="34"/>
        <v>0</v>
      </c>
      <c r="AE61" s="47">
        <f t="shared" si="34"/>
        <v>0</v>
      </c>
      <c r="AF61" s="47">
        <f t="shared" si="34"/>
        <v>560.78401237814751</v>
      </c>
      <c r="AG61" s="47">
        <f t="shared" si="34"/>
        <v>540.54279737110016</v>
      </c>
      <c r="AH61" s="47">
        <f t="shared" si="34"/>
        <v>555.62102576011614</v>
      </c>
      <c r="AI61" s="47">
        <f t="shared" si="34"/>
        <v>553.94082438343116</v>
      </c>
      <c r="AJ61" s="47">
        <f t="shared" si="34"/>
        <v>551.85330183739222</v>
      </c>
      <c r="AK61" s="47">
        <f t="shared" si="34"/>
        <v>549.36252381879297</v>
      </c>
      <c r="AL61" s="47">
        <f t="shared" si="34"/>
        <v>528.53265917282272</v>
      </c>
      <c r="AM61" s="47">
        <f t="shared" si="34"/>
        <v>543.67325608088424</v>
      </c>
      <c r="AN61" s="47">
        <f t="shared" si="34"/>
        <v>541.69196551032906</v>
      </c>
      <c r="AO61" s="47">
        <f t="shared" si="34"/>
        <v>539.11060736680292</v>
      </c>
      <c r="AP61" s="47">
        <f t="shared" si="34"/>
        <v>536.29929795184842</v>
      </c>
      <c r="AQ61" s="47">
        <f t="shared" si="34"/>
        <v>514.80917888655392</v>
      </c>
      <c r="AR61" s="47">
        <f t="shared" si="34"/>
        <v>822.83142159758938</v>
      </c>
      <c r="AS61" s="47">
        <f t="shared" si="34"/>
        <v>821.96939955242078</v>
      </c>
      <c r="AT61" s="47">
        <f t="shared" si="34"/>
        <v>820.06572751445697</v>
      </c>
      <c r="AU61" s="47">
        <f t="shared" si="34"/>
        <v>818.14301875611352</v>
      </c>
      <c r="AV61" s="47">
        <f t="shared" si="34"/>
        <v>786.77364359350895</v>
      </c>
      <c r="AW61" s="47">
        <f t="shared" si="34"/>
        <v>813.40111339721909</v>
      </c>
      <c r="AX61" s="47">
        <f t="shared" si="34"/>
        <v>669.71789290676452</v>
      </c>
      <c r="AY61" s="47">
        <f t="shared" si="34"/>
        <v>640.4861805718208</v>
      </c>
      <c r="AZ61" s="47">
        <f t="shared" si="34"/>
        <v>638.46283302817244</v>
      </c>
      <c r="BA61" s="47">
        <f t="shared" si="34"/>
        <v>619.75804753401599</v>
      </c>
      <c r="BB61" s="47">
        <f t="shared" si="34"/>
        <v>633.68582475554763</v>
      </c>
      <c r="BC61" s="47">
        <f t="shared" si="34"/>
        <v>631.60116775797917</v>
      </c>
      <c r="BD61" s="47">
        <f t="shared" si="34"/>
        <v>629.49566419043492</v>
      </c>
      <c r="BE61" s="47">
        <f t="shared" si="34"/>
        <v>627.36910558721524</v>
      </c>
      <c r="BF61" s="47">
        <f t="shared" si="34"/>
        <v>608.40671659361738</v>
      </c>
      <c r="BG61" s="47">
        <f t="shared" si="34"/>
        <v>622.05527309846605</v>
      </c>
      <c r="BH61" s="47">
        <f t="shared" si="34"/>
        <v>619.86427764301015</v>
      </c>
      <c r="BI61" s="47">
        <f t="shared" si="34"/>
        <v>617.65137223299985</v>
      </c>
      <c r="BJ61" s="47">
        <f t="shared" si="34"/>
        <v>615.41633776888943</v>
      </c>
      <c r="BK61" s="47">
        <f t="shared" si="34"/>
        <v>595.72810520422377</v>
      </c>
      <c r="BL61" s="47">
        <f t="shared" si="34"/>
        <v>609.08319792964255</v>
      </c>
      <c r="BM61" s="47">
        <f t="shared" si="34"/>
        <v>606.78043968623513</v>
      </c>
      <c r="BN61" s="47">
        <f t="shared" si="34"/>
        <v>604.45465386039359</v>
      </c>
      <c r="BO61" s="47">
        <f t="shared" si="34"/>
        <v>602.10561017629357</v>
      </c>
      <c r="BP61" s="47">
        <f t="shared" si="34"/>
        <v>577.6842571210442</v>
      </c>
      <c r="BQ61" s="47">
        <f t="shared" si="34"/>
        <v>590.73091646494197</v>
      </c>
      <c r="BR61" s="47">
        <f t="shared" si="34"/>
        <v>0</v>
      </c>
      <c r="BS61" s="47">
        <f t="shared" si="34"/>
        <v>0</v>
      </c>
      <c r="BT61" s="47">
        <f t="shared" si="34"/>
        <v>0</v>
      </c>
      <c r="BU61" s="47">
        <f t="shared" si="34"/>
        <v>0</v>
      </c>
      <c r="BV61" s="47">
        <f t="shared" si="34"/>
        <v>0</v>
      </c>
      <c r="BW61" s="47">
        <f t="shared" si="34"/>
        <v>0</v>
      </c>
      <c r="BX61" s="47">
        <f t="shared" si="34"/>
        <v>0</v>
      </c>
      <c r="BY61" s="47">
        <f t="shared" si="34"/>
        <v>0</v>
      </c>
      <c r="BZ61" s="47">
        <f t="shared" si="34"/>
        <v>0</v>
      </c>
      <c r="CA61" s="47">
        <f t="shared" si="34"/>
        <v>0</v>
      </c>
      <c r="CB61" s="47">
        <f t="shared" si="34"/>
        <v>0</v>
      </c>
      <c r="CC61" s="47">
        <f t="shared" ref="CC61:CT61" si="35">IF(CC56=1,0,CC60*CC55)</f>
        <v>0</v>
      </c>
      <c r="CD61" s="47">
        <f t="shared" si="35"/>
        <v>0</v>
      </c>
      <c r="CE61" s="47">
        <f t="shared" si="35"/>
        <v>0</v>
      </c>
      <c r="CF61" s="47">
        <f t="shared" si="35"/>
        <v>0</v>
      </c>
      <c r="CG61" s="47">
        <f t="shared" si="35"/>
        <v>0</v>
      </c>
      <c r="CH61" s="47">
        <f t="shared" si="35"/>
        <v>0</v>
      </c>
      <c r="CI61" s="47">
        <f t="shared" si="35"/>
        <v>0</v>
      </c>
      <c r="CJ61" s="47">
        <f t="shared" si="35"/>
        <v>0</v>
      </c>
      <c r="CK61" s="47">
        <f t="shared" si="35"/>
        <v>0</v>
      </c>
      <c r="CL61" s="47">
        <f t="shared" si="35"/>
        <v>0</v>
      </c>
      <c r="CM61" s="47">
        <f t="shared" si="35"/>
        <v>0</v>
      </c>
      <c r="CN61" s="47">
        <f t="shared" si="35"/>
        <v>0</v>
      </c>
      <c r="CO61" s="47">
        <f t="shared" si="35"/>
        <v>0</v>
      </c>
      <c r="CP61" s="47">
        <f t="shared" si="35"/>
        <v>0</v>
      </c>
      <c r="CQ61" s="47">
        <f t="shared" si="35"/>
        <v>0</v>
      </c>
      <c r="CR61" s="47">
        <f t="shared" si="35"/>
        <v>0</v>
      </c>
      <c r="CS61" s="47">
        <f t="shared" si="35"/>
        <v>0</v>
      </c>
      <c r="CT61" s="47">
        <f t="shared" si="35"/>
        <v>0</v>
      </c>
    </row>
    <row r="62" spans="1:98" ht="12.75" customHeight="1" x14ac:dyDescent="0.25">
      <c r="B62" s="10"/>
      <c r="H62" s="9"/>
      <c r="J62" s="38" t="s">
        <v>39</v>
      </c>
      <c r="N62" s="19"/>
      <c r="O62" s="10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7"/>
      <c r="CQ62" s="47"/>
      <c r="CR62" s="47"/>
      <c r="CS62" s="47"/>
      <c r="CT62" s="47"/>
    </row>
    <row r="63" spans="1:98" ht="12.75" customHeight="1" x14ac:dyDescent="0.25">
      <c r="C63" s="184" t="s">
        <v>30</v>
      </c>
      <c r="H63" s="9" t="s">
        <v>3</v>
      </c>
      <c r="J63" s="75">
        <v>0.1</v>
      </c>
      <c r="N63" s="19"/>
      <c r="O63" s="51"/>
      <c r="P63" s="49">
        <f>XNPV($J$63,P61:$CT61,P58:$CT58)*P55</f>
        <v>0</v>
      </c>
      <c r="Q63" s="49">
        <f>XNPV($J$63,Q61:$CT61,Q58:$CT58)*Q55</f>
        <v>0</v>
      </c>
      <c r="R63" s="49">
        <f>XNPV($J$63,R61:$CT61,R58:$CT58)*R55</f>
        <v>0</v>
      </c>
      <c r="S63" s="49">
        <f>XNPV($J$63,S61:$CT61,S58:$CT58)*S55</f>
        <v>0</v>
      </c>
      <c r="T63" s="49">
        <f>XNPV($J$63,T61:$CT61,T58:$CT58)*T55</f>
        <v>0</v>
      </c>
      <c r="U63" s="49">
        <f>XNPV($J$63,U61:$CT61,U58:$CT58)*U55</f>
        <v>0</v>
      </c>
      <c r="V63" s="49">
        <f>XNPV($J$63,V61:$CT61,V58:$CT58)*V55</f>
        <v>0</v>
      </c>
      <c r="W63" s="49">
        <f>XNPV($J$63,W61:$CT61,W58:$CT58)*W55</f>
        <v>0</v>
      </c>
      <c r="X63" s="49">
        <f>XNPV($J$63,X61:$CT61,X58:$CT58)*X55</f>
        <v>0</v>
      </c>
      <c r="Y63" s="49">
        <f>XNPV($J$63,Y61:$CT61,Y58:$CT58)*Y55</f>
        <v>0</v>
      </c>
      <c r="Z63" s="49">
        <f>XNPV($J$63,Z61:$CT61,Z58:$CT58)*Z55</f>
        <v>0</v>
      </c>
      <c r="AA63" s="49">
        <f>XNPV($J$63,AA61:$CT61,AA58:$CT58)*AA55</f>
        <v>0</v>
      </c>
      <c r="AB63" s="49">
        <f>XNPV($J$63,AB61:$CT61,AB58:$CT58)*AB55</f>
        <v>0</v>
      </c>
      <c r="AC63" s="49">
        <f>XNPV($J$63,AC61:$CT61,AC58:$CT58)*AC55</f>
        <v>0</v>
      </c>
      <c r="AD63" s="49">
        <f>XNPV($J$63,AD61:$CT61,AD58:$CT58)*AD55</f>
        <v>0</v>
      </c>
      <c r="AE63" s="49">
        <f>XNPV($J$63,AE61:$CT61,AE58:$CT58)*AE55</f>
        <v>5807.9975845449517</v>
      </c>
      <c r="AF63" s="49">
        <f>XNPV($J$63,AF61:$CT61,AF58:$CT58)*AF55</f>
        <v>6388.797342999449</v>
      </c>
      <c r="AG63" s="49">
        <f>XNPV($J$63,AG61:$CT61,AG58:$CT58)*AG55</f>
        <v>6410.8146636834317</v>
      </c>
      <c r="AH63" s="49">
        <f>XNPV($J$63,AH61:$CT61,AH58:$CT58)*AH55</f>
        <v>6457.2990529435647</v>
      </c>
      <c r="AI63" s="49">
        <f>XNPV($J$63,AI61:$CT61,AI58:$CT58)*AI55</f>
        <v>6493.5412265704917</v>
      </c>
      <c r="AJ63" s="49">
        <f>XNPV($J$63,AJ61:$CT61,AJ58:$CT58)*AJ55</f>
        <v>6533.5604424057674</v>
      </c>
      <c r="AK63" s="49">
        <f>XNPV($J$63,AK61:$CT61,AK58:$CT58)*AK55</f>
        <v>6579.8778546252124</v>
      </c>
      <c r="AL63" s="49">
        <f>XNPV($J$63,AL61:$CT61,AL58:$CT58)*AL55</f>
        <v>6633.566863887062</v>
      </c>
      <c r="AM63" s="49">
        <f>XNPV($J$63,AM61:$CT61,AM58:$CT58)*AM55</f>
        <v>6717.2914407285116</v>
      </c>
      <c r="AN63" s="49">
        <f>XNPV($J$63,AN61:$CT61,AN58:$CT58)*AN55</f>
        <v>6790.9800031123896</v>
      </c>
      <c r="AO63" s="49">
        <f>XNPV($J$63,AO61:$CT61,AO58:$CT58)*AO55</f>
        <v>6874.2168413622667</v>
      </c>
      <c r="AP63" s="49">
        <f>XNPV($J$63,AP61:$CT61,AP58:$CT58)*AP55</f>
        <v>6968.6168573950099</v>
      </c>
      <c r="AQ63" s="49">
        <f>XNPV($J$63,AQ61:$CT61,AQ58:$CT58)*AQ55</f>
        <v>7077.3971508186978</v>
      </c>
      <c r="AR63" s="49">
        <f>XNPV($J$63,AR61:$CT61,AR58:$CT58)*AR55</f>
        <v>7218.8467691253609</v>
      </c>
      <c r="AS63" s="49">
        <f>XNPV($J$63,AS61:$CT61,AS58:$CT58)*AS55</f>
        <v>7035.6168822805494</v>
      </c>
      <c r="AT63" s="49">
        <f>XNPV($J$63,AT61:$CT61,AT58:$CT58)*AT55</f>
        <v>6835.0122310009401</v>
      </c>
      <c r="AU63" s="49">
        <f>XNPV($J$63,AU61:$CT61,AU58:$CT58)*AU55</f>
        <v>6618.1690895539932</v>
      </c>
      <c r="AV63" s="49">
        <f>XNPV($J$63,AV61:$CT61,AV58:$CT58)*AV55</f>
        <v>6380.0286778776699</v>
      </c>
      <c r="AW63" s="49">
        <f>XNPV($J$63,AW61:$CT61,AW58:$CT58)*AW55</f>
        <v>6152.5805377125798</v>
      </c>
      <c r="AX63" s="49">
        <f>XNPV($J$63,AX61:$CT61,AX58:$CT58)*AX55</f>
        <v>5873.0973667468952</v>
      </c>
      <c r="AY63" s="49">
        <f>XNPV($J$63,AY61:$CT61,AY58:$CT58)*AY55</f>
        <v>5725.2122151090853</v>
      </c>
      <c r="AZ63" s="49">
        <f>XNPV($J$63,AZ61:$CT61,AZ58:$CT58)*AZ55</f>
        <v>5593.1986379909886</v>
      </c>
      <c r="BA63" s="49">
        <f>XNPV($J$63,BA61:$CT61,BA58:$CT58)*BA55</f>
        <v>5450.2093854590976</v>
      </c>
      <c r="BB63" s="49">
        <f>XNPV($J$63,BB61:$CT61,BB58:$CT58)*BB55</f>
        <v>5313.4964717175917</v>
      </c>
      <c r="BC63" s="49">
        <f>XNPV($J$63,BC61:$CT61,BC58:$CT58)*BC55</f>
        <v>5149.1360980081045</v>
      </c>
      <c r="BD63" s="49">
        <f>XNPV($J$63,BD61:$CT61,BD58:$CT58)*BD55</f>
        <v>4969.2884232751385</v>
      </c>
      <c r="BE63" s="49">
        <f>XNPV($J$63,BE61:$CT61,BE58:$CT58)*BE55</f>
        <v>4773.7720349931751</v>
      </c>
      <c r="BF63" s="49">
        <f>XNPV($J$63,BF61:$CT61,BF58:$CT58)*BF55</f>
        <v>4561.043222346555</v>
      </c>
      <c r="BG63" s="49">
        <f>XNPV($J$63,BG61:$CT61,BG58:$CT58)*BG55</f>
        <v>4349.0356446984133</v>
      </c>
      <c r="BH63" s="49">
        <f>XNPV($J$63,BH61:$CT61,BH58:$CT58)*BH55</f>
        <v>4099.6784087599426</v>
      </c>
      <c r="BI63" s="49">
        <f>XNPV($J$63,BI61:$CT61,BI58:$CT58)*BI55</f>
        <v>3827.7955442286261</v>
      </c>
      <c r="BJ63" s="49">
        <f>XNPV($J$63,BJ61:$CT61,BJ58:$CT58)*BJ55</f>
        <v>3531.1585891951895</v>
      </c>
      <c r="BK63" s="49">
        <f>XNPV($J$63,BK61:$CT61,BK58:$CT58)*BK55</f>
        <v>3208.1540925278277</v>
      </c>
      <c r="BL63" s="49">
        <f>XNPV($J$63,BL61:$CT61,BL58:$CT58)*BL55</f>
        <v>2873.6685860559646</v>
      </c>
      <c r="BM63" s="49">
        <f>XNPV($J$63,BM61:$CT61,BM58:$CT58)*BM55</f>
        <v>2491.0439269389549</v>
      </c>
      <c r="BN63" s="49">
        <f>XNPV($J$63,BN61:$CT61,BN58:$CT58)*BN55</f>
        <v>2072.6898359779916</v>
      </c>
      <c r="BO63" s="49">
        <f>XNPV($J$63,BO61:$CT61,BO58:$CT58)*BO55</f>
        <v>1615.480485629261</v>
      </c>
      <c r="BP63" s="49">
        <f>XNPV($J$63,BP61:$CT61,BP58:$CT58)*BP55</f>
        <v>1114.7123629982641</v>
      </c>
      <c r="BQ63" s="49">
        <f>XNPV($J$63,BQ61:$CT61,BQ58:$CT58)*BQ55</f>
        <v>590.73091646494197</v>
      </c>
      <c r="BR63" s="49">
        <f>XNPV($J$63,BR61:$CT61,BR58:$CT58)*BR55</f>
        <v>0</v>
      </c>
      <c r="BS63" s="49">
        <f>XNPV($J$63,BS61:$CT61,BS58:$CT58)*BS55</f>
        <v>0</v>
      </c>
      <c r="BT63" s="49">
        <f>XNPV($J$63,BT61:$CT61,BT58:$CT58)*BT55</f>
        <v>0</v>
      </c>
      <c r="BU63" s="49">
        <f>XNPV($J$63,BU61:$CT61,BU58:$CT58)*BU55</f>
        <v>0</v>
      </c>
      <c r="BV63" s="49">
        <f>XNPV($J$63,BV61:$CT61,BV58:$CT58)*BV55</f>
        <v>0</v>
      </c>
      <c r="BW63" s="49">
        <f>XNPV($J$63,BW61:$CT61,BW58:$CT58)*BW55</f>
        <v>0</v>
      </c>
      <c r="BX63" s="49">
        <f>XNPV($J$63,BX61:$CT61,BX58:$CT58)*BX55</f>
        <v>0</v>
      </c>
      <c r="BY63" s="49">
        <f>XNPV($J$63,BY61:$CT61,BY58:$CT58)*BY55</f>
        <v>0</v>
      </c>
      <c r="BZ63" s="49">
        <f>XNPV($J$63,BZ61:$CT61,BZ58:$CT58)*BZ55</f>
        <v>0</v>
      </c>
      <c r="CA63" s="49">
        <f>XNPV($J$63,CA61:$CT61,CA58:$CT58)*CA55</f>
        <v>0</v>
      </c>
      <c r="CB63" s="49">
        <f>XNPV($J$63,CB61:$CT61,CB58:$CT58)*CB55</f>
        <v>0</v>
      </c>
      <c r="CC63" s="49">
        <f>XNPV($J$63,CC61:$CT61,CC58:$CT58)*CC55</f>
        <v>0</v>
      </c>
      <c r="CD63" s="49">
        <f>XNPV($J$63,CD61:$CT61,CD58:$CT58)*CD55</f>
        <v>0</v>
      </c>
      <c r="CE63" s="49">
        <f>XNPV($J$63,CE61:$CT61,CE58:$CT58)*CE55</f>
        <v>0</v>
      </c>
      <c r="CF63" s="49">
        <f>XNPV($J$63,CF61:$CT61,CF58:$CT58)*CF55</f>
        <v>0</v>
      </c>
      <c r="CG63" s="49">
        <f>XNPV($J$63,CG61:$CT61,CG58:$CT58)*CG55</f>
        <v>0</v>
      </c>
      <c r="CH63" s="49">
        <f>XNPV($J$63,CH61:$CT61,CH58:$CT58)*CH55</f>
        <v>0</v>
      </c>
      <c r="CI63" s="49">
        <f>XNPV($J$63,CI61:$CT61,CI58:$CT58)*CI55</f>
        <v>0</v>
      </c>
      <c r="CJ63" s="49">
        <f>XNPV($J$63,CJ61:$CT61,CJ58:$CT58)*CJ55</f>
        <v>0</v>
      </c>
      <c r="CK63" s="49">
        <f>XNPV($J$63,CK61:$CT61,CK58:$CT58)*CK55</f>
        <v>0</v>
      </c>
      <c r="CL63" s="49">
        <f>XNPV($J$63,CL61:$CT61,CL58:$CT58)*CL55</f>
        <v>0</v>
      </c>
      <c r="CM63" s="49">
        <f>XNPV($J$63,CM61:$CT61,CM58:$CT58)*CM55</f>
        <v>0</v>
      </c>
      <c r="CN63" s="49">
        <f>XNPV($J$63,CN61:$CT61,CN58:$CT58)*CN55</f>
        <v>0</v>
      </c>
      <c r="CO63" s="49">
        <f>XNPV($J$63,CO61:$CT61,CO58:$CT58)*CO55</f>
        <v>0</v>
      </c>
      <c r="CP63" s="49">
        <f>XNPV($J$63,CP61:$CT61,CP58:$CT58)*CP55</f>
        <v>0</v>
      </c>
      <c r="CQ63" s="49">
        <f>XNPV($J$63,CQ61:$CT61,CQ58:$CT58)*CQ55</f>
        <v>0</v>
      </c>
      <c r="CR63" s="49">
        <f>XNPV($J$63,CR61:$CT61,CR58:$CT58)*CR55</f>
        <v>0</v>
      </c>
      <c r="CS63" s="49">
        <f>XNPV($J$63,CS61:$CT61,CS58:$CT58)*CS55</f>
        <v>0</v>
      </c>
      <c r="CT63" s="49">
        <f>XNPV($J$63,CT61:$CT61,CT58:$CT58)*CT55</f>
        <v>0</v>
      </c>
    </row>
    <row r="64" spans="1:98" ht="12.75" customHeight="1" x14ac:dyDescent="0.25">
      <c r="C64" s="73"/>
      <c r="D64" s="74"/>
      <c r="E64" s="70"/>
      <c r="F64" s="70"/>
      <c r="G64" s="19"/>
      <c r="H64" s="71"/>
      <c r="J64" s="74"/>
      <c r="K64" s="10"/>
      <c r="N64" s="10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</row>
    <row r="65" spans="1:108" ht="12.75" customHeight="1" x14ac:dyDescent="0.25">
      <c r="C65" s="184" t="s">
        <v>28</v>
      </c>
      <c r="H65" s="9" t="s">
        <v>3</v>
      </c>
      <c r="J65" s="76">
        <f>N65</f>
        <v>5807.9975845449517</v>
      </c>
      <c r="K65" s="10"/>
      <c r="N65" s="25">
        <f t="shared" ref="N65" si="36">SUM(P65:CT65)</f>
        <v>5807.9975845449517</v>
      </c>
      <c r="P65" s="47">
        <f t="shared" ref="P65:CA65" si="37">P63*P56</f>
        <v>0</v>
      </c>
      <c r="Q65" s="47">
        <f t="shared" si="37"/>
        <v>0</v>
      </c>
      <c r="R65" s="47">
        <f t="shared" si="37"/>
        <v>0</v>
      </c>
      <c r="S65" s="47">
        <f t="shared" si="37"/>
        <v>0</v>
      </c>
      <c r="T65" s="47">
        <f t="shared" si="37"/>
        <v>0</v>
      </c>
      <c r="U65" s="47">
        <f t="shared" si="37"/>
        <v>0</v>
      </c>
      <c r="V65" s="47">
        <f t="shared" si="37"/>
        <v>0</v>
      </c>
      <c r="W65" s="47">
        <f t="shared" si="37"/>
        <v>0</v>
      </c>
      <c r="X65" s="47">
        <f t="shared" si="37"/>
        <v>0</v>
      </c>
      <c r="Y65" s="47">
        <f t="shared" si="37"/>
        <v>0</v>
      </c>
      <c r="Z65" s="47">
        <f t="shared" si="37"/>
        <v>0</v>
      </c>
      <c r="AA65" s="47">
        <f t="shared" si="37"/>
        <v>0</v>
      </c>
      <c r="AB65" s="47">
        <f t="shared" si="37"/>
        <v>0</v>
      </c>
      <c r="AC65" s="47">
        <f t="shared" si="37"/>
        <v>0</v>
      </c>
      <c r="AD65" s="47">
        <f t="shared" si="37"/>
        <v>0</v>
      </c>
      <c r="AE65" s="47">
        <f t="shared" si="37"/>
        <v>5807.9975845449517</v>
      </c>
      <c r="AF65" s="47">
        <f t="shared" si="37"/>
        <v>0</v>
      </c>
      <c r="AG65" s="47">
        <f t="shared" si="37"/>
        <v>0</v>
      </c>
      <c r="AH65" s="47">
        <f t="shared" si="37"/>
        <v>0</v>
      </c>
      <c r="AI65" s="47">
        <f t="shared" si="37"/>
        <v>0</v>
      </c>
      <c r="AJ65" s="47">
        <f t="shared" si="37"/>
        <v>0</v>
      </c>
      <c r="AK65" s="47">
        <f t="shared" si="37"/>
        <v>0</v>
      </c>
      <c r="AL65" s="47">
        <f t="shared" si="37"/>
        <v>0</v>
      </c>
      <c r="AM65" s="47">
        <f t="shared" si="37"/>
        <v>0</v>
      </c>
      <c r="AN65" s="47">
        <f t="shared" si="37"/>
        <v>0</v>
      </c>
      <c r="AO65" s="47">
        <f t="shared" si="37"/>
        <v>0</v>
      </c>
      <c r="AP65" s="47">
        <f t="shared" si="37"/>
        <v>0</v>
      </c>
      <c r="AQ65" s="47">
        <f t="shared" si="37"/>
        <v>0</v>
      </c>
      <c r="AR65" s="47">
        <f t="shared" si="37"/>
        <v>0</v>
      </c>
      <c r="AS65" s="47">
        <f t="shared" si="37"/>
        <v>0</v>
      </c>
      <c r="AT65" s="47">
        <f t="shared" si="37"/>
        <v>0</v>
      </c>
      <c r="AU65" s="47">
        <f t="shared" si="37"/>
        <v>0</v>
      </c>
      <c r="AV65" s="47">
        <f t="shared" si="37"/>
        <v>0</v>
      </c>
      <c r="AW65" s="47">
        <f t="shared" si="37"/>
        <v>0</v>
      </c>
      <c r="AX65" s="47">
        <f t="shared" si="37"/>
        <v>0</v>
      </c>
      <c r="AY65" s="47">
        <f t="shared" si="37"/>
        <v>0</v>
      </c>
      <c r="AZ65" s="47">
        <f t="shared" si="37"/>
        <v>0</v>
      </c>
      <c r="BA65" s="47">
        <f t="shared" si="37"/>
        <v>0</v>
      </c>
      <c r="BB65" s="47">
        <f t="shared" si="37"/>
        <v>0</v>
      </c>
      <c r="BC65" s="47">
        <f t="shared" si="37"/>
        <v>0</v>
      </c>
      <c r="BD65" s="47">
        <f t="shared" si="37"/>
        <v>0</v>
      </c>
      <c r="BE65" s="47">
        <f t="shared" si="37"/>
        <v>0</v>
      </c>
      <c r="BF65" s="47">
        <f t="shared" si="37"/>
        <v>0</v>
      </c>
      <c r="BG65" s="47">
        <f t="shared" si="37"/>
        <v>0</v>
      </c>
      <c r="BH65" s="47">
        <f t="shared" si="37"/>
        <v>0</v>
      </c>
      <c r="BI65" s="47">
        <f t="shared" si="37"/>
        <v>0</v>
      </c>
      <c r="BJ65" s="47">
        <f t="shared" si="37"/>
        <v>0</v>
      </c>
      <c r="BK65" s="47">
        <f t="shared" si="37"/>
        <v>0</v>
      </c>
      <c r="BL65" s="47">
        <f t="shared" si="37"/>
        <v>0</v>
      </c>
      <c r="BM65" s="47">
        <f t="shared" si="37"/>
        <v>0</v>
      </c>
      <c r="BN65" s="47">
        <f t="shared" si="37"/>
        <v>0</v>
      </c>
      <c r="BO65" s="47">
        <f t="shared" si="37"/>
        <v>0</v>
      </c>
      <c r="BP65" s="47">
        <f t="shared" si="37"/>
        <v>0</v>
      </c>
      <c r="BQ65" s="47">
        <f t="shared" si="37"/>
        <v>0</v>
      </c>
      <c r="BR65" s="47">
        <f t="shared" si="37"/>
        <v>0</v>
      </c>
      <c r="BS65" s="47">
        <f t="shared" si="37"/>
        <v>0</v>
      </c>
      <c r="BT65" s="47">
        <f t="shared" si="37"/>
        <v>0</v>
      </c>
      <c r="BU65" s="47">
        <f t="shared" si="37"/>
        <v>0</v>
      </c>
      <c r="BV65" s="47">
        <f t="shared" si="37"/>
        <v>0</v>
      </c>
      <c r="BW65" s="47">
        <f t="shared" si="37"/>
        <v>0</v>
      </c>
      <c r="BX65" s="47">
        <f t="shared" si="37"/>
        <v>0</v>
      </c>
      <c r="BY65" s="47">
        <f t="shared" si="37"/>
        <v>0</v>
      </c>
      <c r="BZ65" s="47">
        <f t="shared" si="37"/>
        <v>0</v>
      </c>
      <c r="CA65" s="47">
        <f t="shared" si="37"/>
        <v>0</v>
      </c>
      <c r="CB65" s="47">
        <f t="shared" ref="CB65:CT65" si="38">CB63*CB56</f>
        <v>0</v>
      </c>
      <c r="CC65" s="47">
        <f t="shared" si="38"/>
        <v>0</v>
      </c>
      <c r="CD65" s="47">
        <f t="shared" si="38"/>
        <v>0</v>
      </c>
      <c r="CE65" s="47">
        <f t="shared" si="38"/>
        <v>0</v>
      </c>
      <c r="CF65" s="47">
        <f t="shared" si="38"/>
        <v>0</v>
      </c>
      <c r="CG65" s="47">
        <f t="shared" si="38"/>
        <v>0</v>
      </c>
      <c r="CH65" s="47">
        <f t="shared" si="38"/>
        <v>0</v>
      </c>
      <c r="CI65" s="47">
        <f t="shared" si="38"/>
        <v>0</v>
      </c>
      <c r="CJ65" s="47">
        <f t="shared" si="38"/>
        <v>0</v>
      </c>
      <c r="CK65" s="47">
        <f t="shared" si="38"/>
        <v>0</v>
      </c>
      <c r="CL65" s="47">
        <f t="shared" si="38"/>
        <v>0</v>
      </c>
      <c r="CM65" s="47">
        <f t="shared" si="38"/>
        <v>0</v>
      </c>
      <c r="CN65" s="47">
        <f t="shared" si="38"/>
        <v>0</v>
      </c>
      <c r="CO65" s="47">
        <f t="shared" si="38"/>
        <v>0</v>
      </c>
      <c r="CP65" s="47">
        <f t="shared" si="38"/>
        <v>0</v>
      </c>
      <c r="CQ65" s="47">
        <f t="shared" si="38"/>
        <v>0</v>
      </c>
      <c r="CR65" s="47">
        <f t="shared" si="38"/>
        <v>0</v>
      </c>
      <c r="CS65" s="47">
        <f t="shared" si="38"/>
        <v>0</v>
      </c>
      <c r="CT65" s="47">
        <f t="shared" si="38"/>
        <v>0</v>
      </c>
    </row>
    <row r="66" spans="1:108" ht="12.75" customHeight="1" x14ac:dyDescent="0.25">
      <c r="H66" s="9"/>
      <c r="N66" s="10"/>
    </row>
    <row r="67" spans="1:108" ht="12.75" customHeight="1" x14ac:dyDescent="0.25">
      <c r="B67" s="21" t="s">
        <v>40</v>
      </c>
      <c r="H67" s="9"/>
      <c r="N67" s="10"/>
    </row>
    <row r="68" spans="1:108" ht="12.75" customHeight="1" x14ac:dyDescent="0.25">
      <c r="B68" s="41"/>
      <c r="C68" s="239"/>
      <c r="D68" s="77"/>
      <c r="E68" s="77"/>
      <c r="F68" s="77"/>
      <c r="G68" s="77"/>
      <c r="H68" s="9"/>
      <c r="N68" s="10"/>
    </row>
    <row r="69" spans="1:108" ht="12.75" customHeight="1" x14ac:dyDescent="0.25">
      <c r="C69" s="17" t="s">
        <v>32</v>
      </c>
      <c r="D69" t="s">
        <v>33</v>
      </c>
      <c r="E69" s="65"/>
      <c r="G69" s="78"/>
      <c r="H69" s="67" t="s">
        <v>3</v>
      </c>
      <c r="N69" s="25">
        <f t="shared" ref="N69:N71" si="39">SUM(P69:CT69)</f>
        <v>5807.9975845449517</v>
      </c>
      <c r="P69" s="47">
        <f>P65</f>
        <v>0</v>
      </c>
      <c r="Q69" s="47">
        <f t="shared" ref="Q69:CB69" si="40">Q65</f>
        <v>0</v>
      </c>
      <c r="R69" s="47">
        <f t="shared" si="40"/>
        <v>0</v>
      </c>
      <c r="S69" s="47">
        <f t="shared" si="40"/>
        <v>0</v>
      </c>
      <c r="T69" s="47">
        <f t="shared" si="40"/>
        <v>0</v>
      </c>
      <c r="U69" s="47">
        <f t="shared" si="40"/>
        <v>0</v>
      </c>
      <c r="V69" s="47">
        <f t="shared" si="40"/>
        <v>0</v>
      </c>
      <c r="W69" s="47">
        <f t="shared" si="40"/>
        <v>0</v>
      </c>
      <c r="X69" s="47">
        <f t="shared" si="40"/>
        <v>0</v>
      </c>
      <c r="Y69" s="47">
        <f t="shared" si="40"/>
        <v>0</v>
      </c>
      <c r="Z69" s="47">
        <f t="shared" si="40"/>
        <v>0</v>
      </c>
      <c r="AA69" s="47">
        <f t="shared" si="40"/>
        <v>0</v>
      </c>
      <c r="AB69" s="47">
        <f t="shared" si="40"/>
        <v>0</v>
      </c>
      <c r="AC69" s="47">
        <f t="shared" si="40"/>
        <v>0</v>
      </c>
      <c r="AD69" s="47">
        <f t="shared" si="40"/>
        <v>0</v>
      </c>
      <c r="AE69" s="47">
        <f t="shared" si="40"/>
        <v>5807.9975845449517</v>
      </c>
      <c r="AF69" s="47">
        <f t="shared" si="40"/>
        <v>0</v>
      </c>
      <c r="AG69" s="47">
        <f t="shared" si="40"/>
        <v>0</v>
      </c>
      <c r="AH69" s="47">
        <f t="shared" si="40"/>
        <v>0</v>
      </c>
      <c r="AI69" s="47">
        <f t="shared" si="40"/>
        <v>0</v>
      </c>
      <c r="AJ69" s="47">
        <f t="shared" si="40"/>
        <v>0</v>
      </c>
      <c r="AK69" s="47">
        <f t="shared" si="40"/>
        <v>0</v>
      </c>
      <c r="AL69" s="47">
        <f t="shared" si="40"/>
        <v>0</v>
      </c>
      <c r="AM69" s="47">
        <f t="shared" si="40"/>
        <v>0</v>
      </c>
      <c r="AN69" s="47">
        <f t="shared" si="40"/>
        <v>0</v>
      </c>
      <c r="AO69" s="47">
        <f t="shared" si="40"/>
        <v>0</v>
      </c>
      <c r="AP69" s="47">
        <f t="shared" si="40"/>
        <v>0</v>
      </c>
      <c r="AQ69" s="47">
        <f t="shared" si="40"/>
        <v>0</v>
      </c>
      <c r="AR69" s="47">
        <f t="shared" si="40"/>
        <v>0</v>
      </c>
      <c r="AS69" s="47">
        <f t="shared" si="40"/>
        <v>0</v>
      </c>
      <c r="AT69" s="47">
        <f t="shared" si="40"/>
        <v>0</v>
      </c>
      <c r="AU69" s="47">
        <f t="shared" si="40"/>
        <v>0</v>
      </c>
      <c r="AV69" s="47">
        <f t="shared" si="40"/>
        <v>0</v>
      </c>
      <c r="AW69" s="47">
        <f t="shared" si="40"/>
        <v>0</v>
      </c>
      <c r="AX69" s="47">
        <f t="shared" si="40"/>
        <v>0</v>
      </c>
      <c r="AY69" s="47">
        <f t="shared" si="40"/>
        <v>0</v>
      </c>
      <c r="AZ69" s="47">
        <f t="shared" si="40"/>
        <v>0</v>
      </c>
      <c r="BA69" s="47">
        <f t="shared" si="40"/>
        <v>0</v>
      </c>
      <c r="BB69" s="47">
        <f t="shared" si="40"/>
        <v>0</v>
      </c>
      <c r="BC69" s="47">
        <f t="shared" si="40"/>
        <v>0</v>
      </c>
      <c r="BD69" s="47">
        <f t="shared" si="40"/>
        <v>0</v>
      </c>
      <c r="BE69" s="47">
        <f t="shared" si="40"/>
        <v>0</v>
      </c>
      <c r="BF69" s="47">
        <f t="shared" si="40"/>
        <v>0</v>
      </c>
      <c r="BG69" s="47">
        <f t="shared" si="40"/>
        <v>0</v>
      </c>
      <c r="BH69" s="47">
        <f t="shared" si="40"/>
        <v>0</v>
      </c>
      <c r="BI69" s="47">
        <f t="shared" si="40"/>
        <v>0</v>
      </c>
      <c r="BJ69" s="47">
        <f t="shared" si="40"/>
        <v>0</v>
      </c>
      <c r="BK69" s="47">
        <f t="shared" si="40"/>
        <v>0</v>
      </c>
      <c r="BL69" s="47">
        <f t="shared" si="40"/>
        <v>0</v>
      </c>
      <c r="BM69" s="47">
        <f t="shared" si="40"/>
        <v>0</v>
      </c>
      <c r="BN69" s="47">
        <f t="shared" si="40"/>
        <v>0</v>
      </c>
      <c r="BO69" s="47">
        <f t="shared" si="40"/>
        <v>0</v>
      </c>
      <c r="BP69" s="47">
        <f t="shared" si="40"/>
        <v>0</v>
      </c>
      <c r="BQ69" s="47">
        <f t="shared" si="40"/>
        <v>0</v>
      </c>
      <c r="BR69" s="47">
        <f t="shared" si="40"/>
        <v>0</v>
      </c>
      <c r="BS69" s="47">
        <f t="shared" si="40"/>
        <v>0</v>
      </c>
      <c r="BT69" s="47">
        <f t="shared" si="40"/>
        <v>0</v>
      </c>
      <c r="BU69" s="47">
        <f t="shared" si="40"/>
        <v>0</v>
      </c>
      <c r="BV69" s="47">
        <f t="shared" si="40"/>
        <v>0</v>
      </c>
      <c r="BW69" s="47">
        <f t="shared" si="40"/>
        <v>0</v>
      </c>
      <c r="BX69" s="47">
        <f t="shared" si="40"/>
        <v>0</v>
      </c>
      <c r="BY69" s="47">
        <f t="shared" si="40"/>
        <v>0</v>
      </c>
      <c r="BZ69" s="47">
        <f t="shared" si="40"/>
        <v>0</v>
      </c>
      <c r="CA69" s="47">
        <f t="shared" si="40"/>
        <v>0</v>
      </c>
      <c r="CB69" s="47">
        <f t="shared" si="40"/>
        <v>0</v>
      </c>
      <c r="CC69" s="47">
        <f t="shared" ref="CC69:CT69" si="41">CC65</f>
        <v>0</v>
      </c>
      <c r="CD69" s="47">
        <f t="shared" si="41"/>
        <v>0</v>
      </c>
      <c r="CE69" s="47">
        <f t="shared" si="41"/>
        <v>0</v>
      </c>
      <c r="CF69" s="47">
        <f t="shared" si="41"/>
        <v>0</v>
      </c>
      <c r="CG69" s="47">
        <f t="shared" si="41"/>
        <v>0</v>
      </c>
      <c r="CH69" s="47">
        <f t="shared" si="41"/>
        <v>0</v>
      </c>
      <c r="CI69" s="47">
        <f t="shared" si="41"/>
        <v>0</v>
      </c>
      <c r="CJ69" s="47">
        <f t="shared" si="41"/>
        <v>0</v>
      </c>
      <c r="CK69" s="47">
        <f t="shared" si="41"/>
        <v>0</v>
      </c>
      <c r="CL69" s="47">
        <f t="shared" si="41"/>
        <v>0</v>
      </c>
      <c r="CM69" s="47">
        <f t="shared" si="41"/>
        <v>0</v>
      </c>
      <c r="CN69" s="47">
        <f t="shared" si="41"/>
        <v>0</v>
      </c>
      <c r="CO69" s="47">
        <f t="shared" si="41"/>
        <v>0</v>
      </c>
      <c r="CP69" s="47">
        <f t="shared" si="41"/>
        <v>0</v>
      </c>
      <c r="CQ69" s="47">
        <f t="shared" si="41"/>
        <v>0</v>
      </c>
      <c r="CR69" s="47">
        <f t="shared" si="41"/>
        <v>0</v>
      </c>
      <c r="CS69" s="47">
        <f t="shared" si="41"/>
        <v>0</v>
      </c>
      <c r="CT69" s="47">
        <f t="shared" si="41"/>
        <v>0</v>
      </c>
    </row>
    <row r="70" spans="1:108" ht="12.75" customHeight="1" x14ac:dyDescent="0.25">
      <c r="C70" s="17" t="s">
        <v>34</v>
      </c>
      <c r="D70" s="27" t="s">
        <v>41</v>
      </c>
      <c r="E70" s="79"/>
      <c r="F70" s="79"/>
      <c r="G70" s="80"/>
      <c r="H70" s="81" t="s">
        <v>3</v>
      </c>
      <c r="I70" s="27"/>
      <c r="J70" s="27"/>
      <c r="K70" s="27"/>
      <c r="L70" s="27"/>
      <c r="M70" s="27"/>
      <c r="N70" s="32">
        <f t="shared" si="39"/>
        <v>23759.943649041241</v>
      </c>
      <c r="O70" s="27"/>
      <c r="P70" s="48">
        <f>P61</f>
        <v>0</v>
      </c>
      <c r="Q70" s="48">
        <f t="shared" ref="Q70:CB70" si="42">Q61</f>
        <v>0</v>
      </c>
      <c r="R70" s="48">
        <f t="shared" si="42"/>
        <v>0</v>
      </c>
      <c r="S70" s="48">
        <f t="shared" si="42"/>
        <v>0</v>
      </c>
      <c r="T70" s="48">
        <f t="shared" si="42"/>
        <v>0</v>
      </c>
      <c r="U70" s="48">
        <f t="shared" si="42"/>
        <v>0</v>
      </c>
      <c r="V70" s="48">
        <f t="shared" si="42"/>
        <v>0</v>
      </c>
      <c r="W70" s="48">
        <f t="shared" si="42"/>
        <v>0</v>
      </c>
      <c r="X70" s="48">
        <f t="shared" si="42"/>
        <v>0</v>
      </c>
      <c r="Y70" s="48">
        <f t="shared" si="42"/>
        <v>0</v>
      </c>
      <c r="Z70" s="48">
        <f t="shared" si="42"/>
        <v>0</v>
      </c>
      <c r="AA70" s="48">
        <f t="shared" si="42"/>
        <v>0</v>
      </c>
      <c r="AB70" s="48">
        <f t="shared" si="42"/>
        <v>0</v>
      </c>
      <c r="AC70" s="48">
        <f t="shared" si="42"/>
        <v>0</v>
      </c>
      <c r="AD70" s="48">
        <f t="shared" si="42"/>
        <v>0</v>
      </c>
      <c r="AE70" s="48">
        <f t="shared" si="42"/>
        <v>0</v>
      </c>
      <c r="AF70" s="48">
        <f t="shared" si="42"/>
        <v>560.78401237814751</v>
      </c>
      <c r="AG70" s="48">
        <f t="shared" si="42"/>
        <v>540.54279737110016</v>
      </c>
      <c r="AH70" s="48">
        <f t="shared" si="42"/>
        <v>555.62102576011614</v>
      </c>
      <c r="AI70" s="48">
        <f t="shared" si="42"/>
        <v>553.94082438343116</v>
      </c>
      <c r="AJ70" s="48">
        <f t="shared" si="42"/>
        <v>551.85330183739222</v>
      </c>
      <c r="AK70" s="48">
        <f t="shared" si="42"/>
        <v>549.36252381879297</v>
      </c>
      <c r="AL70" s="48">
        <f t="shared" si="42"/>
        <v>528.53265917282272</v>
      </c>
      <c r="AM70" s="48">
        <f t="shared" si="42"/>
        <v>543.67325608088424</v>
      </c>
      <c r="AN70" s="48">
        <f t="shared" si="42"/>
        <v>541.69196551032906</v>
      </c>
      <c r="AO70" s="48">
        <f t="shared" si="42"/>
        <v>539.11060736680292</v>
      </c>
      <c r="AP70" s="48">
        <f t="shared" si="42"/>
        <v>536.29929795184842</v>
      </c>
      <c r="AQ70" s="48">
        <f t="shared" si="42"/>
        <v>514.80917888655392</v>
      </c>
      <c r="AR70" s="48">
        <f t="shared" si="42"/>
        <v>822.83142159758938</v>
      </c>
      <c r="AS70" s="48">
        <f t="shared" si="42"/>
        <v>821.96939955242078</v>
      </c>
      <c r="AT70" s="48">
        <f t="shared" si="42"/>
        <v>820.06572751445697</v>
      </c>
      <c r="AU70" s="48">
        <f t="shared" si="42"/>
        <v>818.14301875611352</v>
      </c>
      <c r="AV70" s="48">
        <f t="shared" si="42"/>
        <v>786.77364359350895</v>
      </c>
      <c r="AW70" s="48">
        <f t="shared" si="42"/>
        <v>813.40111339721909</v>
      </c>
      <c r="AX70" s="48">
        <f t="shared" si="42"/>
        <v>669.71789290676452</v>
      </c>
      <c r="AY70" s="48">
        <f t="shared" si="42"/>
        <v>640.4861805718208</v>
      </c>
      <c r="AZ70" s="48">
        <f t="shared" si="42"/>
        <v>638.46283302817244</v>
      </c>
      <c r="BA70" s="48">
        <f t="shared" si="42"/>
        <v>619.75804753401599</v>
      </c>
      <c r="BB70" s="48">
        <f t="shared" si="42"/>
        <v>633.68582475554763</v>
      </c>
      <c r="BC70" s="48">
        <f t="shared" si="42"/>
        <v>631.60116775797917</v>
      </c>
      <c r="BD70" s="48">
        <f t="shared" si="42"/>
        <v>629.49566419043492</v>
      </c>
      <c r="BE70" s="48">
        <f t="shared" si="42"/>
        <v>627.36910558721524</v>
      </c>
      <c r="BF70" s="48">
        <f t="shared" si="42"/>
        <v>608.40671659361738</v>
      </c>
      <c r="BG70" s="48">
        <f t="shared" si="42"/>
        <v>622.05527309846605</v>
      </c>
      <c r="BH70" s="48">
        <f t="shared" si="42"/>
        <v>619.86427764301015</v>
      </c>
      <c r="BI70" s="48">
        <f t="shared" si="42"/>
        <v>617.65137223299985</v>
      </c>
      <c r="BJ70" s="48">
        <f t="shared" si="42"/>
        <v>615.41633776888943</v>
      </c>
      <c r="BK70" s="48">
        <f t="shared" si="42"/>
        <v>595.72810520422377</v>
      </c>
      <c r="BL70" s="48">
        <f t="shared" si="42"/>
        <v>609.08319792964255</v>
      </c>
      <c r="BM70" s="48">
        <f t="shared" si="42"/>
        <v>606.78043968623513</v>
      </c>
      <c r="BN70" s="48">
        <f t="shared" si="42"/>
        <v>604.45465386039359</v>
      </c>
      <c r="BO70" s="48">
        <f t="shared" si="42"/>
        <v>602.10561017629357</v>
      </c>
      <c r="BP70" s="48">
        <f t="shared" si="42"/>
        <v>577.6842571210442</v>
      </c>
      <c r="BQ70" s="48">
        <f t="shared" si="42"/>
        <v>590.73091646494197</v>
      </c>
      <c r="BR70" s="48">
        <f t="shared" si="42"/>
        <v>0</v>
      </c>
      <c r="BS70" s="48">
        <f t="shared" si="42"/>
        <v>0</v>
      </c>
      <c r="BT70" s="48">
        <f t="shared" si="42"/>
        <v>0</v>
      </c>
      <c r="BU70" s="48">
        <f t="shared" si="42"/>
        <v>0</v>
      </c>
      <c r="BV70" s="48">
        <f t="shared" si="42"/>
        <v>0</v>
      </c>
      <c r="BW70" s="48">
        <f t="shared" si="42"/>
        <v>0</v>
      </c>
      <c r="BX70" s="48">
        <f t="shared" si="42"/>
        <v>0</v>
      </c>
      <c r="BY70" s="48">
        <f t="shared" si="42"/>
        <v>0</v>
      </c>
      <c r="BZ70" s="48">
        <f t="shared" si="42"/>
        <v>0</v>
      </c>
      <c r="CA70" s="48">
        <f t="shared" si="42"/>
        <v>0</v>
      </c>
      <c r="CB70" s="48">
        <f t="shared" si="42"/>
        <v>0</v>
      </c>
      <c r="CC70" s="48">
        <f t="shared" ref="CC70:CT70" si="43">CC61</f>
        <v>0</v>
      </c>
      <c r="CD70" s="48">
        <f t="shared" si="43"/>
        <v>0</v>
      </c>
      <c r="CE70" s="48">
        <f t="shared" si="43"/>
        <v>0</v>
      </c>
      <c r="CF70" s="48">
        <f t="shared" si="43"/>
        <v>0</v>
      </c>
      <c r="CG70" s="48">
        <f t="shared" si="43"/>
        <v>0</v>
      </c>
      <c r="CH70" s="48">
        <f t="shared" si="43"/>
        <v>0</v>
      </c>
      <c r="CI70" s="48">
        <f t="shared" si="43"/>
        <v>0</v>
      </c>
      <c r="CJ70" s="48">
        <f t="shared" si="43"/>
        <v>0</v>
      </c>
      <c r="CK70" s="48">
        <f t="shared" si="43"/>
        <v>0</v>
      </c>
      <c r="CL70" s="48">
        <f t="shared" si="43"/>
        <v>0</v>
      </c>
      <c r="CM70" s="48">
        <f t="shared" si="43"/>
        <v>0</v>
      </c>
      <c r="CN70" s="48">
        <f t="shared" si="43"/>
        <v>0</v>
      </c>
      <c r="CO70" s="48">
        <f t="shared" si="43"/>
        <v>0</v>
      </c>
      <c r="CP70" s="48">
        <f t="shared" si="43"/>
        <v>0</v>
      </c>
      <c r="CQ70" s="48">
        <f t="shared" si="43"/>
        <v>0</v>
      </c>
      <c r="CR70" s="48">
        <f t="shared" si="43"/>
        <v>0</v>
      </c>
      <c r="CS70" s="48">
        <f t="shared" si="43"/>
        <v>0</v>
      </c>
      <c r="CT70" s="48">
        <f t="shared" si="43"/>
        <v>0</v>
      </c>
    </row>
    <row r="71" spans="1:108" ht="12.75" customHeight="1" x14ac:dyDescent="0.25">
      <c r="D71" s="73"/>
      <c r="E71" s="70"/>
      <c r="F71" s="70"/>
      <c r="G71" s="82"/>
      <c r="H71" s="71" t="s">
        <v>3</v>
      </c>
      <c r="N71" s="25">
        <f t="shared" si="39"/>
        <v>17951.946064496286</v>
      </c>
      <c r="P71" s="51">
        <f>-P69+P70</f>
        <v>0</v>
      </c>
      <c r="Q71" s="51">
        <f t="shared" ref="Q71:CB71" si="44">-Q69+Q70</f>
        <v>0</v>
      </c>
      <c r="R71" s="51">
        <f t="shared" si="44"/>
        <v>0</v>
      </c>
      <c r="S71" s="51">
        <f t="shared" si="44"/>
        <v>0</v>
      </c>
      <c r="T71" s="51">
        <f t="shared" si="44"/>
        <v>0</v>
      </c>
      <c r="U71" s="51">
        <f t="shared" si="44"/>
        <v>0</v>
      </c>
      <c r="V71" s="51">
        <f t="shared" si="44"/>
        <v>0</v>
      </c>
      <c r="W71" s="51">
        <f t="shared" si="44"/>
        <v>0</v>
      </c>
      <c r="X71" s="51">
        <f t="shared" si="44"/>
        <v>0</v>
      </c>
      <c r="Y71" s="51">
        <f t="shared" si="44"/>
        <v>0</v>
      </c>
      <c r="Z71" s="51">
        <f t="shared" si="44"/>
        <v>0</v>
      </c>
      <c r="AA71" s="51">
        <f t="shared" si="44"/>
        <v>0</v>
      </c>
      <c r="AB71" s="51">
        <f t="shared" si="44"/>
        <v>0</v>
      </c>
      <c r="AC71" s="51">
        <f t="shared" si="44"/>
        <v>0</v>
      </c>
      <c r="AD71" s="51">
        <f t="shared" si="44"/>
        <v>0</v>
      </c>
      <c r="AE71" s="51">
        <f t="shared" si="44"/>
        <v>-5807.9975845449517</v>
      </c>
      <c r="AF71" s="51">
        <f t="shared" si="44"/>
        <v>560.78401237814751</v>
      </c>
      <c r="AG71" s="51">
        <f t="shared" si="44"/>
        <v>540.54279737110016</v>
      </c>
      <c r="AH71" s="51">
        <f t="shared" si="44"/>
        <v>555.62102576011614</v>
      </c>
      <c r="AI71" s="51">
        <f t="shared" si="44"/>
        <v>553.94082438343116</v>
      </c>
      <c r="AJ71" s="51">
        <f t="shared" si="44"/>
        <v>551.85330183739222</v>
      </c>
      <c r="AK71" s="51">
        <f t="shared" si="44"/>
        <v>549.36252381879297</v>
      </c>
      <c r="AL71" s="51">
        <f t="shared" si="44"/>
        <v>528.53265917282272</v>
      </c>
      <c r="AM71" s="51">
        <f t="shared" si="44"/>
        <v>543.67325608088424</v>
      </c>
      <c r="AN71" s="51">
        <f t="shared" si="44"/>
        <v>541.69196551032906</v>
      </c>
      <c r="AO71" s="51">
        <f t="shared" si="44"/>
        <v>539.11060736680292</v>
      </c>
      <c r="AP71" s="51">
        <f t="shared" si="44"/>
        <v>536.29929795184842</v>
      </c>
      <c r="AQ71" s="51">
        <f t="shared" si="44"/>
        <v>514.80917888655392</v>
      </c>
      <c r="AR71" s="51">
        <f t="shared" si="44"/>
        <v>822.83142159758938</v>
      </c>
      <c r="AS71" s="51">
        <f t="shared" si="44"/>
        <v>821.96939955242078</v>
      </c>
      <c r="AT71" s="51">
        <f t="shared" si="44"/>
        <v>820.06572751445697</v>
      </c>
      <c r="AU71" s="51">
        <f t="shared" si="44"/>
        <v>818.14301875611352</v>
      </c>
      <c r="AV71" s="51">
        <f t="shared" si="44"/>
        <v>786.77364359350895</v>
      </c>
      <c r="AW71" s="51">
        <f t="shared" si="44"/>
        <v>813.40111339721909</v>
      </c>
      <c r="AX71" s="51">
        <f t="shared" si="44"/>
        <v>669.71789290676452</v>
      </c>
      <c r="AY71" s="51">
        <f t="shared" si="44"/>
        <v>640.4861805718208</v>
      </c>
      <c r="AZ71" s="51">
        <f t="shared" si="44"/>
        <v>638.46283302817244</v>
      </c>
      <c r="BA71" s="51">
        <f t="shared" si="44"/>
        <v>619.75804753401599</v>
      </c>
      <c r="BB71" s="51">
        <f t="shared" si="44"/>
        <v>633.68582475554763</v>
      </c>
      <c r="BC71" s="51">
        <f t="shared" si="44"/>
        <v>631.60116775797917</v>
      </c>
      <c r="BD71" s="51">
        <f t="shared" si="44"/>
        <v>629.49566419043492</v>
      </c>
      <c r="BE71" s="51">
        <f t="shared" si="44"/>
        <v>627.36910558721524</v>
      </c>
      <c r="BF71" s="51">
        <f t="shared" si="44"/>
        <v>608.40671659361738</v>
      </c>
      <c r="BG71" s="51">
        <f t="shared" si="44"/>
        <v>622.05527309846605</v>
      </c>
      <c r="BH71" s="51">
        <f t="shared" si="44"/>
        <v>619.86427764301015</v>
      </c>
      <c r="BI71" s="51">
        <f t="shared" si="44"/>
        <v>617.65137223299985</v>
      </c>
      <c r="BJ71" s="51">
        <f t="shared" si="44"/>
        <v>615.41633776888943</v>
      </c>
      <c r="BK71" s="51">
        <f t="shared" si="44"/>
        <v>595.72810520422377</v>
      </c>
      <c r="BL71" s="51">
        <f t="shared" si="44"/>
        <v>609.08319792964255</v>
      </c>
      <c r="BM71" s="51">
        <f t="shared" si="44"/>
        <v>606.78043968623513</v>
      </c>
      <c r="BN71" s="51">
        <f t="shared" si="44"/>
        <v>604.45465386039359</v>
      </c>
      <c r="BO71" s="51">
        <f t="shared" si="44"/>
        <v>602.10561017629357</v>
      </c>
      <c r="BP71" s="51">
        <f t="shared" si="44"/>
        <v>577.6842571210442</v>
      </c>
      <c r="BQ71" s="51">
        <f t="shared" si="44"/>
        <v>590.73091646494197</v>
      </c>
      <c r="BR71" s="51">
        <f t="shared" si="44"/>
        <v>0</v>
      </c>
      <c r="BS71" s="51">
        <f t="shared" si="44"/>
        <v>0</v>
      </c>
      <c r="BT71" s="51">
        <f t="shared" si="44"/>
        <v>0</v>
      </c>
      <c r="BU71" s="51">
        <f t="shared" si="44"/>
        <v>0</v>
      </c>
      <c r="BV71" s="51">
        <f t="shared" si="44"/>
        <v>0</v>
      </c>
      <c r="BW71" s="51">
        <f t="shared" si="44"/>
        <v>0</v>
      </c>
      <c r="BX71" s="51">
        <f t="shared" si="44"/>
        <v>0</v>
      </c>
      <c r="BY71" s="51">
        <f t="shared" si="44"/>
        <v>0</v>
      </c>
      <c r="BZ71" s="51">
        <f t="shared" si="44"/>
        <v>0</v>
      </c>
      <c r="CA71" s="51">
        <f t="shared" si="44"/>
        <v>0</v>
      </c>
      <c r="CB71" s="51">
        <f t="shared" si="44"/>
        <v>0</v>
      </c>
      <c r="CC71" s="51">
        <f t="shared" ref="CC71:CT71" si="45">-CC69+CC70</f>
        <v>0</v>
      </c>
      <c r="CD71" s="51">
        <f t="shared" si="45"/>
        <v>0</v>
      </c>
      <c r="CE71" s="51">
        <f t="shared" si="45"/>
        <v>0</v>
      </c>
      <c r="CF71" s="51">
        <f t="shared" si="45"/>
        <v>0</v>
      </c>
      <c r="CG71" s="51">
        <f t="shared" si="45"/>
        <v>0</v>
      </c>
      <c r="CH71" s="51">
        <f t="shared" si="45"/>
        <v>0</v>
      </c>
      <c r="CI71" s="51">
        <f t="shared" si="45"/>
        <v>0</v>
      </c>
      <c r="CJ71" s="51">
        <f t="shared" si="45"/>
        <v>0</v>
      </c>
      <c r="CK71" s="51">
        <f t="shared" si="45"/>
        <v>0</v>
      </c>
      <c r="CL71" s="51">
        <f t="shared" si="45"/>
        <v>0</v>
      </c>
      <c r="CM71" s="51">
        <f t="shared" si="45"/>
        <v>0</v>
      </c>
      <c r="CN71" s="51">
        <f t="shared" si="45"/>
        <v>0</v>
      </c>
      <c r="CO71" s="51">
        <f t="shared" si="45"/>
        <v>0</v>
      </c>
      <c r="CP71" s="51">
        <f t="shared" si="45"/>
        <v>0</v>
      </c>
      <c r="CQ71" s="51">
        <f t="shared" si="45"/>
        <v>0</v>
      </c>
      <c r="CR71" s="51">
        <f t="shared" si="45"/>
        <v>0</v>
      </c>
      <c r="CS71" s="51">
        <f t="shared" si="45"/>
        <v>0</v>
      </c>
      <c r="CT71" s="51">
        <f t="shared" si="45"/>
        <v>0</v>
      </c>
    </row>
    <row r="72" spans="1:108" ht="12.75" customHeight="1" x14ac:dyDescent="0.25">
      <c r="C72" s="73"/>
      <c r="D72" s="83"/>
      <c r="E72" s="70"/>
      <c r="F72" s="70"/>
      <c r="G72" s="82"/>
      <c r="H72" s="71"/>
      <c r="N72" s="10"/>
    </row>
    <row r="73" spans="1:108" ht="12.75" customHeight="1" x14ac:dyDescent="0.25">
      <c r="C73" s="184" t="s">
        <v>5</v>
      </c>
      <c r="H73" s="9" t="s">
        <v>6</v>
      </c>
      <c r="J73" s="84">
        <f>SUMPRODUCT(P73:CT73,P56:CT56)</f>
        <v>0.10006148921375613</v>
      </c>
      <c r="N73" s="10"/>
      <c r="P73" s="63">
        <f>IFERROR(IRR(P71:$CT71)*P56,0)</f>
        <v>0</v>
      </c>
      <c r="Q73" s="63">
        <f>IFERROR(IRR(Q71:$CT71)*Q56,0)</f>
        <v>0</v>
      </c>
      <c r="R73" s="63">
        <f>IFERROR(IRR(R71:$CT71)*R56,0)</f>
        <v>0</v>
      </c>
      <c r="S73" s="63">
        <f>IFERROR(IRR(S71:$CT71)*S56,0)</f>
        <v>0</v>
      </c>
      <c r="T73" s="63">
        <f>IFERROR(IRR(T71:$CT71)*T56,0)</f>
        <v>0</v>
      </c>
      <c r="U73" s="63">
        <f>IFERROR(IRR(U71:$CT71)*U56,0)</f>
        <v>0</v>
      </c>
      <c r="V73" s="63">
        <f>IFERROR(IRR(V71:$CT71)*V56,0)</f>
        <v>0</v>
      </c>
      <c r="W73" s="63">
        <f>IFERROR(IRR(W71:$CT71)*W56,0)</f>
        <v>0</v>
      </c>
      <c r="X73" s="63">
        <f>IFERROR(IRR(X71:$CT71)*X56,0)</f>
        <v>0</v>
      </c>
      <c r="Y73" s="63">
        <f>IFERROR(IRR(Y71:$CT71)*Y56,0)</f>
        <v>0</v>
      </c>
      <c r="Z73" s="63">
        <f>IFERROR(IRR(Z71:$CT71)*Z56,0)</f>
        <v>0</v>
      </c>
      <c r="AA73" s="63">
        <f>IFERROR(IRR(AA71:$CT71)*AA56,0)</f>
        <v>0</v>
      </c>
      <c r="AB73" s="63">
        <f>IFERROR(IRR(AB71:$CT71)*AB56,0)</f>
        <v>0</v>
      </c>
      <c r="AC73" s="63">
        <f>IFERROR(IRR(AC71:$CT71)*AC56,0)</f>
        <v>0</v>
      </c>
      <c r="AD73" s="63">
        <f>IFERROR(IRR(AD71:$CT71)*AD56,0)</f>
        <v>0</v>
      </c>
      <c r="AE73" s="63">
        <f>IFERROR(IRR(AE71:$CT71)*AE56,0)</f>
        <v>0.10006148921375613</v>
      </c>
      <c r="AF73" s="63">
        <f>IFERROR(IRR(AF71:$CT71)*AF56,0)</f>
        <v>0</v>
      </c>
      <c r="AG73" s="63">
        <f>IFERROR(IRR(AG71:$CT71)*AG56,0)</f>
        <v>0</v>
      </c>
      <c r="AH73" s="63">
        <f>IFERROR(IRR(AH71:$CT71)*AH56,0)</f>
        <v>0</v>
      </c>
      <c r="AI73" s="63">
        <f>IFERROR(IRR(AI71:$CT71)*AI56,0)</f>
        <v>0</v>
      </c>
      <c r="AJ73" s="63">
        <f>IFERROR(IRR(AJ71:$CT71)*AJ56,0)</f>
        <v>0</v>
      </c>
      <c r="AK73" s="63">
        <f>IFERROR(IRR(AK71:$CT71)*AK56,0)</f>
        <v>0</v>
      </c>
      <c r="AL73" s="63">
        <f>IFERROR(IRR(AL71:$CT71)*AL56,0)</f>
        <v>0</v>
      </c>
      <c r="AM73" s="63">
        <f>IFERROR(IRR(AM71:$CT71)*AM56,0)</f>
        <v>0</v>
      </c>
      <c r="AN73" s="63">
        <f>IFERROR(IRR(AN71:$CT71)*AN56,0)</f>
        <v>0</v>
      </c>
      <c r="AO73" s="63">
        <f>IFERROR(IRR(AO71:$CT71)*AO56,0)</f>
        <v>0</v>
      </c>
      <c r="AP73" s="63">
        <f>IFERROR(IRR(AP71:$CT71)*AP56,0)</f>
        <v>0</v>
      </c>
      <c r="AQ73" s="63">
        <f>IFERROR(IRR(AQ71:$CT71)*AQ56,0)</f>
        <v>0</v>
      </c>
      <c r="AR73" s="63">
        <f>IFERROR(IRR(AR71:$CT71)*AR56,0)</f>
        <v>0</v>
      </c>
      <c r="AS73" s="63">
        <f>IFERROR(IRR(AS71:$CT71)*AS56,0)</f>
        <v>0</v>
      </c>
      <c r="AT73" s="63">
        <f>IFERROR(IRR(AT71:$CT71)*AT56,0)</f>
        <v>0</v>
      </c>
      <c r="AU73" s="63">
        <f>IFERROR(IRR(AU71:$CT71)*AU56,0)</f>
        <v>0</v>
      </c>
      <c r="AV73" s="63">
        <f>IFERROR(IRR(AV71:$CT71)*AV56,0)</f>
        <v>0</v>
      </c>
      <c r="AW73" s="63">
        <f>IFERROR(IRR(AW71:$CT71)*AW56,0)</f>
        <v>0</v>
      </c>
      <c r="AX73" s="63">
        <f>IFERROR(IRR(AX71:$CT71)*AX56,0)</f>
        <v>0</v>
      </c>
      <c r="AY73" s="63">
        <f>IFERROR(IRR(AY71:$CT71)*AY56,0)</f>
        <v>0</v>
      </c>
      <c r="AZ73" s="63">
        <f>IFERROR(IRR(AZ71:$CT71)*AZ56,0)</f>
        <v>0</v>
      </c>
      <c r="BA73" s="63">
        <f>IFERROR(IRR(BA71:$CT71)*BA56,0)</f>
        <v>0</v>
      </c>
      <c r="BB73" s="63">
        <f>IFERROR(IRR(BB71:$CT71)*BB56,0)</f>
        <v>0</v>
      </c>
      <c r="BC73" s="63">
        <f>IFERROR(IRR(BC71:$CT71)*BC56,0)</f>
        <v>0</v>
      </c>
      <c r="BD73" s="63">
        <f>IFERROR(IRR(BD71:$CT71)*BD56,0)</f>
        <v>0</v>
      </c>
      <c r="BE73" s="63">
        <f>IFERROR(IRR(BE71:$CT71)*BE56,0)</f>
        <v>0</v>
      </c>
      <c r="BF73" s="63">
        <f>IFERROR(IRR(BF71:$CT71)*BF56,0)</f>
        <v>0</v>
      </c>
      <c r="BG73" s="63">
        <f>IFERROR(IRR(BG71:$CT71)*BG56,0)</f>
        <v>0</v>
      </c>
      <c r="BH73" s="63">
        <f>IFERROR(IRR(BH71:$CT71)*BH56,0)</f>
        <v>0</v>
      </c>
      <c r="BI73" s="63">
        <f>IFERROR(IRR(BI71:$CT71)*BI56,0)</f>
        <v>0</v>
      </c>
      <c r="BJ73" s="63">
        <f>IFERROR(IRR(BJ71:$CT71)*BJ56,0)</f>
        <v>0</v>
      </c>
      <c r="BK73" s="63">
        <f>IFERROR(IRR(BK71:$CT71)*BK56,0)</f>
        <v>0</v>
      </c>
      <c r="BL73" s="63">
        <f>IFERROR(IRR(BL71:$CT71)*BL56,0)</f>
        <v>0</v>
      </c>
      <c r="BM73" s="63">
        <f>IFERROR(IRR(BM71:$CT71)*BM56,0)</f>
        <v>0</v>
      </c>
      <c r="BN73" s="63">
        <f>IFERROR(IRR(BN71:$CT71)*BN56,0)</f>
        <v>0</v>
      </c>
      <c r="BO73" s="63">
        <f>IFERROR(IRR(BO71:$CT71)*BO56,0)</f>
        <v>0</v>
      </c>
      <c r="BP73" s="63">
        <f>IFERROR(IRR(BP71:$CT71)*BP56,0)</f>
        <v>0</v>
      </c>
      <c r="BQ73" s="63">
        <f>IFERROR(IRR(BQ71:$CT71)*BQ56,0)</f>
        <v>0</v>
      </c>
      <c r="BR73" s="63">
        <f>IFERROR(IRR(BR71:$CT71)*BR56,0)</f>
        <v>0</v>
      </c>
      <c r="BS73" s="63">
        <f>IFERROR(IRR(BS71:$CT71)*BS56,0)</f>
        <v>0</v>
      </c>
      <c r="BT73" s="63">
        <f>IFERROR(IRR(BT71:$CT71)*BT56,0)</f>
        <v>0</v>
      </c>
      <c r="BU73" s="63">
        <f>IFERROR(IRR(BU71:$CT71)*BU56,0)</f>
        <v>0</v>
      </c>
      <c r="BV73" s="63">
        <f>IFERROR(IRR(BV71:$CT71)*BV56,0)</f>
        <v>0</v>
      </c>
      <c r="BW73" s="63">
        <f>IFERROR(IRR(BW71:$CT71)*BW56,0)</f>
        <v>0</v>
      </c>
      <c r="BX73" s="63">
        <f>IFERROR(IRR(BX71:$CT71)*BX56,0)</f>
        <v>0</v>
      </c>
      <c r="BY73" s="63">
        <f>IFERROR(IRR(BY71:$CT71)*BY56,0)</f>
        <v>0</v>
      </c>
      <c r="BZ73" s="63">
        <f>IFERROR(IRR(BZ71:$CT71)*BZ56,0)</f>
        <v>0</v>
      </c>
      <c r="CA73" s="63">
        <f>IFERROR(IRR(CA71:$CT71)*CA56,0)</f>
        <v>0</v>
      </c>
      <c r="CB73" s="63">
        <f>IFERROR(IRR(CB71:$CT71)*CB56,0)</f>
        <v>0</v>
      </c>
      <c r="CC73" s="63">
        <f>IFERROR(IRR(CC71:$CT71)*CC56,0)</f>
        <v>0</v>
      </c>
      <c r="CD73" s="63">
        <f>IFERROR(IRR(CD71:$CT71)*CD56,0)</f>
        <v>0</v>
      </c>
      <c r="CE73" s="63">
        <f>IFERROR(IRR(CE71:$CT71)*CE56,0)</f>
        <v>0</v>
      </c>
      <c r="CF73" s="63">
        <f>IFERROR(IRR(CF71:$CT71)*CF56,0)</f>
        <v>0</v>
      </c>
      <c r="CG73" s="63">
        <f>IFERROR(IRR(CG71:$CT71)*CG56,0)</f>
        <v>0</v>
      </c>
      <c r="CH73" s="63">
        <f>IFERROR(IRR(CH71:$CT71)*CH56,0)</f>
        <v>0</v>
      </c>
      <c r="CI73" s="63">
        <f>IFERROR(IRR(CI71:$CT71)*CI56,0)</f>
        <v>0</v>
      </c>
      <c r="CJ73" s="63">
        <f>IFERROR(IRR(CJ71:$CT71)*CJ56,0)</f>
        <v>0</v>
      </c>
      <c r="CK73" s="63">
        <f>IFERROR(IRR(CK71:$CT71)*CK56,0)</f>
        <v>0</v>
      </c>
      <c r="CL73" s="63">
        <f>IFERROR(IRR(CL71:$CT71)*CL56,0)</f>
        <v>0</v>
      </c>
      <c r="CM73" s="63">
        <f>IFERROR(IRR(CM71:$CT71)*CM56,0)</f>
        <v>0</v>
      </c>
      <c r="CN73" s="63">
        <f>IFERROR(IRR(CN71:$CT71)*CN56,0)</f>
        <v>0</v>
      </c>
      <c r="CO73" s="63">
        <f>IFERROR(IRR(CO71:$CT71)*CO56,0)</f>
        <v>0</v>
      </c>
      <c r="CP73" s="63">
        <f>IFERROR(IRR(CP71:$CT71)*CP56,0)</f>
        <v>0</v>
      </c>
      <c r="CQ73" s="63">
        <f>IFERROR(IRR(CQ71:$CT71)*CQ56,0)</f>
        <v>0</v>
      </c>
      <c r="CR73" s="63">
        <f>IFERROR(IRR(CR71:$CT71)*CR56,0)</f>
        <v>0</v>
      </c>
      <c r="CS73" s="63">
        <f>IFERROR(IRR(CS71:$CT71)*CS56,0)</f>
        <v>0</v>
      </c>
      <c r="CT73" s="63">
        <f>IFERROR(IRR(CT71:$CT71)*CT56,0)</f>
        <v>0</v>
      </c>
    </row>
    <row r="74" spans="1:108" ht="12.75" customHeight="1" x14ac:dyDescent="0.25">
      <c r="H74" s="9"/>
      <c r="N74" s="10"/>
    </row>
    <row r="75" spans="1:108" s="292" customFormat="1" ht="12.75" customHeight="1" x14ac:dyDescent="0.25">
      <c r="A75" s="287" t="s">
        <v>53</v>
      </c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  <c r="AC75" s="287"/>
      <c r="AD75" s="287"/>
      <c r="AE75" s="287"/>
      <c r="AF75" s="287"/>
      <c r="AG75" s="287"/>
      <c r="AH75" s="287"/>
      <c r="AI75" s="287"/>
      <c r="AJ75" s="287"/>
      <c r="AK75" s="287"/>
      <c r="AL75" s="287"/>
      <c r="AM75" s="287"/>
      <c r="AN75" s="287"/>
      <c r="AO75" s="287"/>
      <c r="AP75" s="287"/>
      <c r="AQ75" s="287"/>
      <c r="AR75" s="287"/>
      <c r="AS75" s="287"/>
      <c r="AT75" s="287"/>
      <c r="AU75" s="287"/>
      <c r="AV75" s="287"/>
      <c r="AW75" s="287"/>
      <c r="AX75" s="287"/>
      <c r="AY75" s="287"/>
      <c r="AZ75" s="287"/>
      <c r="BA75" s="287"/>
      <c r="BB75" s="287"/>
      <c r="BC75" s="287"/>
      <c r="BD75" s="287"/>
      <c r="BE75" s="287"/>
      <c r="BF75" s="287"/>
      <c r="BG75" s="287"/>
      <c r="BH75" s="287"/>
      <c r="BI75" s="287"/>
      <c r="BJ75" s="287"/>
      <c r="BK75" s="287"/>
      <c r="BL75" s="287"/>
      <c r="BM75" s="287"/>
      <c r="BN75" s="287"/>
      <c r="BO75" s="287"/>
      <c r="BP75" s="287"/>
      <c r="BQ75" s="287"/>
      <c r="BR75" s="287"/>
      <c r="BS75" s="287"/>
      <c r="BT75" s="287"/>
      <c r="BU75" s="287"/>
      <c r="BV75" s="287"/>
      <c r="BW75" s="287"/>
      <c r="BX75" s="287"/>
      <c r="BY75" s="287"/>
      <c r="BZ75" s="287"/>
      <c r="CA75" s="287"/>
      <c r="CB75" s="287"/>
      <c r="CC75" s="287"/>
      <c r="CD75" s="287"/>
      <c r="CE75" s="287"/>
      <c r="CF75" s="287"/>
      <c r="CG75" s="287"/>
      <c r="CH75" s="287"/>
      <c r="CI75" s="287"/>
      <c r="CJ75" s="287"/>
      <c r="CK75" s="287"/>
      <c r="CL75" s="287"/>
      <c r="CM75" s="287"/>
      <c r="CN75" s="287"/>
      <c r="CO75" s="287"/>
      <c r="CP75" s="287"/>
      <c r="CQ75" s="287"/>
      <c r="CR75" s="287"/>
      <c r="CS75" s="287"/>
      <c r="CT75" s="287"/>
      <c r="CU75" s="287"/>
      <c r="CV75" s="287"/>
      <c r="CW75" s="287"/>
      <c r="CX75" s="287"/>
      <c r="CY75" s="287"/>
      <c r="CZ75" s="287"/>
      <c r="DA75" s="287"/>
      <c r="DB75" s="287"/>
      <c r="DC75" s="287"/>
      <c r="DD75" s="287"/>
    </row>
    <row r="76" spans="1:108" ht="12.75" hidden="1" customHeight="1" x14ac:dyDescent="0.25">
      <c r="A76" s="5" t="s">
        <v>42</v>
      </c>
      <c r="B76" s="5"/>
      <c r="C76" s="6"/>
      <c r="D76" s="5"/>
      <c r="E76" s="5"/>
      <c r="F76" s="5"/>
      <c r="G76" s="5"/>
      <c r="H76" s="7"/>
      <c r="I76" s="8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</row>
    <row r="77" spans="1:108" ht="12.75" hidden="1" customHeight="1" x14ac:dyDescent="0.25">
      <c r="H77" s="9"/>
      <c r="N77" s="10"/>
    </row>
    <row r="78" spans="1:108" ht="12.75" hidden="1" customHeight="1" x14ac:dyDescent="0.25">
      <c r="B78" s="23" t="s">
        <v>43</v>
      </c>
      <c r="H78" s="9"/>
      <c r="N78" s="10"/>
    </row>
    <row r="79" spans="1:108" ht="12.75" hidden="1" customHeight="1" x14ac:dyDescent="0.25">
      <c r="B79" t="s">
        <v>44</v>
      </c>
      <c r="H79" s="9" t="s">
        <v>3</v>
      </c>
      <c r="J79" s="85" t="e">
        <f>SUMPRODUCT(P79:CT79,P14:CT14)</f>
        <v>#REF!</v>
      </c>
      <c r="N79" s="10"/>
      <c r="P79" s="47" t="e">
        <f>P40</f>
        <v>#REF!</v>
      </c>
      <c r="Q79" s="47" t="e">
        <f t="shared" ref="Q79:CB79" si="46">Q40</f>
        <v>#REF!</v>
      </c>
      <c r="R79" s="47" t="e">
        <f t="shared" si="46"/>
        <v>#REF!</v>
      </c>
      <c r="S79" s="47" t="e">
        <f t="shared" si="46"/>
        <v>#REF!</v>
      </c>
      <c r="T79" s="47" t="e">
        <f t="shared" si="46"/>
        <v>#REF!</v>
      </c>
      <c r="U79" s="47" t="e">
        <f t="shared" si="46"/>
        <v>#REF!</v>
      </c>
      <c r="V79" s="47" t="e">
        <f t="shared" si="46"/>
        <v>#REF!</v>
      </c>
      <c r="W79" s="47" t="e">
        <f t="shared" si="46"/>
        <v>#REF!</v>
      </c>
      <c r="X79" s="47" t="e">
        <f t="shared" si="46"/>
        <v>#REF!</v>
      </c>
      <c r="Y79" s="47" t="e">
        <f t="shared" si="46"/>
        <v>#REF!</v>
      </c>
      <c r="Z79" s="47" t="e">
        <f t="shared" si="46"/>
        <v>#REF!</v>
      </c>
      <c r="AA79" s="47" t="e">
        <f t="shared" si="46"/>
        <v>#REF!</v>
      </c>
      <c r="AB79" s="47" t="e">
        <f t="shared" si="46"/>
        <v>#REF!</v>
      </c>
      <c r="AC79" s="47" t="e">
        <f t="shared" si="46"/>
        <v>#REF!</v>
      </c>
      <c r="AD79" s="47" t="e">
        <f t="shared" si="46"/>
        <v>#REF!</v>
      </c>
      <c r="AE79" s="47" t="e">
        <f t="shared" si="46"/>
        <v>#REF!</v>
      </c>
      <c r="AF79" s="47" t="e">
        <f t="shared" si="46"/>
        <v>#REF!</v>
      </c>
      <c r="AG79" s="47" t="e">
        <f t="shared" si="46"/>
        <v>#REF!</v>
      </c>
      <c r="AH79" s="47" t="e">
        <f t="shared" si="46"/>
        <v>#REF!</v>
      </c>
      <c r="AI79" s="47" t="e">
        <f t="shared" si="46"/>
        <v>#REF!</v>
      </c>
      <c r="AJ79" s="47" t="e">
        <f t="shared" si="46"/>
        <v>#REF!</v>
      </c>
      <c r="AK79" s="47" t="e">
        <f t="shared" si="46"/>
        <v>#REF!</v>
      </c>
      <c r="AL79" s="47" t="e">
        <f t="shared" si="46"/>
        <v>#REF!</v>
      </c>
      <c r="AM79" s="47" t="e">
        <f t="shared" si="46"/>
        <v>#REF!</v>
      </c>
      <c r="AN79" s="47" t="e">
        <f t="shared" si="46"/>
        <v>#REF!</v>
      </c>
      <c r="AO79" s="47" t="e">
        <f t="shared" si="46"/>
        <v>#REF!</v>
      </c>
      <c r="AP79" s="47" t="e">
        <f t="shared" si="46"/>
        <v>#REF!</v>
      </c>
      <c r="AQ79" s="47" t="e">
        <f t="shared" si="46"/>
        <v>#REF!</v>
      </c>
      <c r="AR79" s="47" t="e">
        <f t="shared" si="46"/>
        <v>#REF!</v>
      </c>
      <c r="AS79" s="47" t="e">
        <f t="shared" si="46"/>
        <v>#REF!</v>
      </c>
      <c r="AT79" s="47" t="e">
        <f t="shared" si="46"/>
        <v>#REF!</v>
      </c>
      <c r="AU79" s="47" t="e">
        <f t="shared" si="46"/>
        <v>#REF!</v>
      </c>
      <c r="AV79" s="47" t="e">
        <f t="shared" si="46"/>
        <v>#REF!</v>
      </c>
      <c r="AW79" s="47" t="e">
        <f t="shared" si="46"/>
        <v>#REF!</v>
      </c>
      <c r="AX79" s="47" t="e">
        <f t="shared" si="46"/>
        <v>#REF!</v>
      </c>
      <c r="AY79" s="47" t="e">
        <f t="shared" si="46"/>
        <v>#REF!</v>
      </c>
      <c r="AZ79" s="47" t="e">
        <f t="shared" si="46"/>
        <v>#REF!</v>
      </c>
      <c r="BA79" s="47" t="e">
        <f t="shared" si="46"/>
        <v>#REF!</v>
      </c>
      <c r="BB79" s="47" t="e">
        <f t="shared" si="46"/>
        <v>#REF!</v>
      </c>
      <c r="BC79" s="47" t="e">
        <f t="shared" si="46"/>
        <v>#REF!</v>
      </c>
      <c r="BD79" s="47" t="e">
        <f t="shared" si="46"/>
        <v>#REF!</v>
      </c>
      <c r="BE79" s="47" t="e">
        <f t="shared" si="46"/>
        <v>#REF!</v>
      </c>
      <c r="BF79" s="47" t="e">
        <f t="shared" si="46"/>
        <v>#REF!</v>
      </c>
      <c r="BG79" s="47" t="e">
        <f t="shared" si="46"/>
        <v>#REF!</v>
      </c>
      <c r="BH79" s="47" t="e">
        <f t="shared" si="46"/>
        <v>#REF!</v>
      </c>
      <c r="BI79" s="47" t="e">
        <f t="shared" si="46"/>
        <v>#REF!</v>
      </c>
      <c r="BJ79" s="47" t="e">
        <f t="shared" si="46"/>
        <v>#REF!</v>
      </c>
      <c r="BK79" s="47" t="e">
        <f t="shared" si="46"/>
        <v>#REF!</v>
      </c>
      <c r="BL79" s="47" t="e">
        <f t="shared" si="46"/>
        <v>#REF!</v>
      </c>
      <c r="BM79" s="47" t="e">
        <f t="shared" si="46"/>
        <v>#REF!</v>
      </c>
      <c r="BN79" s="47" t="e">
        <f t="shared" si="46"/>
        <v>#REF!</v>
      </c>
      <c r="BO79" s="47" t="e">
        <f t="shared" si="46"/>
        <v>#REF!</v>
      </c>
      <c r="BP79" s="47" t="e">
        <f t="shared" si="46"/>
        <v>#REF!</v>
      </c>
      <c r="BQ79" s="47" t="e">
        <f t="shared" si="46"/>
        <v>#REF!</v>
      </c>
      <c r="BR79" s="47" t="e">
        <f t="shared" si="46"/>
        <v>#REF!</v>
      </c>
      <c r="BS79" s="47" t="e">
        <f t="shared" si="46"/>
        <v>#REF!</v>
      </c>
      <c r="BT79" s="47" t="e">
        <f t="shared" si="46"/>
        <v>#REF!</v>
      </c>
      <c r="BU79" s="47" t="e">
        <f t="shared" si="46"/>
        <v>#REF!</v>
      </c>
      <c r="BV79" s="47" t="e">
        <f t="shared" si="46"/>
        <v>#REF!</v>
      </c>
      <c r="BW79" s="47" t="e">
        <f t="shared" si="46"/>
        <v>#REF!</v>
      </c>
      <c r="BX79" s="47" t="e">
        <f t="shared" si="46"/>
        <v>#REF!</v>
      </c>
      <c r="BY79" s="47" t="e">
        <f t="shared" si="46"/>
        <v>#REF!</v>
      </c>
      <c r="BZ79" s="47" t="e">
        <f t="shared" si="46"/>
        <v>#REF!</v>
      </c>
      <c r="CA79" s="47" t="e">
        <f t="shared" si="46"/>
        <v>#REF!</v>
      </c>
      <c r="CB79" s="47" t="e">
        <f t="shared" si="46"/>
        <v>#REF!</v>
      </c>
      <c r="CC79" s="47" t="e">
        <f t="shared" ref="CC79:CT79" si="47">CC40</f>
        <v>#REF!</v>
      </c>
      <c r="CD79" s="47" t="e">
        <f t="shared" si="47"/>
        <v>#REF!</v>
      </c>
      <c r="CE79" s="47" t="e">
        <f t="shared" si="47"/>
        <v>#REF!</v>
      </c>
      <c r="CF79" s="47" t="e">
        <f t="shared" si="47"/>
        <v>#REF!</v>
      </c>
      <c r="CG79" s="47" t="e">
        <f t="shared" si="47"/>
        <v>#REF!</v>
      </c>
      <c r="CH79" s="47" t="e">
        <f t="shared" si="47"/>
        <v>#REF!</v>
      </c>
      <c r="CI79" s="47" t="e">
        <f t="shared" si="47"/>
        <v>#REF!</v>
      </c>
      <c r="CJ79" s="47" t="e">
        <f t="shared" si="47"/>
        <v>#REF!</v>
      </c>
      <c r="CK79" s="47" t="e">
        <f t="shared" si="47"/>
        <v>#REF!</v>
      </c>
      <c r="CL79" s="47" t="e">
        <f t="shared" si="47"/>
        <v>#REF!</v>
      </c>
      <c r="CM79" s="47" t="e">
        <f t="shared" si="47"/>
        <v>#REF!</v>
      </c>
      <c r="CN79" s="47" t="e">
        <f t="shared" si="47"/>
        <v>#REF!</v>
      </c>
      <c r="CO79" s="47" t="e">
        <f t="shared" si="47"/>
        <v>#REF!</v>
      </c>
      <c r="CP79" s="47" t="e">
        <f t="shared" si="47"/>
        <v>#REF!</v>
      </c>
      <c r="CQ79" s="47" t="e">
        <f t="shared" si="47"/>
        <v>#REF!</v>
      </c>
      <c r="CR79" s="47">
        <f t="shared" si="47"/>
        <v>0</v>
      </c>
      <c r="CS79" s="47">
        <f t="shared" si="47"/>
        <v>0</v>
      </c>
      <c r="CT79" s="47">
        <f t="shared" si="47"/>
        <v>0</v>
      </c>
    </row>
    <row r="80" spans="1:108" ht="12.75" hidden="1" customHeight="1" x14ac:dyDescent="0.25">
      <c r="B80" t="s">
        <v>45</v>
      </c>
      <c r="H80" s="9" t="s">
        <v>3</v>
      </c>
      <c r="J80" s="85" t="e">
        <f>SUMPRODUCT(P80:CT80,P14:CT14)</f>
        <v>#REF!</v>
      </c>
      <c r="N80" s="10"/>
      <c r="P80" s="47" t="e">
        <f>BS!P27</f>
        <v>#REF!</v>
      </c>
      <c r="Q80" s="47" t="e">
        <f>BS!Q27</f>
        <v>#REF!</v>
      </c>
      <c r="R80" s="47" t="e">
        <f>BS!R27</f>
        <v>#REF!</v>
      </c>
      <c r="S80" s="47" t="e">
        <f>BS!S27</f>
        <v>#REF!</v>
      </c>
      <c r="T80" s="47" t="e">
        <f>BS!T27</f>
        <v>#REF!</v>
      </c>
      <c r="U80" s="47" t="e">
        <f>BS!U27</f>
        <v>#REF!</v>
      </c>
      <c r="V80" s="47" t="e">
        <f>BS!V27</f>
        <v>#REF!</v>
      </c>
      <c r="W80" s="47" t="e">
        <f>BS!W27</f>
        <v>#REF!</v>
      </c>
      <c r="X80" s="47" t="e">
        <f>BS!X27</f>
        <v>#REF!</v>
      </c>
      <c r="Y80" s="47" t="e">
        <f>BS!Y27</f>
        <v>#REF!</v>
      </c>
      <c r="Z80" s="47" t="e">
        <f>BS!Z27</f>
        <v>#REF!</v>
      </c>
      <c r="AA80" s="47" t="e">
        <f>BS!AA27</f>
        <v>#REF!</v>
      </c>
      <c r="AB80" s="47" t="e">
        <f>BS!AB27</f>
        <v>#REF!</v>
      </c>
      <c r="AC80" s="47" t="e">
        <f>BS!AC27</f>
        <v>#REF!</v>
      </c>
      <c r="AD80" s="47" t="e">
        <f>BS!AD27</f>
        <v>#REF!</v>
      </c>
      <c r="AE80" s="47" t="e">
        <f>BS!AE27</f>
        <v>#REF!</v>
      </c>
      <c r="AF80" s="47" t="e">
        <f>BS!AF27</f>
        <v>#REF!</v>
      </c>
      <c r="AG80" s="47" t="e">
        <f>BS!AG27</f>
        <v>#REF!</v>
      </c>
      <c r="AH80" s="47" t="e">
        <f>BS!AH27</f>
        <v>#REF!</v>
      </c>
      <c r="AI80" s="47" t="e">
        <f>BS!AI27</f>
        <v>#REF!</v>
      </c>
      <c r="AJ80" s="47" t="e">
        <f>BS!AJ27</f>
        <v>#REF!</v>
      </c>
      <c r="AK80" s="47" t="e">
        <f>BS!AK27</f>
        <v>#REF!</v>
      </c>
      <c r="AL80" s="47" t="e">
        <f>BS!AL27</f>
        <v>#REF!</v>
      </c>
      <c r="AM80" s="47" t="e">
        <f>BS!AM27</f>
        <v>#REF!</v>
      </c>
      <c r="AN80" s="47" t="e">
        <f>BS!AN27</f>
        <v>#REF!</v>
      </c>
      <c r="AO80" s="47" t="e">
        <f>BS!AO27</f>
        <v>#REF!</v>
      </c>
      <c r="AP80" s="47" t="e">
        <f>BS!AP27</f>
        <v>#REF!</v>
      </c>
      <c r="AQ80" s="47" t="e">
        <f>BS!AQ27</f>
        <v>#REF!</v>
      </c>
      <c r="AR80" s="47" t="e">
        <f>BS!AR27</f>
        <v>#REF!</v>
      </c>
      <c r="AS80" s="47" t="e">
        <f>BS!AS27</f>
        <v>#REF!</v>
      </c>
      <c r="AT80" s="47" t="e">
        <f>BS!AT27</f>
        <v>#REF!</v>
      </c>
      <c r="AU80" s="47" t="e">
        <f>BS!AU27</f>
        <v>#REF!</v>
      </c>
      <c r="AV80" s="47" t="e">
        <f>BS!AV27</f>
        <v>#REF!</v>
      </c>
      <c r="AW80" s="47" t="e">
        <f>BS!AW27</f>
        <v>#REF!</v>
      </c>
      <c r="AX80" s="47" t="e">
        <f>BS!AX27</f>
        <v>#REF!</v>
      </c>
      <c r="AY80" s="47" t="e">
        <f>BS!AY27</f>
        <v>#REF!</v>
      </c>
      <c r="AZ80" s="47" t="e">
        <f>BS!AZ27</f>
        <v>#REF!</v>
      </c>
      <c r="BA80" s="47" t="e">
        <f>BS!BA27</f>
        <v>#REF!</v>
      </c>
      <c r="BB80" s="47" t="e">
        <f>BS!BB27</f>
        <v>#REF!</v>
      </c>
      <c r="BC80" s="47" t="e">
        <f>BS!BC27</f>
        <v>#REF!</v>
      </c>
      <c r="BD80" s="47" t="e">
        <f>BS!BD27</f>
        <v>#REF!</v>
      </c>
      <c r="BE80" s="47" t="e">
        <f>BS!BE27</f>
        <v>#REF!</v>
      </c>
      <c r="BF80" s="47" t="e">
        <f>BS!BF27</f>
        <v>#REF!</v>
      </c>
      <c r="BG80" s="47" t="e">
        <f>BS!BG27</f>
        <v>#REF!</v>
      </c>
      <c r="BH80" s="47" t="e">
        <f>BS!BH27</f>
        <v>#REF!</v>
      </c>
      <c r="BI80" s="47" t="e">
        <f>BS!BI27</f>
        <v>#REF!</v>
      </c>
      <c r="BJ80" s="47" t="e">
        <f>BS!BJ27</f>
        <v>#REF!</v>
      </c>
      <c r="BK80" s="47" t="e">
        <f>BS!BK27</f>
        <v>#REF!</v>
      </c>
      <c r="BL80" s="47" t="e">
        <f>BS!BL27</f>
        <v>#REF!</v>
      </c>
      <c r="BM80" s="47" t="e">
        <f>BS!BM27</f>
        <v>#REF!</v>
      </c>
      <c r="BN80" s="47" t="e">
        <f>BS!BN27</f>
        <v>#REF!</v>
      </c>
      <c r="BO80" s="47" t="e">
        <f>BS!BO27</f>
        <v>#REF!</v>
      </c>
      <c r="BP80" s="47" t="e">
        <f>BS!BP27</f>
        <v>#REF!</v>
      </c>
      <c r="BQ80" s="47" t="e">
        <f>BS!BQ27</f>
        <v>#REF!</v>
      </c>
      <c r="BR80" s="47" t="e">
        <f>BS!BR27</f>
        <v>#REF!</v>
      </c>
      <c r="BS80" s="47" t="e">
        <f>BS!BS27</f>
        <v>#REF!</v>
      </c>
      <c r="BT80" s="47" t="e">
        <f>BS!BT27</f>
        <v>#REF!</v>
      </c>
      <c r="BU80" s="47" t="e">
        <f>BS!BU27</f>
        <v>#REF!</v>
      </c>
      <c r="BV80" s="47" t="e">
        <f>BS!BV27</f>
        <v>#REF!</v>
      </c>
      <c r="BW80" s="47" t="e">
        <f>BS!BW27</f>
        <v>#REF!</v>
      </c>
      <c r="BX80" s="47" t="e">
        <f>BS!BX27</f>
        <v>#REF!</v>
      </c>
      <c r="BY80" s="47" t="e">
        <f>BS!BY27</f>
        <v>#REF!</v>
      </c>
      <c r="BZ80" s="47" t="e">
        <f>BS!BZ27</f>
        <v>#REF!</v>
      </c>
      <c r="CA80" s="47" t="e">
        <f>BS!CA27</f>
        <v>#REF!</v>
      </c>
      <c r="CB80" s="47" t="e">
        <f>BS!CB27</f>
        <v>#REF!</v>
      </c>
      <c r="CC80" s="47" t="e">
        <f>BS!CC27</f>
        <v>#REF!</v>
      </c>
      <c r="CD80" s="47" t="e">
        <f>BS!CD27</f>
        <v>#REF!</v>
      </c>
      <c r="CE80" s="47" t="e">
        <f>BS!CE27</f>
        <v>#REF!</v>
      </c>
      <c r="CF80" s="47" t="e">
        <f>BS!CF27</f>
        <v>#REF!</v>
      </c>
      <c r="CG80" s="47" t="e">
        <f>BS!CG27</f>
        <v>#REF!</v>
      </c>
      <c r="CH80" s="47" t="e">
        <f>BS!CH27</f>
        <v>#REF!</v>
      </c>
      <c r="CI80" s="47" t="e">
        <f>BS!CI27</f>
        <v>#REF!</v>
      </c>
      <c r="CJ80" s="47" t="e">
        <f>BS!CJ27</f>
        <v>#REF!</v>
      </c>
      <c r="CK80" s="47" t="e">
        <f>BS!CK27</f>
        <v>#REF!</v>
      </c>
      <c r="CL80" s="47" t="e">
        <f>BS!CL27</f>
        <v>#REF!</v>
      </c>
      <c r="CM80" s="47" t="e">
        <f>BS!CM27</f>
        <v>#REF!</v>
      </c>
      <c r="CN80" s="47" t="e">
        <f>BS!CN27</f>
        <v>#REF!</v>
      </c>
      <c r="CO80" s="47" t="e">
        <f>BS!CO27</f>
        <v>#REF!</v>
      </c>
      <c r="CP80" s="47" t="e">
        <f>BS!CP27</f>
        <v>#REF!</v>
      </c>
      <c r="CQ80" s="47" t="e">
        <f>BS!CQ27</f>
        <v>#REF!</v>
      </c>
      <c r="CR80" s="47">
        <f>BS!CR27</f>
        <v>0</v>
      </c>
      <c r="CS80" s="47">
        <f>BS!CS27</f>
        <v>0</v>
      </c>
      <c r="CT80" s="47">
        <f>BS!CT27</f>
        <v>0</v>
      </c>
    </row>
    <row r="81" spans="1:98" ht="12.75" hidden="1" customHeight="1" x14ac:dyDescent="0.25">
      <c r="H81" s="9" t="s">
        <v>3</v>
      </c>
      <c r="N81" s="10"/>
      <c r="P81" s="49" t="e">
        <f>SUM(P79:P80)</f>
        <v>#REF!</v>
      </c>
      <c r="Q81" s="49" t="e">
        <f t="shared" ref="Q81:CB81" si="48">SUM(Q79:Q80)</f>
        <v>#REF!</v>
      </c>
      <c r="R81" s="49" t="e">
        <f t="shared" si="48"/>
        <v>#REF!</v>
      </c>
      <c r="S81" s="49" t="e">
        <f t="shared" si="48"/>
        <v>#REF!</v>
      </c>
      <c r="T81" s="49" t="e">
        <f t="shared" si="48"/>
        <v>#REF!</v>
      </c>
      <c r="U81" s="49" t="e">
        <f t="shared" si="48"/>
        <v>#REF!</v>
      </c>
      <c r="V81" s="49" t="e">
        <f t="shared" si="48"/>
        <v>#REF!</v>
      </c>
      <c r="W81" s="49" t="e">
        <f t="shared" si="48"/>
        <v>#REF!</v>
      </c>
      <c r="X81" s="49" t="e">
        <f t="shared" si="48"/>
        <v>#REF!</v>
      </c>
      <c r="Y81" s="49" t="e">
        <f t="shared" si="48"/>
        <v>#REF!</v>
      </c>
      <c r="Z81" s="49" t="e">
        <f t="shared" si="48"/>
        <v>#REF!</v>
      </c>
      <c r="AA81" s="49" t="e">
        <f t="shared" si="48"/>
        <v>#REF!</v>
      </c>
      <c r="AB81" s="49" t="e">
        <f t="shared" si="48"/>
        <v>#REF!</v>
      </c>
      <c r="AC81" s="49" t="e">
        <f t="shared" si="48"/>
        <v>#REF!</v>
      </c>
      <c r="AD81" s="49" t="e">
        <f t="shared" si="48"/>
        <v>#REF!</v>
      </c>
      <c r="AE81" s="49" t="e">
        <f t="shared" si="48"/>
        <v>#REF!</v>
      </c>
      <c r="AF81" s="49" t="e">
        <f t="shared" si="48"/>
        <v>#REF!</v>
      </c>
      <c r="AG81" s="49" t="e">
        <f t="shared" si="48"/>
        <v>#REF!</v>
      </c>
      <c r="AH81" s="49" t="e">
        <f t="shared" si="48"/>
        <v>#REF!</v>
      </c>
      <c r="AI81" s="49" t="e">
        <f t="shared" si="48"/>
        <v>#REF!</v>
      </c>
      <c r="AJ81" s="49" t="e">
        <f t="shared" si="48"/>
        <v>#REF!</v>
      </c>
      <c r="AK81" s="49" t="e">
        <f t="shared" si="48"/>
        <v>#REF!</v>
      </c>
      <c r="AL81" s="49" t="e">
        <f t="shared" si="48"/>
        <v>#REF!</v>
      </c>
      <c r="AM81" s="49" t="e">
        <f t="shared" si="48"/>
        <v>#REF!</v>
      </c>
      <c r="AN81" s="49" t="e">
        <f t="shared" si="48"/>
        <v>#REF!</v>
      </c>
      <c r="AO81" s="49" t="e">
        <f t="shared" si="48"/>
        <v>#REF!</v>
      </c>
      <c r="AP81" s="49" t="e">
        <f t="shared" si="48"/>
        <v>#REF!</v>
      </c>
      <c r="AQ81" s="49" t="e">
        <f t="shared" si="48"/>
        <v>#REF!</v>
      </c>
      <c r="AR81" s="49" t="e">
        <f t="shared" si="48"/>
        <v>#REF!</v>
      </c>
      <c r="AS81" s="49" t="e">
        <f t="shared" si="48"/>
        <v>#REF!</v>
      </c>
      <c r="AT81" s="49" t="e">
        <f t="shared" si="48"/>
        <v>#REF!</v>
      </c>
      <c r="AU81" s="49" t="e">
        <f t="shared" si="48"/>
        <v>#REF!</v>
      </c>
      <c r="AV81" s="49" t="e">
        <f t="shared" si="48"/>
        <v>#REF!</v>
      </c>
      <c r="AW81" s="49" t="e">
        <f t="shared" si="48"/>
        <v>#REF!</v>
      </c>
      <c r="AX81" s="49" t="e">
        <f t="shared" si="48"/>
        <v>#REF!</v>
      </c>
      <c r="AY81" s="49" t="e">
        <f t="shared" si="48"/>
        <v>#REF!</v>
      </c>
      <c r="AZ81" s="49" t="e">
        <f t="shared" si="48"/>
        <v>#REF!</v>
      </c>
      <c r="BA81" s="49" t="e">
        <f t="shared" si="48"/>
        <v>#REF!</v>
      </c>
      <c r="BB81" s="49" t="e">
        <f t="shared" si="48"/>
        <v>#REF!</v>
      </c>
      <c r="BC81" s="49" t="e">
        <f t="shared" si="48"/>
        <v>#REF!</v>
      </c>
      <c r="BD81" s="49" t="e">
        <f t="shared" si="48"/>
        <v>#REF!</v>
      </c>
      <c r="BE81" s="49" t="e">
        <f t="shared" si="48"/>
        <v>#REF!</v>
      </c>
      <c r="BF81" s="49" t="e">
        <f t="shared" si="48"/>
        <v>#REF!</v>
      </c>
      <c r="BG81" s="49" t="e">
        <f t="shared" si="48"/>
        <v>#REF!</v>
      </c>
      <c r="BH81" s="49" t="e">
        <f t="shared" si="48"/>
        <v>#REF!</v>
      </c>
      <c r="BI81" s="49" t="e">
        <f t="shared" si="48"/>
        <v>#REF!</v>
      </c>
      <c r="BJ81" s="49" t="e">
        <f t="shared" si="48"/>
        <v>#REF!</v>
      </c>
      <c r="BK81" s="49" t="e">
        <f t="shared" si="48"/>
        <v>#REF!</v>
      </c>
      <c r="BL81" s="49" t="e">
        <f t="shared" si="48"/>
        <v>#REF!</v>
      </c>
      <c r="BM81" s="49" t="e">
        <f t="shared" si="48"/>
        <v>#REF!</v>
      </c>
      <c r="BN81" s="49" t="e">
        <f t="shared" si="48"/>
        <v>#REF!</v>
      </c>
      <c r="BO81" s="49" t="e">
        <f t="shared" si="48"/>
        <v>#REF!</v>
      </c>
      <c r="BP81" s="49" t="e">
        <f t="shared" si="48"/>
        <v>#REF!</v>
      </c>
      <c r="BQ81" s="49" t="e">
        <f t="shared" si="48"/>
        <v>#REF!</v>
      </c>
      <c r="BR81" s="49" t="e">
        <f t="shared" si="48"/>
        <v>#REF!</v>
      </c>
      <c r="BS81" s="49" t="e">
        <f t="shared" si="48"/>
        <v>#REF!</v>
      </c>
      <c r="BT81" s="49" t="e">
        <f t="shared" si="48"/>
        <v>#REF!</v>
      </c>
      <c r="BU81" s="49" t="e">
        <f t="shared" si="48"/>
        <v>#REF!</v>
      </c>
      <c r="BV81" s="49" t="e">
        <f t="shared" si="48"/>
        <v>#REF!</v>
      </c>
      <c r="BW81" s="49" t="e">
        <f t="shared" si="48"/>
        <v>#REF!</v>
      </c>
      <c r="BX81" s="49" t="e">
        <f t="shared" si="48"/>
        <v>#REF!</v>
      </c>
      <c r="BY81" s="49" t="e">
        <f t="shared" si="48"/>
        <v>#REF!</v>
      </c>
      <c r="BZ81" s="49" t="e">
        <f t="shared" si="48"/>
        <v>#REF!</v>
      </c>
      <c r="CA81" s="49" t="e">
        <f t="shared" si="48"/>
        <v>#REF!</v>
      </c>
      <c r="CB81" s="49" t="e">
        <f t="shared" si="48"/>
        <v>#REF!</v>
      </c>
      <c r="CC81" s="49" t="e">
        <f t="shared" ref="CC81:CT81" si="49">SUM(CC79:CC80)</f>
        <v>#REF!</v>
      </c>
      <c r="CD81" s="49" t="e">
        <f t="shared" si="49"/>
        <v>#REF!</v>
      </c>
      <c r="CE81" s="49" t="e">
        <f t="shared" si="49"/>
        <v>#REF!</v>
      </c>
      <c r="CF81" s="49" t="e">
        <f t="shared" si="49"/>
        <v>#REF!</v>
      </c>
      <c r="CG81" s="49" t="e">
        <f t="shared" si="49"/>
        <v>#REF!</v>
      </c>
      <c r="CH81" s="49" t="e">
        <f t="shared" si="49"/>
        <v>#REF!</v>
      </c>
      <c r="CI81" s="49" t="e">
        <f t="shared" si="49"/>
        <v>#REF!</v>
      </c>
      <c r="CJ81" s="49" t="e">
        <f t="shared" si="49"/>
        <v>#REF!</v>
      </c>
      <c r="CK81" s="49" t="e">
        <f t="shared" si="49"/>
        <v>#REF!</v>
      </c>
      <c r="CL81" s="49" t="e">
        <f t="shared" si="49"/>
        <v>#REF!</v>
      </c>
      <c r="CM81" s="49" t="e">
        <f t="shared" si="49"/>
        <v>#REF!</v>
      </c>
      <c r="CN81" s="49" t="e">
        <f t="shared" si="49"/>
        <v>#REF!</v>
      </c>
      <c r="CO81" s="49" t="e">
        <f t="shared" si="49"/>
        <v>#REF!</v>
      </c>
      <c r="CP81" s="49" t="e">
        <f t="shared" si="49"/>
        <v>#REF!</v>
      </c>
      <c r="CQ81" s="49" t="e">
        <f t="shared" si="49"/>
        <v>#REF!</v>
      </c>
      <c r="CR81" s="49">
        <f t="shared" si="49"/>
        <v>0</v>
      </c>
      <c r="CS81" s="49">
        <f t="shared" si="49"/>
        <v>0</v>
      </c>
      <c r="CT81" s="49">
        <f t="shared" si="49"/>
        <v>0</v>
      </c>
    </row>
    <row r="82" spans="1:98" ht="12.75" hidden="1" customHeight="1" x14ac:dyDescent="0.25">
      <c r="B82" s="23" t="s">
        <v>46</v>
      </c>
      <c r="H82" s="9"/>
      <c r="N82" s="10"/>
    </row>
    <row r="83" spans="1:98" ht="12.75" hidden="1" customHeight="1" x14ac:dyDescent="0.25">
      <c r="B83" t="s">
        <v>47</v>
      </c>
      <c r="H83" s="9" t="s">
        <v>3</v>
      </c>
      <c r="J83" s="85" t="e">
        <f>SUM(P83:CT83)</f>
        <v>#REF!</v>
      </c>
      <c r="N83" s="10"/>
      <c r="P83" s="10" t="e">
        <f>P81*P14</f>
        <v>#REF!</v>
      </c>
      <c r="Q83" s="10" t="e">
        <f t="shared" ref="Q83:CB83" si="50">Q81*Q14</f>
        <v>#REF!</v>
      </c>
      <c r="R83" s="10" t="e">
        <f t="shared" si="50"/>
        <v>#REF!</v>
      </c>
      <c r="S83" s="10" t="e">
        <f t="shared" si="50"/>
        <v>#REF!</v>
      </c>
      <c r="T83" s="10" t="e">
        <f t="shared" si="50"/>
        <v>#REF!</v>
      </c>
      <c r="U83" s="10" t="e">
        <f t="shared" si="50"/>
        <v>#REF!</v>
      </c>
      <c r="V83" s="10" t="e">
        <f t="shared" si="50"/>
        <v>#REF!</v>
      </c>
      <c r="W83" s="10" t="e">
        <f t="shared" si="50"/>
        <v>#REF!</v>
      </c>
      <c r="X83" s="10" t="e">
        <f t="shared" si="50"/>
        <v>#REF!</v>
      </c>
      <c r="Y83" s="10" t="e">
        <f t="shared" si="50"/>
        <v>#REF!</v>
      </c>
      <c r="Z83" s="10" t="e">
        <f t="shared" si="50"/>
        <v>#REF!</v>
      </c>
      <c r="AA83" s="10" t="e">
        <f t="shared" si="50"/>
        <v>#REF!</v>
      </c>
      <c r="AB83" s="10" t="e">
        <f t="shared" si="50"/>
        <v>#REF!</v>
      </c>
      <c r="AC83" s="10" t="e">
        <f t="shared" si="50"/>
        <v>#REF!</v>
      </c>
      <c r="AD83" s="10" t="e">
        <f t="shared" si="50"/>
        <v>#REF!</v>
      </c>
      <c r="AE83" s="10" t="e">
        <f t="shared" si="50"/>
        <v>#REF!</v>
      </c>
      <c r="AF83" s="10" t="e">
        <f t="shared" si="50"/>
        <v>#REF!</v>
      </c>
      <c r="AG83" s="10" t="e">
        <f t="shared" si="50"/>
        <v>#REF!</v>
      </c>
      <c r="AH83" s="10" t="e">
        <f t="shared" si="50"/>
        <v>#REF!</v>
      </c>
      <c r="AI83" s="10" t="e">
        <f t="shared" si="50"/>
        <v>#REF!</v>
      </c>
      <c r="AJ83" s="10" t="e">
        <f t="shared" si="50"/>
        <v>#REF!</v>
      </c>
      <c r="AK83" s="10" t="e">
        <f t="shared" si="50"/>
        <v>#REF!</v>
      </c>
      <c r="AL83" s="10" t="e">
        <f t="shared" si="50"/>
        <v>#REF!</v>
      </c>
      <c r="AM83" s="10" t="e">
        <f t="shared" si="50"/>
        <v>#REF!</v>
      </c>
      <c r="AN83" s="10" t="e">
        <f t="shared" si="50"/>
        <v>#REF!</v>
      </c>
      <c r="AO83" s="10" t="e">
        <f t="shared" si="50"/>
        <v>#REF!</v>
      </c>
      <c r="AP83" s="10" t="e">
        <f t="shared" si="50"/>
        <v>#REF!</v>
      </c>
      <c r="AQ83" s="10" t="e">
        <f t="shared" si="50"/>
        <v>#REF!</v>
      </c>
      <c r="AR83" s="10" t="e">
        <f t="shared" si="50"/>
        <v>#REF!</v>
      </c>
      <c r="AS83" s="10" t="e">
        <f t="shared" si="50"/>
        <v>#REF!</v>
      </c>
      <c r="AT83" s="10" t="e">
        <f t="shared" si="50"/>
        <v>#REF!</v>
      </c>
      <c r="AU83" s="10" t="e">
        <f t="shared" si="50"/>
        <v>#REF!</v>
      </c>
      <c r="AV83" s="10" t="e">
        <f t="shared" si="50"/>
        <v>#REF!</v>
      </c>
      <c r="AW83" s="10" t="e">
        <f t="shared" si="50"/>
        <v>#REF!</v>
      </c>
      <c r="AX83" s="10" t="e">
        <f t="shared" si="50"/>
        <v>#REF!</v>
      </c>
      <c r="AY83" s="10" t="e">
        <f t="shared" si="50"/>
        <v>#REF!</v>
      </c>
      <c r="AZ83" s="10" t="e">
        <f t="shared" si="50"/>
        <v>#REF!</v>
      </c>
      <c r="BA83" s="10" t="e">
        <f t="shared" si="50"/>
        <v>#REF!</v>
      </c>
      <c r="BB83" s="10" t="e">
        <f t="shared" si="50"/>
        <v>#REF!</v>
      </c>
      <c r="BC83" s="10" t="e">
        <f t="shared" si="50"/>
        <v>#REF!</v>
      </c>
      <c r="BD83" s="10" t="e">
        <f t="shared" si="50"/>
        <v>#REF!</v>
      </c>
      <c r="BE83" s="10" t="e">
        <f t="shared" si="50"/>
        <v>#REF!</v>
      </c>
      <c r="BF83" s="10" t="e">
        <f t="shared" si="50"/>
        <v>#REF!</v>
      </c>
      <c r="BG83" s="10" t="e">
        <f t="shared" si="50"/>
        <v>#REF!</v>
      </c>
      <c r="BH83" s="10" t="e">
        <f t="shared" si="50"/>
        <v>#REF!</v>
      </c>
      <c r="BI83" s="10" t="e">
        <f t="shared" si="50"/>
        <v>#REF!</v>
      </c>
      <c r="BJ83" s="10" t="e">
        <f t="shared" si="50"/>
        <v>#REF!</v>
      </c>
      <c r="BK83" s="10" t="e">
        <f t="shared" si="50"/>
        <v>#REF!</v>
      </c>
      <c r="BL83" s="10" t="e">
        <f t="shared" si="50"/>
        <v>#REF!</v>
      </c>
      <c r="BM83" s="10" t="e">
        <f t="shared" si="50"/>
        <v>#REF!</v>
      </c>
      <c r="BN83" s="10" t="e">
        <f t="shared" si="50"/>
        <v>#REF!</v>
      </c>
      <c r="BO83" s="10" t="e">
        <f t="shared" si="50"/>
        <v>#REF!</v>
      </c>
      <c r="BP83" s="10" t="e">
        <f t="shared" si="50"/>
        <v>#REF!</v>
      </c>
      <c r="BQ83" s="10" t="e">
        <f t="shared" si="50"/>
        <v>#REF!</v>
      </c>
      <c r="BR83" s="10" t="e">
        <f t="shared" si="50"/>
        <v>#REF!</v>
      </c>
      <c r="BS83" s="10" t="e">
        <f t="shared" si="50"/>
        <v>#REF!</v>
      </c>
      <c r="BT83" s="10" t="e">
        <f t="shared" si="50"/>
        <v>#REF!</v>
      </c>
      <c r="BU83" s="10" t="e">
        <f t="shared" si="50"/>
        <v>#REF!</v>
      </c>
      <c r="BV83" s="10" t="e">
        <f t="shared" si="50"/>
        <v>#REF!</v>
      </c>
      <c r="BW83" s="10" t="e">
        <f t="shared" si="50"/>
        <v>#REF!</v>
      </c>
      <c r="BX83" s="10" t="e">
        <f t="shared" si="50"/>
        <v>#REF!</v>
      </c>
      <c r="BY83" s="10" t="e">
        <f t="shared" si="50"/>
        <v>#REF!</v>
      </c>
      <c r="BZ83" s="10" t="e">
        <f t="shared" si="50"/>
        <v>#REF!</v>
      </c>
      <c r="CA83" s="10" t="e">
        <f t="shared" si="50"/>
        <v>#REF!</v>
      </c>
      <c r="CB83" s="10" t="e">
        <f t="shared" si="50"/>
        <v>#REF!</v>
      </c>
      <c r="CC83" s="10" t="e">
        <f t="shared" ref="CC83:CT83" si="51">CC81*CC14</f>
        <v>#REF!</v>
      </c>
      <c r="CD83" s="10" t="e">
        <f t="shared" si="51"/>
        <v>#REF!</v>
      </c>
      <c r="CE83" s="10" t="e">
        <f t="shared" si="51"/>
        <v>#REF!</v>
      </c>
      <c r="CF83" s="10" t="e">
        <f t="shared" si="51"/>
        <v>#REF!</v>
      </c>
      <c r="CG83" s="10" t="e">
        <f t="shared" si="51"/>
        <v>#REF!</v>
      </c>
      <c r="CH83" s="10" t="e">
        <f t="shared" si="51"/>
        <v>#REF!</v>
      </c>
      <c r="CI83" s="10" t="e">
        <f t="shared" si="51"/>
        <v>#REF!</v>
      </c>
      <c r="CJ83" s="10" t="e">
        <f t="shared" si="51"/>
        <v>#REF!</v>
      </c>
      <c r="CK83" s="10" t="e">
        <f t="shared" si="51"/>
        <v>#REF!</v>
      </c>
      <c r="CL83" s="10" t="e">
        <f t="shared" si="51"/>
        <v>#REF!</v>
      </c>
      <c r="CM83" s="10" t="e">
        <f t="shared" si="51"/>
        <v>#REF!</v>
      </c>
      <c r="CN83" s="10" t="e">
        <f t="shared" si="51"/>
        <v>#REF!</v>
      </c>
      <c r="CO83" s="10" t="e">
        <f t="shared" si="51"/>
        <v>#REF!</v>
      </c>
      <c r="CP83" s="10" t="e">
        <f t="shared" si="51"/>
        <v>#REF!</v>
      </c>
      <c r="CQ83" s="10" t="e">
        <f t="shared" si="51"/>
        <v>#REF!</v>
      </c>
      <c r="CR83" s="10">
        <f t="shared" si="51"/>
        <v>0</v>
      </c>
      <c r="CS83" s="10">
        <f t="shared" si="51"/>
        <v>0</v>
      </c>
      <c r="CT83" s="10">
        <f t="shared" si="51"/>
        <v>0</v>
      </c>
    </row>
    <row r="84" spans="1:98" ht="12.75" hidden="1" customHeight="1" x14ac:dyDescent="0.25">
      <c r="B84" t="s">
        <v>48</v>
      </c>
      <c r="H84" s="9" t="s">
        <v>3</v>
      </c>
      <c r="J84" s="85" t="e">
        <f>SUM(P84:CT84)</f>
        <v>#REF!</v>
      </c>
      <c r="N84" s="10"/>
      <c r="P84" s="10" t="e">
        <f>CF!P26*Buyout!P14</f>
        <v>#REF!</v>
      </c>
      <c r="Q84" s="10" t="e">
        <f>CF!Q26*Buyout!Q14</f>
        <v>#REF!</v>
      </c>
      <c r="R84" s="10" t="e">
        <f>CF!R26*Buyout!R14</f>
        <v>#REF!</v>
      </c>
      <c r="S84" s="10" t="e">
        <f>CF!S26*Buyout!S14</f>
        <v>#REF!</v>
      </c>
      <c r="T84" s="10" t="e">
        <f>CF!T26*Buyout!T14</f>
        <v>#REF!</v>
      </c>
      <c r="U84" s="10" t="e">
        <f>CF!U26*Buyout!U14</f>
        <v>#REF!</v>
      </c>
      <c r="V84" s="10" t="e">
        <f>CF!V26*Buyout!V14</f>
        <v>#REF!</v>
      </c>
      <c r="W84" s="10" t="e">
        <f>CF!W26*Buyout!W14</f>
        <v>#REF!</v>
      </c>
      <c r="X84" s="10" t="e">
        <f>CF!X26*Buyout!X14</f>
        <v>#REF!</v>
      </c>
      <c r="Y84" s="10" t="e">
        <f>CF!Y26*Buyout!Y14</f>
        <v>#REF!</v>
      </c>
      <c r="Z84" s="10" t="e">
        <f>CF!Z26*Buyout!Z14</f>
        <v>#REF!</v>
      </c>
      <c r="AA84" s="10" t="e">
        <f>CF!AA26*Buyout!AA14</f>
        <v>#REF!</v>
      </c>
      <c r="AB84" s="10" t="e">
        <f>CF!AB26*Buyout!AB14</f>
        <v>#REF!</v>
      </c>
      <c r="AC84" s="10" t="e">
        <f>CF!AC26*Buyout!AC14</f>
        <v>#REF!</v>
      </c>
      <c r="AD84" s="10" t="e">
        <f>CF!AD26*Buyout!AD14</f>
        <v>#REF!</v>
      </c>
      <c r="AE84" s="10" t="e">
        <f>CF!AE26*Buyout!AE14</f>
        <v>#REF!</v>
      </c>
      <c r="AF84" s="10" t="e">
        <f>CF!AF26*Buyout!AF14</f>
        <v>#REF!</v>
      </c>
      <c r="AG84" s="10" t="e">
        <f>CF!AG26*Buyout!AG14</f>
        <v>#REF!</v>
      </c>
      <c r="AH84" s="10" t="e">
        <f>CF!AH26*Buyout!AH14</f>
        <v>#REF!</v>
      </c>
      <c r="AI84" s="10" t="e">
        <f>CF!AI26*Buyout!AI14</f>
        <v>#REF!</v>
      </c>
      <c r="AJ84" s="10" t="e">
        <f>CF!AJ26*Buyout!AJ14</f>
        <v>#REF!</v>
      </c>
      <c r="AK84" s="10" t="e">
        <f>CF!AK26*Buyout!AK14</f>
        <v>#REF!</v>
      </c>
      <c r="AL84" s="10" t="e">
        <f>CF!AL26*Buyout!AL14</f>
        <v>#REF!</v>
      </c>
      <c r="AM84" s="10" t="e">
        <f>CF!AM26*Buyout!AM14</f>
        <v>#REF!</v>
      </c>
      <c r="AN84" s="10" t="e">
        <f>CF!AN26*Buyout!AN14</f>
        <v>#REF!</v>
      </c>
      <c r="AO84" s="10" t="e">
        <f>CF!AO26*Buyout!AO14</f>
        <v>#REF!</v>
      </c>
      <c r="AP84" s="10" t="e">
        <f>CF!AP26*Buyout!AP14</f>
        <v>#REF!</v>
      </c>
      <c r="AQ84" s="10" t="e">
        <f>CF!AQ26*Buyout!AQ14</f>
        <v>#REF!</v>
      </c>
      <c r="AR84" s="10" t="e">
        <f>CF!AR26*Buyout!AR14</f>
        <v>#REF!</v>
      </c>
      <c r="AS84" s="10" t="e">
        <f>CF!AS26*Buyout!AS14</f>
        <v>#REF!</v>
      </c>
      <c r="AT84" s="10" t="e">
        <f>CF!AT26*Buyout!AT14</f>
        <v>#REF!</v>
      </c>
      <c r="AU84" s="10" t="e">
        <f>CF!AU26*Buyout!AU14</f>
        <v>#REF!</v>
      </c>
      <c r="AV84" s="10" t="e">
        <f>CF!AV26*Buyout!AV14</f>
        <v>#REF!</v>
      </c>
      <c r="AW84" s="10" t="e">
        <f>CF!AW26*Buyout!AW14</f>
        <v>#REF!</v>
      </c>
      <c r="AX84" s="10" t="e">
        <f>CF!AX26*Buyout!AX14</f>
        <v>#REF!</v>
      </c>
      <c r="AY84" s="10" t="e">
        <f>CF!AY26*Buyout!AY14</f>
        <v>#REF!</v>
      </c>
      <c r="AZ84" s="10" t="e">
        <f>CF!AZ26*Buyout!AZ14</f>
        <v>#REF!</v>
      </c>
      <c r="BA84" s="10" t="e">
        <f>CF!BA26*Buyout!BA14</f>
        <v>#REF!</v>
      </c>
      <c r="BB84" s="10" t="e">
        <f>CF!BB26*Buyout!BB14</f>
        <v>#REF!</v>
      </c>
      <c r="BC84" s="10" t="e">
        <f>CF!BC26*Buyout!BC14</f>
        <v>#REF!</v>
      </c>
      <c r="BD84" s="10" t="e">
        <f>CF!BD26*Buyout!BD14</f>
        <v>#REF!</v>
      </c>
      <c r="BE84" s="10" t="e">
        <f>CF!BE26*Buyout!BE14</f>
        <v>#REF!</v>
      </c>
      <c r="BF84" s="10" t="e">
        <f>CF!BF26*Buyout!BF14</f>
        <v>#REF!</v>
      </c>
      <c r="BG84" s="10" t="e">
        <f>CF!BG26*Buyout!BG14</f>
        <v>#REF!</v>
      </c>
      <c r="BH84" s="10" t="e">
        <f>CF!BH26*Buyout!BH14</f>
        <v>#REF!</v>
      </c>
      <c r="BI84" s="10" t="e">
        <f>CF!BI26*Buyout!BI14</f>
        <v>#REF!</v>
      </c>
      <c r="BJ84" s="10" t="e">
        <f>CF!BJ26*Buyout!BJ14</f>
        <v>#REF!</v>
      </c>
      <c r="BK84" s="10" t="e">
        <f>CF!BK26*Buyout!BK14</f>
        <v>#REF!</v>
      </c>
      <c r="BL84" s="10" t="e">
        <f>CF!BL26*Buyout!BL14</f>
        <v>#REF!</v>
      </c>
      <c r="BM84" s="10" t="e">
        <f>CF!BM26*Buyout!BM14</f>
        <v>#REF!</v>
      </c>
      <c r="BN84" s="10" t="e">
        <f>CF!BN26*Buyout!BN14</f>
        <v>#REF!</v>
      </c>
      <c r="BO84" s="10" t="e">
        <f>CF!BO26*Buyout!BO14</f>
        <v>#REF!</v>
      </c>
      <c r="BP84" s="10" t="e">
        <f>CF!BP26*Buyout!BP14</f>
        <v>#REF!</v>
      </c>
      <c r="BQ84" s="10" t="e">
        <f>CF!BQ26*Buyout!BQ14</f>
        <v>#REF!</v>
      </c>
      <c r="BR84" s="10" t="e">
        <f>CF!BR26*Buyout!BR14</f>
        <v>#REF!</v>
      </c>
      <c r="BS84" s="10" t="e">
        <f>CF!BS26*Buyout!BS14</f>
        <v>#REF!</v>
      </c>
      <c r="BT84" s="10" t="e">
        <f>CF!BT26*Buyout!BT14</f>
        <v>#REF!</v>
      </c>
      <c r="BU84" s="10" t="e">
        <f>CF!BU26*Buyout!BU14</f>
        <v>#REF!</v>
      </c>
      <c r="BV84" s="10" t="e">
        <f>CF!BV26*Buyout!BV14</f>
        <v>#REF!</v>
      </c>
      <c r="BW84" s="10" t="e">
        <f>CF!BW26*Buyout!BW14</f>
        <v>#REF!</v>
      </c>
      <c r="BX84" s="10" t="e">
        <f>CF!BX26*Buyout!BX14</f>
        <v>#REF!</v>
      </c>
      <c r="BY84" s="10" t="e">
        <f>CF!BY26*Buyout!BY14</f>
        <v>#REF!</v>
      </c>
      <c r="BZ84" s="10" t="e">
        <f>CF!BZ26*Buyout!BZ14</f>
        <v>#REF!</v>
      </c>
      <c r="CA84" s="10" t="e">
        <f>CF!CA26*Buyout!CA14</f>
        <v>#REF!</v>
      </c>
      <c r="CB84" s="10" t="e">
        <f>CF!CB26*Buyout!CB14</f>
        <v>#REF!</v>
      </c>
      <c r="CC84" s="10" t="e">
        <f>CF!CC26*Buyout!CC14</f>
        <v>#REF!</v>
      </c>
      <c r="CD84" s="10" t="e">
        <f>CF!CD26*Buyout!CD14</f>
        <v>#REF!</v>
      </c>
      <c r="CE84" s="10" t="e">
        <f>CF!CE26*Buyout!CE14</f>
        <v>#REF!</v>
      </c>
      <c r="CF84" s="10" t="e">
        <f>CF!CF26*Buyout!CF14</f>
        <v>#REF!</v>
      </c>
      <c r="CG84" s="10" t="e">
        <f>CF!CG26*Buyout!CG14</f>
        <v>#REF!</v>
      </c>
      <c r="CH84" s="10" t="e">
        <f>CF!CH26*Buyout!CH14</f>
        <v>#REF!</v>
      </c>
      <c r="CI84" s="10" t="e">
        <f>CF!CI26*Buyout!CI14</f>
        <v>#REF!</v>
      </c>
      <c r="CJ84" s="10" t="e">
        <f>CF!CJ26*Buyout!CJ14</f>
        <v>#REF!</v>
      </c>
      <c r="CK84" s="10" t="e">
        <f>CF!CK26*Buyout!CK14</f>
        <v>#REF!</v>
      </c>
      <c r="CL84" s="10" t="e">
        <f>CF!CL26*Buyout!CL14</f>
        <v>#REF!</v>
      </c>
      <c r="CM84" s="10" t="e">
        <f>CF!CM26*Buyout!CM14</f>
        <v>#REF!</v>
      </c>
      <c r="CN84" s="10" t="e">
        <f>CF!CN26*Buyout!CN14</f>
        <v>#REF!</v>
      </c>
      <c r="CO84" s="10" t="e">
        <f>CF!CO26*Buyout!CO14</f>
        <v>#REF!</v>
      </c>
      <c r="CP84" s="10" t="e">
        <f>CF!CP26*Buyout!CP14</f>
        <v>#REF!</v>
      </c>
      <c r="CQ84" s="10" t="e">
        <f>CF!CQ26*Buyout!CQ14</f>
        <v>#REF!</v>
      </c>
      <c r="CR84" s="10" t="e">
        <f>CF!CR26*Buyout!CR14</f>
        <v>#REF!</v>
      </c>
      <c r="CS84" s="10" t="e">
        <f>CF!CS26*Buyout!CS14</f>
        <v>#REF!</v>
      </c>
      <c r="CT84" s="10" t="e">
        <f>CF!CT26*Buyout!CT14</f>
        <v>#REF!</v>
      </c>
    </row>
    <row r="85" spans="1:98" ht="12.75" hidden="1" customHeight="1" x14ac:dyDescent="0.25">
      <c r="B85" t="s">
        <v>49</v>
      </c>
      <c r="H85" s="9" t="s">
        <v>50</v>
      </c>
      <c r="J85" s="86">
        <f>SUM(P85:CT85)</f>
        <v>0</v>
      </c>
      <c r="N85" s="10"/>
      <c r="P85" s="87">
        <f t="shared" ref="P85" si="52">IFERROR(P83/P84,0)</f>
        <v>0</v>
      </c>
      <c r="Q85" s="87">
        <f t="shared" ref="Q85:CB85" si="53">IFERROR(Q83/Q84,0)</f>
        <v>0</v>
      </c>
      <c r="R85" s="87">
        <f t="shared" si="53"/>
        <v>0</v>
      </c>
      <c r="S85" s="87">
        <f t="shared" si="53"/>
        <v>0</v>
      </c>
      <c r="T85" s="87">
        <f t="shared" si="53"/>
        <v>0</v>
      </c>
      <c r="U85" s="87">
        <f t="shared" si="53"/>
        <v>0</v>
      </c>
      <c r="V85" s="87">
        <f t="shared" si="53"/>
        <v>0</v>
      </c>
      <c r="W85" s="87">
        <f t="shared" si="53"/>
        <v>0</v>
      </c>
      <c r="X85" s="87">
        <f t="shared" si="53"/>
        <v>0</v>
      </c>
      <c r="Y85" s="87">
        <f t="shared" si="53"/>
        <v>0</v>
      </c>
      <c r="Z85" s="87">
        <f t="shared" si="53"/>
        <v>0</v>
      </c>
      <c r="AA85" s="87">
        <f t="shared" si="53"/>
        <v>0</v>
      </c>
      <c r="AB85" s="87">
        <f t="shared" si="53"/>
        <v>0</v>
      </c>
      <c r="AC85" s="87">
        <f t="shared" si="53"/>
        <v>0</v>
      </c>
      <c r="AD85" s="87">
        <f t="shared" si="53"/>
        <v>0</v>
      </c>
      <c r="AE85" s="87">
        <f t="shared" si="53"/>
        <v>0</v>
      </c>
      <c r="AF85" s="87">
        <f t="shared" si="53"/>
        <v>0</v>
      </c>
      <c r="AG85" s="87">
        <f t="shared" si="53"/>
        <v>0</v>
      </c>
      <c r="AH85" s="87">
        <f t="shared" si="53"/>
        <v>0</v>
      </c>
      <c r="AI85" s="87">
        <f t="shared" si="53"/>
        <v>0</v>
      </c>
      <c r="AJ85" s="87">
        <f t="shared" si="53"/>
        <v>0</v>
      </c>
      <c r="AK85" s="87">
        <f t="shared" si="53"/>
        <v>0</v>
      </c>
      <c r="AL85" s="87">
        <f t="shared" si="53"/>
        <v>0</v>
      </c>
      <c r="AM85" s="87">
        <f t="shared" si="53"/>
        <v>0</v>
      </c>
      <c r="AN85" s="87">
        <f t="shared" si="53"/>
        <v>0</v>
      </c>
      <c r="AO85" s="87">
        <f t="shared" si="53"/>
        <v>0</v>
      </c>
      <c r="AP85" s="87">
        <f t="shared" si="53"/>
        <v>0</v>
      </c>
      <c r="AQ85" s="87">
        <f t="shared" si="53"/>
        <v>0</v>
      </c>
      <c r="AR85" s="87">
        <f t="shared" si="53"/>
        <v>0</v>
      </c>
      <c r="AS85" s="87">
        <f t="shared" si="53"/>
        <v>0</v>
      </c>
      <c r="AT85" s="87">
        <f t="shared" si="53"/>
        <v>0</v>
      </c>
      <c r="AU85" s="87">
        <f t="shared" si="53"/>
        <v>0</v>
      </c>
      <c r="AV85" s="87">
        <f t="shared" si="53"/>
        <v>0</v>
      </c>
      <c r="AW85" s="87">
        <f t="shared" si="53"/>
        <v>0</v>
      </c>
      <c r="AX85" s="87">
        <f t="shared" si="53"/>
        <v>0</v>
      </c>
      <c r="AY85" s="87">
        <f t="shared" si="53"/>
        <v>0</v>
      </c>
      <c r="AZ85" s="87">
        <f t="shared" si="53"/>
        <v>0</v>
      </c>
      <c r="BA85" s="87">
        <f t="shared" si="53"/>
        <v>0</v>
      </c>
      <c r="BB85" s="87">
        <f t="shared" si="53"/>
        <v>0</v>
      </c>
      <c r="BC85" s="87">
        <f t="shared" si="53"/>
        <v>0</v>
      </c>
      <c r="BD85" s="87">
        <f t="shared" si="53"/>
        <v>0</v>
      </c>
      <c r="BE85" s="87">
        <f t="shared" si="53"/>
        <v>0</v>
      </c>
      <c r="BF85" s="87">
        <f t="shared" si="53"/>
        <v>0</v>
      </c>
      <c r="BG85" s="87">
        <f t="shared" si="53"/>
        <v>0</v>
      </c>
      <c r="BH85" s="87">
        <f t="shared" si="53"/>
        <v>0</v>
      </c>
      <c r="BI85" s="87">
        <f t="shared" si="53"/>
        <v>0</v>
      </c>
      <c r="BJ85" s="87">
        <f t="shared" si="53"/>
        <v>0</v>
      </c>
      <c r="BK85" s="87">
        <f t="shared" si="53"/>
        <v>0</v>
      </c>
      <c r="BL85" s="87">
        <f t="shared" si="53"/>
        <v>0</v>
      </c>
      <c r="BM85" s="87">
        <f t="shared" si="53"/>
        <v>0</v>
      </c>
      <c r="BN85" s="87">
        <f t="shared" si="53"/>
        <v>0</v>
      </c>
      <c r="BO85" s="87">
        <f t="shared" si="53"/>
        <v>0</v>
      </c>
      <c r="BP85" s="87">
        <f t="shared" si="53"/>
        <v>0</v>
      </c>
      <c r="BQ85" s="87">
        <f t="shared" si="53"/>
        <v>0</v>
      </c>
      <c r="BR85" s="87">
        <f t="shared" si="53"/>
        <v>0</v>
      </c>
      <c r="BS85" s="87">
        <f t="shared" si="53"/>
        <v>0</v>
      </c>
      <c r="BT85" s="87">
        <f t="shared" si="53"/>
        <v>0</v>
      </c>
      <c r="BU85" s="87">
        <f t="shared" si="53"/>
        <v>0</v>
      </c>
      <c r="BV85" s="87">
        <f t="shared" si="53"/>
        <v>0</v>
      </c>
      <c r="BW85" s="87">
        <f t="shared" si="53"/>
        <v>0</v>
      </c>
      <c r="BX85" s="87">
        <f t="shared" si="53"/>
        <v>0</v>
      </c>
      <c r="BY85" s="87">
        <f t="shared" si="53"/>
        <v>0</v>
      </c>
      <c r="BZ85" s="87">
        <f t="shared" si="53"/>
        <v>0</v>
      </c>
      <c r="CA85" s="87">
        <f t="shared" si="53"/>
        <v>0</v>
      </c>
      <c r="CB85" s="87">
        <f t="shared" si="53"/>
        <v>0</v>
      </c>
      <c r="CC85" s="87">
        <f t="shared" ref="CC85:CT85" si="54">IFERROR(CC83/CC84,0)</f>
        <v>0</v>
      </c>
      <c r="CD85" s="87">
        <f t="shared" si="54"/>
        <v>0</v>
      </c>
      <c r="CE85" s="87">
        <f t="shared" si="54"/>
        <v>0</v>
      </c>
      <c r="CF85" s="87">
        <f t="shared" si="54"/>
        <v>0</v>
      </c>
      <c r="CG85" s="87">
        <f t="shared" si="54"/>
        <v>0</v>
      </c>
      <c r="CH85" s="87">
        <f t="shared" si="54"/>
        <v>0</v>
      </c>
      <c r="CI85" s="87">
        <f t="shared" si="54"/>
        <v>0</v>
      </c>
      <c r="CJ85" s="87">
        <f t="shared" si="54"/>
        <v>0</v>
      </c>
      <c r="CK85" s="87">
        <f t="shared" si="54"/>
        <v>0</v>
      </c>
      <c r="CL85" s="87">
        <f t="shared" si="54"/>
        <v>0</v>
      </c>
      <c r="CM85" s="87">
        <f t="shared" si="54"/>
        <v>0</v>
      </c>
      <c r="CN85" s="87">
        <f t="shared" si="54"/>
        <v>0</v>
      </c>
      <c r="CO85" s="87">
        <f t="shared" si="54"/>
        <v>0</v>
      </c>
      <c r="CP85" s="87">
        <f t="shared" si="54"/>
        <v>0</v>
      </c>
      <c r="CQ85" s="87">
        <f t="shared" si="54"/>
        <v>0</v>
      </c>
      <c r="CR85" s="87">
        <f t="shared" si="54"/>
        <v>0</v>
      </c>
      <c r="CS85" s="87">
        <f t="shared" si="54"/>
        <v>0</v>
      </c>
      <c r="CT85" s="87">
        <f t="shared" si="54"/>
        <v>0</v>
      </c>
    </row>
    <row r="86" spans="1:98" ht="12.75" hidden="1" customHeight="1" x14ac:dyDescent="0.25">
      <c r="H86" s="9"/>
      <c r="N86" s="10"/>
    </row>
    <row r="87" spans="1:98" ht="12.75" hidden="1" customHeight="1" x14ac:dyDescent="0.25">
      <c r="H87" s="9"/>
      <c r="N87" s="10"/>
    </row>
    <row r="88" spans="1:98" ht="12.75" hidden="1" customHeight="1" x14ac:dyDescent="0.25">
      <c r="A88" s="5" t="s">
        <v>51</v>
      </c>
      <c r="B88" s="5"/>
      <c r="C88" s="6"/>
      <c r="D88" s="5"/>
      <c r="E88" s="5"/>
      <c r="F88" s="5"/>
      <c r="G88" s="5"/>
      <c r="H88" s="7"/>
      <c r="I88" s="8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</row>
    <row r="89" spans="1:98" ht="12.75" hidden="1" customHeight="1" x14ac:dyDescent="0.25">
      <c r="H89" s="9"/>
      <c r="N89" s="10"/>
    </row>
    <row r="90" spans="1:98" ht="12.75" hidden="1" customHeight="1" x14ac:dyDescent="0.25">
      <c r="D90" s="88" t="s">
        <v>52</v>
      </c>
      <c r="E90" s="51" t="e">
        <f>J7</f>
        <v>#REF!</v>
      </c>
      <c r="H90" s="9"/>
      <c r="N90" s="10"/>
    </row>
    <row r="91" spans="1:98" ht="12.75" hidden="1" customHeight="1" x14ac:dyDescent="0.25">
      <c r="D91" s="89">
        <f>Summary!L10</f>
        <v>7.0000000000000007E-2</v>
      </c>
      <c r="E91" s="10" t="e">
        <f t="dataTable" ref="E91:E105" dt2D="0" dtr="0" r1="J40"/>
        <v>#REF!</v>
      </c>
      <c r="H91" s="9"/>
      <c r="N91" s="10"/>
    </row>
    <row r="92" spans="1:98" ht="12.75" hidden="1" customHeight="1" x14ac:dyDescent="0.25">
      <c r="D92" s="89">
        <f>Summary!L11</f>
        <v>0.08</v>
      </c>
      <c r="E92" s="10" t="e">
        <v>#REF!</v>
      </c>
      <c r="H92" s="9"/>
      <c r="N92" s="10"/>
    </row>
    <row r="93" spans="1:98" ht="12.75" hidden="1" customHeight="1" x14ac:dyDescent="0.25">
      <c r="D93" s="89">
        <f>Summary!L12</f>
        <v>0.09</v>
      </c>
      <c r="E93" s="10" t="e">
        <v>#REF!</v>
      </c>
      <c r="H93" s="9"/>
      <c r="N93" s="10"/>
    </row>
    <row r="94" spans="1:98" ht="12.75" hidden="1" customHeight="1" x14ac:dyDescent="0.25">
      <c r="D94" s="89">
        <f>Summary!L13</f>
        <v>9.9999999999999992E-2</v>
      </c>
      <c r="E94" s="10" t="e">
        <v>#REF!</v>
      </c>
      <c r="H94" s="9"/>
      <c r="N94" s="10"/>
    </row>
    <row r="95" spans="1:98" ht="12.75" hidden="1" customHeight="1" x14ac:dyDescent="0.25">
      <c r="D95" s="89">
        <f>Summary!L14</f>
        <v>0.10999999999999999</v>
      </c>
      <c r="E95" s="10" t="e">
        <v>#REF!</v>
      </c>
      <c r="H95" s="9"/>
      <c r="N95" s="10"/>
    </row>
    <row r="96" spans="1:98" ht="12.75" hidden="1" customHeight="1" x14ac:dyDescent="0.25">
      <c r="D96" s="89">
        <f>Summary!L15</f>
        <v>0.11999999999999998</v>
      </c>
      <c r="E96" s="10" t="e">
        <v>#REF!</v>
      </c>
      <c r="H96" s="9"/>
      <c r="N96" s="10"/>
    </row>
    <row r="97" spans="4:14" ht="12.75" hidden="1" customHeight="1" x14ac:dyDescent="0.25">
      <c r="D97" s="89">
        <f>Summary!L16</f>
        <v>0.12999999999999998</v>
      </c>
      <c r="E97" s="10" t="e">
        <v>#REF!</v>
      </c>
      <c r="H97" s="9"/>
      <c r="N97" s="10"/>
    </row>
    <row r="98" spans="4:14" ht="12.75" hidden="1" customHeight="1" x14ac:dyDescent="0.25">
      <c r="D98" s="89">
        <f>Summary!L17</f>
        <v>0.13999999999999999</v>
      </c>
      <c r="E98" s="10" t="e">
        <v>#REF!</v>
      </c>
      <c r="H98" s="9"/>
      <c r="N98" s="10"/>
    </row>
    <row r="99" spans="4:14" ht="12.75" hidden="1" customHeight="1" x14ac:dyDescent="0.25">
      <c r="D99" s="89">
        <f>Summary!L18</f>
        <v>0.15</v>
      </c>
      <c r="E99" s="10" t="e">
        <v>#REF!</v>
      </c>
      <c r="H99" s="9"/>
      <c r="N99" s="10"/>
    </row>
    <row r="100" spans="4:14" ht="12.75" hidden="1" customHeight="1" x14ac:dyDescent="0.25">
      <c r="D100" s="89">
        <f>Summary!L19</f>
        <v>0.16</v>
      </c>
      <c r="E100" s="10" t="e">
        <v>#REF!</v>
      </c>
      <c r="H100" s="9"/>
      <c r="N100" s="10"/>
    </row>
    <row r="101" spans="4:14" ht="12.75" hidden="1" customHeight="1" x14ac:dyDescent="0.25">
      <c r="D101" s="89">
        <f>Summary!L20</f>
        <v>0.17</v>
      </c>
      <c r="E101" s="10" t="e">
        <v>#REF!</v>
      </c>
      <c r="H101" s="9"/>
      <c r="N101" s="10"/>
    </row>
    <row r="102" spans="4:14" ht="12.75" hidden="1" customHeight="1" x14ac:dyDescent="0.25">
      <c r="D102" s="89">
        <f>Summary!L21</f>
        <v>0.18000000000000002</v>
      </c>
      <c r="E102" s="10" t="e">
        <v>#REF!</v>
      </c>
      <c r="H102" s="9"/>
      <c r="N102" s="10"/>
    </row>
    <row r="103" spans="4:14" ht="12.75" hidden="1" customHeight="1" x14ac:dyDescent="0.25">
      <c r="D103" s="89">
        <f>Summary!L22</f>
        <v>0.19000000000000003</v>
      </c>
      <c r="E103" s="10" t="e">
        <v>#REF!</v>
      </c>
      <c r="H103" s="9"/>
      <c r="N103" s="10"/>
    </row>
    <row r="104" spans="4:14" ht="12.75" hidden="1" customHeight="1" x14ac:dyDescent="0.25">
      <c r="D104" s="89">
        <f>Summary!L23</f>
        <v>0.20000000000000004</v>
      </c>
      <c r="E104" s="10" t="e">
        <v>#REF!</v>
      </c>
      <c r="H104" s="9"/>
      <c r="N104" s="10"/>
    </row>
    <row r="105" spans="4:14" ht="12.75" hidden="1" customHeight="1" x14ac:dyDescent="0.25">
      <c r="D105" s="89">
        <f>Summary!L24</f>
        <v>0.21000000000000005</v>
      </c>
      <c r="E105" s="10" t="e">
        <v>#REF!</v>
      </c>
      <c r="H105" s="9"/>
      <c r="N105" s="10"/>
    </row>
    <row r="106" spans="4:14" ht="12.75" hidden="1" customHeight="1" x14ac:dyDescent="0.25">
      <c r="H106" s="9"/>
      <c r="N106" s="10"/>
    </row>
    <row r="107" spans="4:14" ht="12.75" hidden="1" customHeight="1" x14ac:dyDescent="0.25">
      <c r="D107" s="88" t="s">
        <v>52</v>
      </c>
      <c r="E107" s="49" t="e">
        <f>J83</f>
        <v>#REF!</v>
      </c>
      <c r="H107" s="9"/>
      <c r="N107" s="10"/>
    </row>
    <row r="108" spans="4:14" ht="12.75" hidden="1" customHeight="1" x14ac:dyDescent="0.25">
      <c r="D108" s="89">
        <f t="shared" ref="D108:D122" si="55">D91</f>
        <v>7.0000000000000007E-2</v>
      </c>
      <c r="E108" s="10" t="e">
        <f t="dataTable" ref="E108:E122" dt2D="0" dtr="0" r1="J40" ca="1"/>
        <v>#REF!</v>
      </c>
      <c r="H108" s="9"/>
      <c r="N108" s="10"/>
    </row>
    <row r="109" spans="4:14" ht="12.75" hidden="1" customHeight="1" x14ac:dyDescent="0.25">
      <c r="D109" s="89">
        <f t="shared" si="55"/>
        <v>0.08</v>
      </c>
      <c r="E109" s="10" t="e">
        <v>#REF!</v>
      </c>
      <c r="H109" s="9"/>
      <c r="N109" s="10"/>
    </row>
    <row r="110" spans="4:14" ht="12.75" hidden="1" customHeight="1" x14ac:dyDescent="0.25">
      <c r="D110" s="89">
        <f t="shared" si="55"/>
        <v>0.09</v>
      </c>
      <c r="E110" s="10" t="e">
        <v>#REF!</v>
      </c>
      <c r="H110" s="9"/>
      <c r="N110" s="10"/>
    </row>
    <row r="111" spans="4:14" ht="12.75" hidden="1" customHeight="1" x14ac:dyDescent="0.25">
      <c r="D111" s="89">
        <f t="shared" si="55"/>
        <v>9.9999999999999992E-2</v>
      </c>
      <c r="E111" s="10" t="e">
        <v>#REF!</v>
      </c>
      <c r="H111" s="9"/>
      <c r="N111" s="10"/>
    </row>
    <row r="112" spans="4:14" ht="12.75" hidden="1" customHeight="1" x14ac:dyDescent="0.25">
      <c r="D112" s="89">
        <f t="shared" si="55"/>
        <v>0.10999999999999999</v>
      </c>
      <c r="E112" s="10" t="e">
        <v>#REF!</v>
      </c>
      <c r="H112" s="9"/>
      <c r="N112" s="10"/>
    </row>
    <row r="113" spans="4:14" ht="12.75" hidden="1" customHeight="1" x14ac:dyDescent="0.25">
      <c r="D113" s="89">
        <f t="shared" si="55"/>
        <v>0.11999999999999998</v>
      </c>
      <c r="E113" s="10" t="e">
        <v>#REF!</v>
      </c>
      <c r="H113" s="9"/>
      <c r="N113" s="10"/>
    </row>
    <row r="114" spans="4:14" ht="12.75" hidden="1" customHeight="1" x14ac:dyDescent="0.25">
      <c r="D114" s="89">
        <f t="shared" si="55"/>
        <v>0.12999999999999998</v>
      </c>
      <c r="E114" s="10" t="e">
        <v>#REF!</v>
      </c>
      <c r="H114" s="9"/>
      <c r="N114" s="10"/>
    </row>
    <row r="115" spans="4:14" ht="12.75" hidden="1" customHeight="1" x14ac:dyDescent="0.25">
      <c r="D115" s="89">
        <f t="shared" si="55"/>
        <v>0.13999999999999999</v>
      </c>
      <c r="E115" s="10" t="e">
        <v>#REF!</v>
      </c>
      <c r="H115" s="9"/>
      <c r="N115" s="10"/>
    </row>
    <row r="116" spans="4:14" ht="12.75" hidden="1" customHeight="1" x14ac:dyDescent="0.25">
      <c r="D116" s="89">
        <f t="shared" si="55"/>
        <v>0.15</v>
      </c>
      <c r="E116" s="10" t="e">
        <v>#REF!</v>
      </c>
      <c r="H116" s="9"/>
      <c r="N116" s="10"/>
    </row>
    <row r="117" spans="4:14" ht="12.75" hidden="1" customHeight="1" x14ac:dyDescent="0.25">
      <c r="D117" s="89">
        <f t="shared" si="55"/>
        <v>0.16</v>
      </c>
      <c r="E117" s="10" t="e">
        <v>#REF!</v>
      </c>
      <c r="H117" s="9"/>
      <c r="N117" s="10"/>
    </row>
    <row r="118" spans="4:14" ht="12.75" hidden="1" customHeight="1" x14ac:dyDescent="0.25">
      <c r="D118" s="89">
        <f t="shared" si="55"/>
        <v>0.17</v>
      </c>
      <c r="E118" s="10" t="e">
        <v>#REF!</v>
      </c>
      <c r="H118" s="9"/>
      <c r="N118" s="10"/>
    </row>
    <row r="119" spans="4:14" ht="12.75" hidden="1" customHeight="1" x14ac:dyDescent="0.25">
      <c r="D119" s="89">
        <f t="shared" si="55"/>
        <v>0.18000000000000002</v>
      </c>
      <c r="E119" s="10" t="e">
        <v>#REF!</v>
      </c>
      <c r="H119" s="9"/>
      <c r="N119" s="10"/>
    </row>
    <row r="120" spans="4:14" ht="12.75" hidden="1" customHeight="1" x14ac:dyDescent="0.25">
      <c r="D120" s="89">
        <f t="shared" si="55"/>
        <v>0.19000000000000003</v>
      </c>
      <c r="E120" s="10" t="e">
        <v>#REF!</v>
      </c>
      <c r="H120" s="9"/>
      <c r="N120" s="10"/>
    </row>
    <row r="121" spans="4:14" ht="12.75" hidden="1" customHeight="1" x14ac:dyDescent="0.25">
      <c r="D121" s="89">
        <f t="shared" si="55"/>
        <v>0.20000000000000004</v>
      </c>
      <c r="E121" s="10" t="e">
        <v>#REF!</v>
      </c>
      <c r="H121" s="9"/>
      <c r="N121" s="10"/>
    </row>
    <row r="122" spans="4:14" ht="12.75" hidden="1" customHeight="1" x14ac:dyDescent="0.25">
      <c r="D122" s="89">
        <f t="shared" si="55"/>
        <v>0.21000000000000005</v>
      </c>
      <c r="E122" s="10" t="e">
        <v>#REF!</v>
      </c>
      <c r="H122" s="9"/>
      <c r="N122" s="10"/>
    </row>
    <row r="123" spans="4:14" ht="12.75" hidden="1" customHeight="1" x14ac:dyDescent="0.25">
      <c r="H123" s="9"/>
      <c r="N123" s="10"/>
    </row>
    <row r="124" spans="4:14" ht="12.75" hidden="1" customHeight="1" x14ac:dyDescent="0.25">
      <c r="D124" s="88" t="s">
        <v>52</v>
      </c>
      <c r="E124" s="90">
        <f>J85</f>
        <v>0</v>
      </c>
      <c r="H124" s="9"/>
      <c r="N124" s="10"/>
    </row>
    <row r="125" spans="4:14" ht="12.75" hidden="1" customHeight="1" x14ac:dyDescent="0.25">
      <c r="D125" s="89">
        <f>D91</f>
        <v>7.0000000000000007E-2</v>
      </c>
      <c r="E125" s="87">
        <f t="dataTable" ref="E125:E139" dt2D="0" dtr="0" r1="J40" ca="1"/>
        <v>0</v>
      </c>
      <c r="H125" s="9"/>
      <c r="N125" s="10"/>
    </row>
    <row r="126" spans="4:14" ht="12.75" hidden="1" customHeight="1" x14ac:dyDescent="0.25">
      <c r="D126" s="89">
        <f t="shared" ref="D126:D139" si="56">D92</f>
        <v>0.08</v>
      </c>
      <c r="E126" s="87">
        <v>0</v>
      </c>
      <c r="H126" s="9"/>
      <c r="N126" s="10"/>
    </row>
    <row r="127" spans="4:14" ht="12.75" hidden="1" customHeight="1" x14ac:dyDescent="0.25">
      <c r="D127" s="89">
        <f t="shared" si="56"/>
        <v>0.09</v>
      </c>
      <c r="E127" s="87">
        <v>0</v>
      </c>
      <c r="H127" s="9"/>
      <c r="N127" s="10"/>
    </row>
    <row r="128" spans="4:14" ht="12.75" hidden="1" customHeight="1" x14ac:dyDescent="0.25">
      <c r="D128" s="89">
        <f t="shared" si="56"/>
        <v>9.9999999999999992E-2</v>
      </c>
      <c r="E128" s="87">
        <v>0</v>
      </c>
      <c r="H128" s="9"/>
      <c r="N128" s="10"/>
    </row>
    <row r="129" spans="1:98" ht="12.75" hidden="1" customHeight="1" x14ac:dyDescent="0.25">
      <c r="D129" s="89">
        <f t="shared" si="56"/>
        <v>0.10999999999999999</v>
      </c>
      <c r="E129" s="87">
        <v>0</v>
      </c>
      <c r="H129" s="9"/>
      <c r="N129" s="10"/>
    </row>
    <row r="130" spans="1:98" ht="12.75" hidden="1" customHeight="1" x14ac:dyDescent="0.25">
      <c r="D130" s="89">
        <f t="shared" si="56"/>
        <v>0.11999999999999998</v>
      </c>
      <c r="E130" s="87">
        <v>0</v>
      </c>
      <c r="H130" s="9"/>
      <c r="N130" s="10"/>
    </row>
    <row r="131" spans="1:98" ht="12.75" hidden="1" customHeight="1" x14ac:dyDescent="0.25">
      <c r="D131" s="89">
        <f t="shared" si="56"/>
        <v>0.12999999999999998</v>
      </c>
      <c r="E131" s="87">
        <v>0</v>
      </c>
      <c r="H131" s="9"/>
      <c r="N131" s="10"/>
    </row>
    <row r="132" spans="1:98" ht="12.75" hidden="1" customHeight="1" x14ac:dyDescent="0.25">
      <c r="D132" s="89">
        <f t="shared" si="56"/>
        <v>0.13999999999999999</v>
      </c>
      <c r="E132" s="87">
        <v>0</v>
      </c>
      <c r="H132" s="9"/>
      <c r="N132" s="10"/>
    </row>
    <row r="133" spans="1:98" ht="12.75" hidden="1" customHeight="1" x14ac:dyDescent="0.25">
      <c r="D133" s="89">
        <f t="shared" si="56"/>
        <v>0.15</v>
      </c>
      <c r="E133" s="87">
        <v>0</v>
      </c>
      <c r="H133" s="9"/>
      <c r="N133" s="10"/>
    </row>
    <row r="134" spans="1:98" ht="12.75" hidden="1" customHeight="1" x14ac:dyDescent="0.25">
      <c r="D134" s="89">
        <f t="shared" si="56"/>
        <v>0.16</v>
      </c>
      <c r="E134" s="87">
        <v>0</v>
      </c>
      <c r="H134" s="9"/>
      <c r="N134" s="10"/>
    </row>
    <row r="135" spans="1:98" ht="12.75" hidden="1" customHeight="1" x14ac:dyDescent="0.25">
      <c r="D135" s="89">
        <f t="shared" si="56"/>
        <v>0.17</v>
      </c>
      <c r="E135" s="87">
        <v>0</v>
      </c>
      <c r="H135" s="9"/>
      <c r="N135" s="10"/>
    </row>
    <row r="136" spans="1:98" ht="12.75" hidden="1" customHeight="1" x14ac:dyDescent="0.25">
      <c r="D136" s="89">
        <f t="shared" si="56"/>
        <v>0.18000000000000002</v>
      </c>
      <c r="E136" s="87">
        <v>0</v>
      </c>
      <c r="H136" s="9"/>
      <c r="N136" s="10"/>
    </row>
    <row r="137" spans="1:98" ht="12.75" hidden="1" customHeight="1" x14ac:dyDescent="0.25">
      <c r="A137" s="41" t="s">
        <v>53</v>
      </c>
      <c r="D137" s="89">
        <f t="shared" si="56"/>
        <v>0.19000000000000003</v>
      </c>
      <c r="E137" s="87">
        <v>0</v>
      </c>
      <c r="H137" s="9"/>
      <c r="I137" s="91"/>
      <c r="J137" s="54"/>
    </row>
    <row r="138" spans="1:98" ht="12.75" hidden="1" customHeight="1" x14ac:dyDescent="0.25">
      <c r="D138" s="89">
        <f t="shared" si="56"/>
        <v>0.20000000000000004</v>
      </c>
      <c r="E138" s="87">
        <v>0</v>
      </c>
      <c r="H138" s="9"/>
      <c r="J138" s="65"/>
      <c r="N138" s="89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C138" s="92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  <c r="CI138" s="92"/>
      <c r="CJ138" s="92"/>
      <c r="CK138" s="92"/>
      <c r="CL138" s="92"/>
      <c r="CM138" s="92"/>
      <c r="CN138" s="92"/>
      <c r="CO138" s="92"/>
      <c r="CP138" s="92"/>
      <c r="CQ138" s="92"/>
      <c r="CR138" s="92"/>
      <c r="CS138" s="92"/>
      <c r="CT138" s="92"/>
    </row>
    <row r="139" spans="1:98" ht="12.75" hidden="1" customHeight="1" x14ac:dyDescent="0.25">
      <c r="D139" s="89">
        <f t="shared" si="56"/>
        <v>0.21000000000000005</v>
      </c>
      <c r="E139" s="87">
        <v>0</v>
      </c>
      <c r="H139" s="9"/>
      <c r="N139" s="10"/>
    </row>
    <row r="140" spans="1:98" ht="12.75" hidden="1" customHeight="1" x14ac:dyDescent="0.25">
      <c r="H140" s="9"/>
      <c r="N140" s="10"/>
    </row>
    <row r="141" spans="1:98" ht="12.75" hidden="1" customHeight="1" x14ac:dyDescent="0.25">
      <c r="A141" s="41"/>
      <c r="B141" s="21"/>
      <c r="H141" s="9"/>
      <c r="N141" s="10"/>
    </row>
  </sheetData>
  <conditionalFormatting sqref="J31">
    <cfRule type="containsText" dxfId="198" priority="16" operator="containsText" text="TRUE">
      <formula>NOT(ISERROR(SEARCH("TRUE",J31)))</formula>
    </cfRule>
    <cfRule type="containsText" dxfId="197" priority="17" operator="containsText" text="FALSE">
      <formula>NOT(ISERROR(SEARCH("FALSE",J31)))</formula>
    </cfRule>
  </conditionalFormatting>
  <conditionalFormatting sqref="P31:CT31">
    <cfRule type="containsText" dxfId="196" priority="13" operator="containsText" text="TRUE">
      <formula>NOT(ISERROR(SEARCH("TRUE",P31)))</formula>
    </cfRule>
    <cfRule type="containsText" dxfId="195" priority="14" operator="containsText" text="FALSE">
      <formula>NOT(ISERROR(SEARCH("FALSE",P31)))</formula>
    </cfRule>
  </conditionalFormatting>
  <conditionalFormatting sqref="P85:CT85">
    <cfRule type="expression" dxfId="194" priority="12">
      <formula>P$7="Actuals"</formula>
    </cfRule>
  </conditionalFormatting>
  <conditionalFormatting sqref="E124">
    <cfRule type="expression" dxfId="193" priority="11">
      <formula>E$7="Actuals"</formula>
    </cfRule>
  </conditionalFormatting>
  <conditionalFormatting sqref="P7:CT7">
    <cfRule type="expression" dxfId="192" priority="4">
      <formula>P7="Ops"</formula>
    </cfRule>
    <cfRule type="expression" dxfId="191" priority="5">
      <formula>P7="Const"</formula>
    </cfRule>
  </conditionalFormatting>
  <conditionalFormatting sqref="P8:CT8">
    <cfRule type="expression" dxfId="190" priority="6">
      <formula>P$8="Hold"</formula>
    </cfRule>
  </conditionalFormatting>
  <conditionalFormatting sqref="E125:E139">
    <cfRule type="expression" dxfId="189" priority="1">
      <formula>E$7="Actuals"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BF5B7B8-40DF-43D8-91CB-6E2C9BD67057}">
            <xm:f>$J$12=InputC!$B$174</xm:f>
            <x14:dxf>
              <font>
                <color theme="1" tint="0.34998626667073579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3" id="{41D25292-461A-4E3C-8DEA-3D1FE76A0608}">
            <xm:f>$J$12=InputC!$B$174</xm:f>
            <x14:dxf>
              <font>
                <color theme="2" tint="-0.499984740745262"/>
              </font>
              <fill>
                <patternFill>
                  <bgColor theme="0" tint="-0.34998626667073579"/>
                </patternFill>
              </fill>
            </x14:dxf>
          </x14:cfRule>
          <xm:sqref>J15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A81DD00-5FE0-4B2E-85C1-E45FF4B89213}">
          <x14:formula1>
            <xm:f>InputC!$B$174:$B$175</xm:f>
          </x14:formula1>
          <xm:sqref>J12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9A5B8-69F8-477A-8D0A-3885575E2343}">
  <sheetPr codeName="Sheet2">
    <tabColor theme="1" tint="0.34998626667073579"/>
    <pageSetUpPr autoPageBreaks="0"/>
  </sheetPr>
  <dimension ref="A1:R1647"/>
  <sheetViews>
    <sheetView showGridLines="0" zoomScale="50" zoomScaleNormal="50" workbookViewId="0">
      <pane ySplit="9" topLeftCell="A50" activePane="bottomLeft" state="frozen"/>
      <selection activeCell="L166" sqref="L166"/>
      <selection pane="bottomLeft" activeCell="A50" sqref="A50"/>
    </sheetView>
  </sheetViews>
  <sheetFormatPr defaultColWidth="0" defaultRowHeight="12.75" customHeight="1" x14ac:dyDescent="0.25"/>
  <cols>
    <col min="1" max="1" width="2.7109375" customWidth="1"/>
    <col min="2" max="2" width="3.85546875" customWidth="1"/>
    <col min="3" max="3" width="10.85546875" customWidth="1"/>
    <col min="4" max="4" width="11.28515625" customWidth="1"/>
    <col min="5" max="5" width="9.140625" customWidth="1"/>
    <col min="6" max="6" width="12.28515625" customWidth="1"/>
    <col min="7" max="7" width="13.28515625" customWidth="1"/>
    <col min="8" max="8" width="13.28515625" style="9" customWidth="1"/>
    <col min="9" max="9" width="13.28515625" customWidth="1"/>
    <col min="10" max="10" width="2.42578125" customWidth="1"/>
    <col min="11" max="11" width="16.7109375" style="91" customWidth="1"/>
    <col min="12" max="12" width="16.7109375" customWidth="1"/>
    <col min="13" max="13" width="16.7109375" style="148" customWidth="1"/>
    <col min="14" max="17" width="16.7109375" customWidth="1"/>
    <col min="18" max="18" width="6.28515625" customWidth="1"/>
    <col min="19" max="16384" width="9.140625" hidden="1"/>
  </cols>
  <sheetData>
    <row r="1" spans="1:18" s="292" customFormat="1" ht="12.75" customHeight="1" x14ac:dyDescent="0.25">
      <c r="A1" s="282"/>
      <c r="B1" s="282"/>
      <c r="C1" s="282"/>
      <c r="D1" s="282"/>
      <c r="E1" s="282"/>
      <c r="F1" s="282"/>
      <c r="G1" s="282"/>
      <c r="H1" s="293"/>
      <c r="I1" s="282"/>
      <c r="J1" s="282"/>
      <c r="M1" s="294"/>
    </row>
    <row r="2" spans="1:18" s="292" customFormat="1" ht="12.75" customHeight="1" x14ac:dyDescent="0.25">
      <c r="A2" s="282"/>
      <c r="B2" s="297" t="s">
        <v>5</v>
      </c>
      <c r="E2" s="282"/>
      <c r="F2" s="282"/>
      <c r="G2" s="282"/>
      <c r="H2" s="293"/>
      <c r="I2" s="282"/>
      <c r="J2" s="282"/>
      <c r="K2" s="107">
        <v>1</v>
      </c>
      <c r="M2" s="108">
        <v>1</v>
      </c>
      <c r="N2" s="108">
        <f>M2+1</f>
        <v>2</v>
      </c>
      <c r="O2" s="108">
        <f>N2+1</f>
        <v>3</v>
      </c>
      <c r="P2" s="108">
        <f>O2+1</f>
        <v>4</v>
      </c>
      <c r="Q2" s="108">
        <f>P2+1</f>
        <v>5</v>
      </c>
    </row>
    <row r="3" spans="1:18" s="292" customFormat="1" ht="12.75" customHeight="1" x14ac:dyDescent="0.25">
      <c r="A3" s="282"/>
      <c r="B3" s="282" t="s">
        <v>87</v>
      </c>
      <c r="E3" s="295" t="e">
        <f>Valuation!J21</f>
        <v>#VALUE!</v>
      </c>
      <c r="F3" s="282"/>
      <c r="G3" s="282"/>
      <c r="H3" s="293"/>
      <c r="I3" s="282"/>
      <c r="J3" s="282"/>
      <c r="K3" s="326" t="str">
        <f>INDEX(M3:Q8,,K2)</f>
        <v>Base Case</v>
      </c>
      <c r="M3" s="328" t="s">
        <v>88</v>
      </c>
      <c r="N3" s="322" t="s">
        <v>89</v>
      </c>
      <c r="O3" s="322" t="s">
        <v>89</v>
      </c>
      <c r="P3" s="322" t="s">
        <v>89</v>
      </c>
      <c r="Q3" s="322" t="s">
        <v>89</v>
      </c>
    </row>
    <row r="4" spans="1:18" s="292" customFormat="1" ht="12.75" customHeight="1" x14ac:dyDescent="0.25">
      <c r="A4" s="282"/>
      <c r="B4" s="282" t="s">
        <v>90</v>
      </c>
      <c r="E4" s="295" t="e">
        <f>Valuation!J30</f>
        <v>#VALUE!</v>
      </c>
      <c r="F4" s="282"/>
      <c r="G4" s="282"/>
      <c r="H4" s="325" t="e">
        <f>K164</f>
        <v>#REF!</v>
      </c>
      <c r="I4" s="325"/>
      <c r="J4" s="282"/>
      <c r="K4" s="326"/>
      <c r="M4" s="328"/>
      <c r="N4" s="323"/>
      <c r="O4" s="323"/>
      <c r="P4" s="323"/>
      <c r="Q4" s="323"/>
    </row>
    <row r="5" spans="1:18" s="292" customFormat="1" ht="12.75" customHeight="1" x14ac:dyDescent="0.25">
      <c r="A5" s="282"/>
      <c r="C5" s="282"/>
      <c r="D5" s="282"/>
      <c r="E5" s="295"/>
      <c r="F5" s="282"/>
      <c r="G5" s="282"/>
      <c r="H5" s="282"/>
      <c r="I5" s="282"/>
      <c r="J5" s="282"/>
      <c r="K5" s="326"/>
      <c r="M5" s="328"/>
      <c r="N5" s="323"/>
      <c r="O5" s="323"/>
      <c r="P5" s="323"/>
      <c r="Q5" s="323"/>
    </row>
    <row r="6" spans="1:18" s="292" customFormat="1" ht="12.75" customHeight="1" x14ac:dyDescent="0.25">
      <c r="A6" s="282"/>
      <c r="B6" s="282"/>
      <c r="C6" s="282"/>
      <c r="D6" s="282"/>
      <c r="E6" s="296"/>
      <c r="F6" s="282"/>
      <c r="G6" s="282"/>
      <c r="H6" s="293"/>
      <c r="I6" s="282"/>
      <c r="J6" s="282"/>
      <c r="K6" s="326"/>
      <c r="M6" s="328"/>
      <c r="N6" s="323"/>
      <c r="O6" s="323"/>
      <c r="P6" s="323"/>
      <c r="Q6" s="323"/>
    </row>
    <row r="7" spans="1:18" s="292" customFormat="1" ht="12.75" customHeight="1" x14ac:dyDescent="0.25">
      <c r="A7" s="282"/>
      <c r="B7" s="282"/>
      <c r="F7" s="282"/>
      <c r="G7" s="282"/>
      <c r="H7" s="293"/>
      <c r="I7" s="282"/>
      <c r="J7" s="282"/>
      <c r="K7" s="326"/>
      <c r="M7" s="328"/>
      <c r="N7" s="323"/>
      <c r="O7" s="323"/>
      <c r="P7" s="323"/>
      <c r="Q7" s="323"/>
    </row>
    <row r="8" spans="1:18" s="292" customFormat="1" ht="12.75" customHeight="1" x14ac:dyDescent="0.25">
      <c r="A8" s="282"/>
      <c r="B8" s="282"/>
      <c r="C8" s="282"/>
      <c r="D8" s="282"/>
      <c r="E8" s="282"/>
      <c r="F8" s="282"/>
      <c r="G8" s="282"/>
      <c r="H8" s="293"/>
      <c r="I8" s="282"/>
      <c r="J8" s="282"/>
      <c r="K8" s="327"/>
      <c r="M8" s="328"/>
      <c r="N8" s="324"/>
      <c r="O8" s="324"/>
      <c r="P8" s="324"/>
      <c r="Q8" s="324"/>
    </row>
    <row r="9" spans="1:18" s="292" customFormat="1" ht="12.75" customHeight="1" x14ac:dyDescent="0.25">
      <c r="A9" s="282"/>
      <c r="B9" s="282"/>
      <c r="C9" s="282"/>
      <c r="D9" s="282"/>
      <c r="E9" s="282"/>
      <c r="F9" s="282"/>
      <c r="G9" s="282"/>
      <c r="H9" s="293"/>
      <c r="I9" s="282"/>
      <c r="J9" s="282"/>
      <c r="M9" s="294"/>
    </row>
    <row r="10" spans="1:18" ht="12.75" customHeight="1" x14ac:dyDescent="0.25">
      <c r="A10" s="109" t="s">
        <v>91</v>
      </c>
      <c r="B10" s="109"/>
      <c r="C10" s="109"/>
      <c r="D10" s="109"/>
      <c r="E10" s="109"/>
      <c r="F10" s="109"/>
      <c r="G10" s="109"/>
      <c r="H10" s="110"/>
      <c r="I10" s="111"/>
      <c r="J10" s="111"/>
      <c r="K10" s="111"/>
      <c r="L10" s="109"/>
      <c r="M10" s="109"/>
      <c r="N10" s="109"/>
      <c r="O10" s="109"/>
      <c r="P10" s="109"/>
      <c r="Q10" s="109"/>
      <c r="R10" s="109"/>
    </row>
    <row r="11" spans="1:18" ht="12.75" customHeight="1" x14ac:dyDescent="0.25">
      <c r="K11"/>
      <c r="M11" s="147"/>
      <c r="N11" s="147"/>
      <c r="O11" s="147"/>
      <c r="P11" s="147"/>
      <c r="Q11" s="147"/>
      <c r="R11" s="102"/>
    </row>
    <row r="12" spans="1:18" ht="12.75" customHeight="1" x14ac:dyDescent="0.25">
      <c r="B12" s="21" t="s">
        <v>63</v>
      </c>
      <c r="K12" s="18"/>
      <c r="M12" s="147"/>
      <c r="N12" s="147"/>
      <c r="O12" s="147"/>
      <c r="P12" s="147"/>
      <c r="Q12" s="147"/>
      <c r="R12" s="102"/>
    </row>
    <row r="13" spans="1:18" ht="12.75" customHeight="1" x14ac:dyDescent="0.25">
      <c r="I13" s="102"/>
      <c r="J13" s="102"/>
      <c r="K13" s="18"/>
      <c r="M13" s="147"/>
      <c r="N13" s="147"/>
      <c r="O13" s="147"/>
      <c r="P13" s="147"/>
      <c r="Q13" s="147"/>
      <c r="R13" s="102"/>
    </row>
    <row r="14" spans="1:18" ht="12.75" customHeight="1" x14ac:dyDescent="0.25">
      <c r="C14" t="s">
        <v>92</v>
      </c>
      <c r="H14" s="9" t="s">
        <v>17</v>
      </c>
      <c r="K14" s="15">
        <f>IF(INDEX(M14:Q14,0,$K$2)&lt;&gt;"",INDEX(M14:Q14,0,$K$2),M14)</f>
        <v>2021</v>
      </c>
      <c r="L14" s="102"/>
      <c r="M14" s="105">
        <v>2021</v>
      </c>
      <c r="N14" s="105">
        <v>2016</v>
      </c>
      <c r="O14" s="105">
        <v>2016</v>
      </c>
      <c r="P14" s="105">
        <v>2016</v>
      </c>
      <c r="Q14" s="105">
        <v>2016</v>
      </c>
      <c r="R14" s="112"/>
    </row>
    <row r="15" spans="1:18" ht="12.75" customHeight="1" x14ac:dyDescent="0.25">
      <c r="C15" t="s">
        <v>93</v>
      </c>
      <c r="H15" s="9" t="s">
        <v>94</v>
      </c>
      <c r="K15" s="113">
        <f>IF(INDEX(M15:Q15,0,$K$2)&lt;&gt;"",INDEX(M15:Q15,0,$K$2),M15)</f>
        <v>3</v>
      </c>
      <c r="L15" s="102"/>
      <c r="M15" s="105">
        <v>3</v>
      </c>
      <c r="N15" s="105">
        <v>2</v>
      </c>
      <c r="O15" s="105">
        <v>2</v>
      </c>
      <c r="P15" s="105">
        <v>2</v>
      </c>
      <c r="Q15" s="105">
        <v>2</v>
      </c>
      <c r="R15" s="114"/>
    </row>
    <row r="16" spans="1:18" ht="12.75" customHeight="1" x14ac:dyDescent="0.25">
      <c r="C16" t="s">
        <v>95</v>
      </c>
      <c r="H16" s="9" t="s">
        <v>17</v>
      </c>
      <c r="K16" s="15">
        <f>IF(INDEX(M16:Q16,0,$K$2)&lt;&gt;"",INDEX(M16:Q16,0,$K$2),M16)</f>
        <v>2023</v>
      </c>
      <c r="L16" s="102"/>
      <c r="M16" s="16">
        <f>M14+M15-1</f>
        <v>2023</v>
      </c>
      <c r="N16" s="16">
        <f>N14+N15-1</f>
        <v>2017</v>
      </c>
      <c r="O16" s="16">
        <f>O14+O15-1</f>
        <v>2017</v>
      </c>
      <c r="P16" s="16">
        <f>P14+P15-1</f>
        <v>2017</v>
      </c>
      <c r="Q16" s="16">
        <f>Q14+Q15-1</f>
        <v>2017</v>
      </c>
      <c r="R16" s="112"/>
    </row>
    <row r="17" spans="1:18" ht="12.75" customHeight="1" x14ac:dyDescent="0.25">
      <c r="K17" s="18"/>
      <c r="M17" s="147"/>
      <c r="N17" s="147"/>
      <c r="O17" s="147"/>
      <c r="P17" s="147"/>
      <c r="Q17" s="147"/>
      <c r="R17" s="102"/>
    </row>
    <row r="18" spans="1:18" ht="12.75" customHeight="1" x14ac:dyDescent="0.25">
      <c r="B18" s="21" t="s">
        <v>59</v>
      </c>
      <c r="K18" s="18"/>
      <c r="M18" s="147"/>
      <c r="N18" s="147"/>
      <c r="O18" s="147"/>
      <c r="P18" s="147"/>
      <c r="Q18" s="147"/>
      <c r="R18" s="102"/>
    </row>
    <row r="19" spans="1:18" ht="12.75" customHeight="1" x14ac:dyDescent="0.25">
      <c r="K19" s="18"/>
      <c r="M19" s="147"/>
      <c r="N19" s="147"/>
      <c r="O19" s="147"/>
      <c r="P19" s="147"/>
      <c r="Q19" s="147"/>
      <c r="R19" s="102"/>
    </row>
    <row r="20" spans="1:18" ht="12.75" customHeight="1" x14ac:dyDescent="0.25">
      <c r="C20" t="s">
        <v>68</v>
      </c>
      <c r="H20" s="9" t="s">
        <v>17</v>
      </c>
      <c r="K20" s="15">
        <f>IF(INDEX(M20:Q20,0,$K$2)&lt;&gt;"",INDEX(M20:Q20,0,$K$2),M20)</f>
        <v>2024</v>
      </c>
      <c r="M20" s="16">
        <f>M16+1</f>
        <v>2024</v>
      </c>
      <c r="N20" s="16">
        <f>N16+1</f>
        <v>2018</v>
      </c>
      <c r="O20" s="16">
        <f>O16+1</f>
        <v>2018</v>
      </c>
      <c r="P20" s="16">
        <f>P16+1</f>
        <v>2018</v>
      </c>
      <c r="Q20" s="16">
        <f>Q16+1</f>
        <v>2018</v>
      </c>
      <c r="R20" s="112"/>
    </row>
    <row r="21" spans="1:18" ht="12.75" customHeight="1" x14ac:dyDescent="0.25">
      <c r="C21" t="s">
        <v>96</v>
      </c>
      <c r="H21" s="9" t="s">
        <v>94</v>
      </c>
      <c r="K21" s="113">
        <f>IF(INDEX(M21:Q21,0,$K$2)&lt;&gt;"",INDEX(M21:Q21,0,$K$2),M21)</f>
        <v>50</v>
      </c>
      <c r="M21" s="105">
        <v>50</v>
      </c>
      <c r="N21" s="105">
        <v>50</v>
      </c>
      <c r="O21" s="105">
        <v>50</v>
      </c>
      <c r="P21" s="105">
        <v>50</v>
      </c>
      <c r="Q21" s="105">
        <v>50</v>
      </c>
      <c r="R21" s="114"/>
    </row>
    <row r="22" spans="1:18" ht="12.75" customHeight="1" x14ac:dyDescent="0.25">
      <c r="C22" t="s">
        <v>70</v>
      </c>
      <c r="H22" s="9" t="s">
        <v>17</v>
      </c>
      <c r="K22" s="15">
        <f>IF(INDEX(M22:Q22,0,$K$2)&lt;&gt;"",INDEX(M22:Q22,0,$K$2),M22)</f>
        <v>2074</v>
      </c>
      <c r="M22" s="16">
        <f>M20+M21</f>
        <v>2074</v>
      </c>
      <c r="N22" s="16">
        <f>EDATE(N20,N21)</f>
        <v>3541</v>
      </c>
      <c r="O22" s="16">
        <f>EDATE(O20,O21)</f>
        <v>3541</v>
      </c>
      <c r="P22" s="16">
        <f>EDATE(P20,P21)</f>
        <v>3541</v>
      </c>
      <c r="Q22" s="16">
        <f>EDATE(Q20,Q21)</f>
        <v>3541</v>
      </c>
      <c r="R22" s="112"/>
    </row>
    <row r="23" spans="1:18" ht="12.75" customHeight="1" x14ac:dyDescent="0.25">
      <c r="K23" s="18"/>
      <c r="M23" s="147"/>
      <c r="N23" s="147"/>
      <c r="O23" s="147"/>
      <c r="P23" s="147"/>
      <c r="Q23" s="147"/>
      <c r="R23" s="102"/>
    </row>
    <row r="24" spans="1:18" ht="12.75" customHeight="1" x14ac:dyDescent="0.25">
      <c r="A24" s="109" t="s">
        <v>97</v>
      </c>
      <c r="B24" s="109"/>
      <c r="C24" s="109"/>
      <c r="D24" s="109"/>
      <c r="E24" s="109"/>
      <c r="F24" s="109"/>
      <c r="G24" s="109"/>
      <c r="H24" s="110"/>
      <c r="I24" s="111"/>
      <c r="J24" s="111"/>
      <c r="K24" s="111"/>
      <c r="L24" s="109"/>
      <c r="M24" s="109"/>
      <c r="N24" s="109"/>
      <c r="O24" s="109"/>
      <c r="P24" s="109"/>
      <c r="Q24" s="109"/>
      <c r="R24" s="109"/>
    </row>
    <row r="25" spans="1:18" ht="12.75" customHeight="1" x14ac:dyDescent="0.25">
      <c r="K25" s="17"/>
      <c r="M25" s="147"/>
      <c r="N25" s="147"/>
      <c r="O25" s="147"/>
      <c r="P25" s="147"/>
      <c r="Q25" s="147"/>
      <c r="R25" s="102"/>
    </row>
    <row r="26" spans="1:18" ht="12.75" customHeight="1" x14ac:dyDescent="0.25">
      <c r="B26" s="21" t="s">
        <v>98</v>
      </c>
      <c r="K26" s="17"/>
      <c r="M26" s="147"/>
      <c r="N26" s="147"/>
      <c r="O26" s="147"/>
      <c r="P26" s="147"/>
      <c r="Q26" s="147"/>
      <c r="R26" s="102"/>
    </row>
    <row r="27" spans="1:18" ht="12.75" customHeight="1" x14ac:dyDescent="0.25">
      <c r="B27" s="65"/>
      <c r="K27" s="17"/>
      <c r="M27" s="147"/>
      <c r="N27" s="147"/>
      <c r="O27" s="147"/>
      <c r="P27" s="147"/>
      <c r="Q27" s="147"/>
      <c r="R27" s="102"/>
    </row>
    <row r="28" spans="1:18" ht="12.75" customHeight="1" x14ac:dyDescent="0.25">
      <c r="C28" t="s">
        <v>226</v>
      </c>
      <c r="H28" s="9" t="s">
        <v>3</v>
      </c>
      <c r="K28" s="115">
        <f t="shared" ref="K28:K32" si="0">IF(INDEX(M28:Q28,0,$K$2)&lt;&gt;"",INDEX(M28:Q28,0,$K$2),M28)</f>
        <v>120</v>
      </c>
      <c r="M28" s="209">
        <v>120</v>
      </c>
      <c r="N28" s="209">
        <v>120</v>
      </c>
      <c r="O28" s="209">
        <v>120</v>
      </c>
      <c r="P28" s="209">
        <v>120</v>
      </c>
      <c r="Q28" s="209">
        <v>120</v>
      </c>
      <c r="R28" s="102"/>
    </row>
    <row r="29" spans="1:18" ht="12.75" customHeight="1" x14ac:dyDescent="0.25">
      <c r="C29" t="s">
        <v>99</v>
      </c>
      <c r="H29" s="9" t="s">
        <v>3</v>
      </c>
      <c r="K29" s="115">
        <f t="shared" si="0"/>
        <v>0</v>
      </c>
      <c r="M29" s="209">
        <v>0</v>
      </c>
      <c r="N29" s="209">
        <v>0</v>
      </c>
      <c r="O29" s="209">
        <v>0</v>
      </c>
      <c r="P29" s="209">
        <v>0</v>
      </c>
      <c r="Q29" s="209">
        <v>0</v>
      </c>
      <c r="R29" s="102"/>
    </row>
    <row r="30" spans="1:18" ht="12.75" customHeight="1" x14ac:dyDescent="0.25">
      <c r="C30" t="s">
        <v>99</v>
      </c>
      <c r="H30" s="9" t="s">
        <v>3</v>
      </c>
      <c r="K30" s="115">
        <f t="shared" si="0"/>
        <v>0</v>
      </c>
      <c r="M30" s="209">
        <v>0</v>
      </c>
      <c r="N30" s="209">
        <v>0</v>
      </c>
      <c r="O30" s="209">
        <v>0</v>
      </c>
      <c r="P30" s="209">
        <v>0</v>
      </c>
      <c r="Q30" s="209">
        <v>0</v>
      </c>
      <c r="R30" s="102"/>
    </row>
    <row r="31" spans="1:18" ht="12.75" customHeight="1" x14ac:dyDescent="0.25">
      <c r="C31" t="s">
        <v>99</v>
      </c>
      <c r="H31" s="9" t="s">
        <v>3</v>
      </c>
      <c r="K31" s="115">
        <f t="shared" si="0"/>
        <v>0</v>
      </c>
      <c r="M31" s="209">
        <v>0</v>
      </c>
      <c r="N31" s="209">
        <v>0</v>
      </c>
      <c r="O31" s="209">
        <v>0</v>
      </c>
      <c r="P31" s="209">
        <v>0</v>
      </c>
      <c r="Q31" s="209">
        <v>0</v>
      </c>
      <c r="R31" s="102"/>
    </row>
    <row r="32" spans="1:18" ht="12.75" customHeight="1" x14ac:dyDescent="0.25">
      <c r="K32" s="116">
        <f t="shared" si="0"/>
        <v>120</v>
      </c>
      <c r="M32" s="210">
        <f>SUM(M28:M31)</f>
        <v>120</v>
      </c>
      <c r="N32" s="210">
        <f>SUM(N28:N31)</f>
        <v>120</v>
      </c>
      <c r="O32" s="210">
        <f>SUM(O28:O31)</f>
        <v>120</v>
      </c>
      <c r="P32" s="210">
        <f>SUM(P28:P31)</f>
        <v>120</v>
      </c>
      <c r="Q32" s="210">
        <f>SUM(Q28:Q31)</f>
        <v>120</v>
      </c>
      <c r="R32" s="102"/>
    </row>
    <row r="33" spans="1:18" ht="12.75" customHeight="1" x14ac:dyDescent="0.25">
      <c r="K33" s="17"/>
      <c r="M33" s="147"/>
      <c r="N33" s="147"/>
      <c r="O33" s="147"/>
      <c r="P33" s="147"/>
      <c r="Q33" s="147"/>
      <c r="R33" s="102"/>
    </row>
    <row r="34" spans="1:18" ht="12.75" customHeight="1" x14ac:dyDescent="0.25">
      <c r="K34" s="118"/>
      <c r="M34" s="147"/>
      <c r="N34" s="147"/>
      <c r="O34" s="147"/>
      <c r="P34" s="147"/>
      <c r="Q34" s="147"/>
      <c r="R34" s="102"/>
    </row>
    <row r="35" spans="1:18" ht="12.75" customHeight="1" x14ac:dyDescent="0.25">
      <c r="A35" s="109" t="s">
        <v>59</v>
      </c>
      <c r="B35" s="109"/>
      <c r="C35" s="109"/>
      <c r="D35" s="109"/>
      <c r="E35" s="109"/>
      <c r="F35" s="109"/>
      <c r="G35" s="109"/>
      <c r="H35" s="110"/>
      <c r="I35" s="111"/>
      <c r="J35" s="111"/>
      <c r="K35" s="111"/>
      <c r="L35" s="109"/>
      <c r="M35" s="109"/>
      <c r="N35" s="109"/>
      <c r="O35" s="109"/>
      <c r="P35" s="109"/>
      <c r="Q35" s="109"/>
      <c r="R35" s="109"/>
    </row>
    <row r="36" spans="1:18" ht="12.75" customHeight="1" x14ac:dyDescent="0.25">
      <c r="K36" s="17"/>
      <c r="M36" s="147"/>
      <c r="N36" s="147"/>
      <c r="O36" s="147"/>
      <c r="P36" s="147"/>
      <c r="Q36" s="147"/>
      <c r="R36" s="102"/>
    </row>
    <row r="37" spans="1:18" ht="12.75" customHeight="1" x14ac:dyDescent="0.25">
      <c r="B37" s="21" t="s">
        <v>101</v>
      </c>
      <c r="K37" s="129"/>
      <c r="M37" s="206"/>
      <c r="N37" s="206"/>
      <c r="O37" s="206"/>
      <c r="P37" s="206"/>
      <c r="Q37" s="206"/>
      <c r="R37" s="102"/>
    </row>
    <row r="38" spans="1:18" ht="12.75" customHeight="1" x14ac:dyDescent="0.25">
      <c r="B38" s="130"/>
      <c r="K38" s="129"/>
      <c r="M38" s="206"/>
      <c r="N38" s="206"/>
      <c r="O38" s="206"/>
      <c r="P38" s="206"/>
      <c r="Q38" s="206"/>
      <c r="R38" s="102"/>
    </row>
    <row r="39" spans="1:18" ht="12.75" customHeight="1" x14ac:dyDescent="0.25">
      <c r="C39" s="131" t="s">
        <v>101</v>
      </c>
      <c r="H39" s="9" t="s">
        <v>405</v>
      </c>
      <c r="K39" s="132">
        <f>IF(INDEX(M39:Q39,0,$K$2)&lt;&gt;"",INDEX(M39:Q39,0,$K$2),M39)</f>
        <v>120</v>
      </c>
      <c r="M39" s="207">
        <v>120</v>
      </c>
      <c r="N39" s="207">
        <v>120</v>
      </c>
      <c r="O39" s="207">
        <v>120</v>
      </c>
      <c r="P39" s="207">
        <v>120</v>
      </c>
      <c r="Q39" s="207">
        <v>120</v>
      </c>
      <c r="R39" s="102"/>
    </row>
    <row r="40" spans="1:18" ht="12.75" customHeight="1" x14ac:dyDescent="0.25">
      <c r="C40" s="131" t="s">
        <v>406</v>
      </c>
      <c r="H40" s="9" t="s">
        <v>6</v>
      </c>
      <c r="K40" s="132">
        <f>IF(INDEX(M40:Q40,0,$K$2)&lt;&gt;"",INDEX(M40:Q40,0,$K$2),M40)</f>
        <v>0.45</v>
      </c>
      <c r="M40" s="315">
        <v>0.45</v>
      </c>
      <c r="N40" s="315">
        <v>0.45</v>
      </c>
      <c r="O40" s="315">
        <v>0.45</v>
      </c>
      <c r="P40" s="315">
        <v>0.45</v>
      </c>
      <c r="Q40" s="315">
        <v>0.45</v>
      </c>
      <c r="R40" s="102"/>
    </row>
    <row r="41" spans="1:18" ht="12.75" customHeight="1" x14ac:dyDescent="0.25">
      <c r="A41" s="119"/>
      <c r="C41" s="119"/>
      <c r="D41" s="119"/>
      <c r="E41" s="119"/>
      <c r="F41" s="119"/>
      <c r="G41" s="119"/>
      <c r="H41" s="121"/>
      <c r="I41" s="119"/>
      <c r="J41" s="119"/>
      <c r="K41" s="122"/>
      <c r="L41" s="119"/>
      <c r="M41" s="207"/>
      <c r="N41" s="207"/>
      <c r="O41" s="207"/>
      <c r="P41" s="207"/>
      <c r="Q41" s="207"/>
      <c r="R41" s="119"/>
    </row>
    <row r="42" spans="1:18" ht="12.75" customHeight="1" x14ac:dyDescent="0.25">
      <c r="A42" s="122"/>
      <c r="B42" s="120" t="s">
        <v>173</v>
      </c>
      <c r="C42" s="122"/>
      <c r="D42" s="122"/>
      <c r="E42" s="122"/>
      <c r="F42" s="122"/>
      <c r="G42" s="122"/>
      <c r="H42" s="133"/>
      <c r="I42" s="122"/>
      <c r="J42" s="122"/>
      <c r="K42" s="122"/>
      <c r="L42" s="122"/>
      <c r="M42" s="208"/>
      <c r="N42" s="208"/>
      <c r="O42" s="208"/>
      <c r="P42" s="208"/>
      <c r="Q42" s="208"/>
      <c r="R42" s="122"/>
    </row>
    <row r="43" spans="1:18" ht="12.75" customHeight="1" x14ac:dyDescent="0.25">
      <c r="A43" s="122"/>
      <c r="B43" s="122"/>
      <c r="C43" s="122"/>
      <c r="D43" s="122"/>
      <c r="E43" s="122"/>
      <c r="F43" s="122"/>
      <c r="G43" s="122"/>
      <c r="H43" s="133"/>
      <c r="I43" s="122"/>
      <c r="J43" s="122"/>
      <c r="K43" s="122"/>
      <c r="L43" s="122"/>
      <c r="M43" s="208"/>
      <c r="N43" s="208"/>
      <c r="O43" s="208"/>
      <c r="P43" s="208"/>
      <c r="Q43" s="208"/>
      <c r="R43" s="122"/>
    </row>
    <row r="44" spans="1:18" ht="12.75" customHeight="1" x14ac:dyDescent="0.25">
      <c r="A44" s="122"/>
      <c r="B44" s="122"/>
      <c r="C44" s="122" t="s">
        <v>408</v>
      </c>
      <c r="D44" s="122"/>
      <c r="E44" s="122"/>
      <c r="F44" s="122"/>
      <c r="G44" s="122"/>
      <c r="H44" s="133"/>
      <c r="I44" s="122"/>
      <c r="J44" s="122"/>
      <c r="K44" s="122"/>
      <c r="L44" s="122"/>
      <c r="M44" s="208"/>
      <c r="N44" s="208"/>
      <c r="O44" s="208"/>
      <c r="P44" s="208"/>
      <c r="Q44" s="208"/>
      <c r="R44" s="122"/>
    </row>
    <row r="45" spans="1:18" ht="12.75" customHeight="1" x14ac:dyDescent="0.25">
      <c r="A45" s="122"/>
      <c r="B45" s="122"/>
      <c r="C45" s="122"/>
      <c r="D45" s="122"/>
      <c r="E45" s="122"/>
      <c r="F45" s="122"/>
      <c r="G45" s="122"/>
      <c r="H45" s="133"/>
      <c r="I45" s="122"/>
      <c r="J45" s="122"/>
      <c r="K45" s="122"/>
      <c r="L45" s="122"/>
      <c r="M45" s="208"/>
      <c r="N45" s="208"/>
      <c r="O45" s="208"/>
      <c r="P45" s="208"/>
      <c r="Q45" s="208"/>
      <c r="R45" s="122"/>
    </row>
    <row r="46" spans="1:18" ht="12.75" customHeight="1" x14ac:dyDescent="0.25">
      <c r="A46" s="119"/>
      <c r="B46" s="120" t="s">
        <v>104</v>
      </c>
      <c r="C46" s="119"/>
      <c r="D46" s="119"/>
      <c r="E46" s="119"/>
      <c r="F46" s="119"/>
      <c r="G46" s="119"/>
      <c r="H46" s="121"/>
      <c r="I46" s="119"/>
      <c r="J46" s="119"/>
      <c r="K46" s="122"/>
      <c r="L46" s="119"/>
      <c r="M46" s="207"/>
      <c r="N46" s="207"/>
      <c r="O46" s="207"/>
      <c r="P46" s="207"/>
      <c r="Q46" s="207"/>
      <c r="R46" s="119"/>
    </row>
    <row r="47" spans="1:18" ht="12.75" customHeight="1" x14ac:dyDescent="0.25">
      <c r="A47" s="119"/>
      <c r="B47" s="119"/>
      <c r="C47" s="119"/>
      <c r="D47" s="119"/>
      <c r="E47" s="119"/>
      <c r="F47" s="119"/>
      <c r="G47" s="119"/>
      <c r="H47" s="121"/>
      <c r="I47" s="119"/>
      <c r="J47" s="119"/>
      <c r="K47" s="122"/>
      <c r="L47" s="119"/>
      <c r="M47" s="207"/>
      <c r="N47" s="207"/>
      <c r="O47" s="207"/>
      <c r="P47" s="207"/>
      <c r="Q47" s="207"/>
      <c r="R47" s="119"/>
    </row>
    <row r="48" spans="1:18" ht="12.75" customHeight="1" x14ac:dyDescent="0.25">
      <c r="A48" s="119"/>
      <c r="C48" s="122" t="s">
        <v>407</v>
      </c>
      <c r="D48" s="119"/>
      <c r="E48" s="119"/>
      <c r="F48" s="119"/>
      <c r="G48" s="119"/>
      <c r="H48" s="121" t="s">
        <v>106</v>
      </c>
      <c r="I48" s="119"/>
      <c r="J48" s="119"/>
      <c r="K48" s="123">
        <f>IF(INDEX(M48:Q48,0,$K$2)&lt;&gt;"",INDEX(M48:Q48,0,$K$2),M48)</f>
        <v>3.1588434339378688</v>
      </c>
      <c r="M48" s="209">
        <v>3.1588434339378688</v>
      </c>
      <c r="N48" s="209">
        <v>3.1588434339378688</v>
      </c>
      <c r="O48" s="209">
        <v>3.1588434339378688</v>
      </c>
      <c r="P48" s="209">
        <v>3.1588434339378688</v>
      </c>
      <c r="Q48" s="209">
        <v>3.1588434339378688</v>
      </c>
      <c r="R48" s="119"/>
    </row>
    <row r="49" spans="1:18" ht="12.75" customHeight="1" x14ac:dyDescent="0.25">
      <c r="A49" s="119"/>
      <c r="C49" s="122"/>
      <c r="D49" s="119"/>
      <c r="E49" s="119"/>
      <c r="F49" s="119"/>
      <c r="G49" s="119"/>
      <c r="H49" s="121"/>
      <c r="I49" s="119"/>
      <c r="J49" s="119"/>
      <c r="K49" s="316"/>
      <c r="L49" s="119"/>
      <c r="M49" s="99"/>
      <c r="N49" s="99"/>
      <c r="O49" s="99"/>
      <c r="P49" s="99"/>
      <c r="Q49" s="99"/>
      <c r="R49" s="119"/>
    </row>
    <row r="50" spans="1:18" ht="12.75" customHeight="1" x14ac:dyDescent="0.25">
      <c r="A50" s="124" t="s">
        <v>109</v>
      </c>
      <c r="B50" s="125"/>
      <c r="C50" s="125"/>
      <c r="D50" s="125"/>
      <c r="E50" s="125"/>
      <c r="F50" s="125"/>
      <c r="G50" s="125"/>
      <c r="H50" s="126"/>
      <c r="I50" s="125"/>
      <c r="J50" s="125"/>
      <c r="K50" s="127"/>
      <c r="L50" s="125"/>
      <c r="M50" s="125"/>
      <c r="N50" s="125"/>
      <c r="O50" s="128"/>
      <c r="P50" s="125"/>
      <c r="Q50" s="125"/>
      <c r="R50" s="125"/>
    </row>
    <row r="51" spans="1:18" ht="12.75" customHeight="1" x14ac:dyDescent="0.25">
      <c r="A51" s="119"/>
      <c r="B51" s="122"/>
      <c r="C51" s="119"/>
      <c r="D51" s="119"/>
      <c r="E51" s="119"/>
      <c r="F51" s="119"/>
      <c r="G51" s="119"/>
      <c r="H51" s="121"/>
      <c r="I51" s="119"/>
      <c r="J51" s="119"/>
      <c r="K51" s="122"/>
      <c r="L51" s="119"/>
      <c r="M51" s="207"/>
      <c r="N51" s="207"/>
      <c r="O51" s="207"/>
      <c r="P51" s="207"/>
      <c r="Q51" s="207"/>
      <c r="R51" s="119"/>
    </row>
    <row r="52" spans="1:18" ht="12.75" customHeight="1" x14ac:dyDescent="0.25">
      <c r="A52" s="119"/>
      <c r="B52" s="135" t="s">
        <v>110</v>
      </c>
      <c r="C52" s="135" t="s">
        <v>111</v>
      </c>
      <c r="D52" s="77"/>
      <c r="K52"/>
      <c r="M52" s="147"/>
      <c r="N52" s="147"/>
      <c r="O52" s="147"/>
      <c r="P52" s="147"/>
      <c r="Q52" s="147"/>
      <c r="R52" s="119"/>
    </row>
    <row r="53" spans="1:18" ht="12.75" customHeight="1" x14ac:dyDescent="0.25">
      <c r="A53" s="119"/>
      <c r="B53" s="144">
        <v>1</v>
      </c>
      <c r="C53" s="240">
        <f>M20</f>
        <v>2024</v>
      </c>
      <c r="D53" s="16"/>
      <c r="H53" s="9" t="s">
        <v>102</v>
      </c>
      <c r="K53" s="123">
        <f t="shared" ref="K53:K64" si="1">IF(INDEX(M53:Q53,0,$K$2)&lt;&gt;"",INDEX(M53:Q53,0,$K$2),M53)</f>
        <v>31.15</v>
      </c>
      <c r="L53" s="136"/>
      <c r="M53" s="207">
        <v>31.15</v>
      </c>
      <c r="N53" s="207">
        <v>31.15</v>
      </c>
      <c r="O53" s="207">
        <v>31.15</v>
      </c>
      <c r="P53" s="207">
        <v>31.15</v>
      </c>
      <c r="Q53" s="207">
        <v>31.15</v>
      </c>
      <c r="R53" s="119"/>
    </row>
    <row r="54" spans="1:18" ht="12.75" customHeight="1" x14ac:dyDescent="0.25">
      <c r="A54" s="119"/>
      <c r="B54" s="144">
        <v>5</v>
      </c>
      <c r="C54" s="240">
        <f t="shared" ref="C54:C64" si="2">B54+$C$53</f>
        <v>2029</v>
      </c>
      <c r="D54" s="16"/>
      <c r="H54" s="9" t="s">
        <v>102</v>
      </c>
      <c r="K54" s="123">
        <f t="shared" si="1"/>
        <v>31.15</v>
      </c>
      <c r="L54" s="136"/>
      <c r="M54" s="207">
        <v>31.15</v>
      </c>
      <c r="N54" s="207">
        <v>31.15</v>
      </c>
      <c r="O54" s="207">
        <v>31.15</v>
      </c>
      <c r="P54" s="207">
        <v>31.15</v>
      </c>
      <c r="Q54" s="207">
        <v>31.15</v>
      </c>
      <c r="R54" s="119"/>
    </row>
    <row r="55" spans="1:18" ht="12.75" customHeight="1" x14ac:dyDescent="0.25">
      <c r="A55" s="119"/>
      <c r="B55" s="144">
        <f t="shared" ref="B55:B64" si="3">B54+5</f>
        <v>10</v>
      </c>
      <c r="C55" s="240">
        <f t="shared" si="2"/>
        <v>2034</v>
      </c>
      <c r="D55" s="16"/>
      <c r="H55" s="9" t="s">
        <v>102</v>
      </c>
      <c r="K55" s="123">
        <f t="shared" si="1"/>
        <v>31.15</v>
      </c>
      <c r="L55" s="136"/>
      <c r="M55" s="207">
        <v>31.15</v>
      </c>
      <c r="N55" s="207">
        <v>31.15</v>
      </c>
      <c r="O55" s="207">
        <v>31.15</v>
      </c>
      <c r="P55" s="207">
        <v>31.15</v>
      </c>
      <c r="Q55" s="207">
        <v>31.15</v>
      </c>
      <c r="R55" s="119"/>
    </row>
    <row r="56" spans="1:18" ht="12.75" customHeight="1" x14ac:dyDescent="0.25">
      <c r="A56" s="119"/>
      <c r="B56" s="144">
        <f t="shared" si="3"/>
        <v>15</v>
      </c>
      <c r="C56" s="240">
        <f t="shared" si="2"/>
        <v>2039</v>
      </c>
      <c r="D56" s="16"/>
      <c r="H56" s="9" t="s">
        <v>102</v>
      </c>
      <c r="K56" s="123">
        <f t="shared" si="1"/>
        <v>31.15</v>
      </c>
      <c r="L56" s="136"/>
      <c r="M56" s="207">
        <v>31.15</v>
      </c>
      <c r="N56" s="207">
        <v>31.15</v>
      </c>
      <c r="O56" s="207">
        <v>31.15</v>
      </c>
      <c r="P56" s="207">
        <v>31.15</v>
      </c>
      <c r="Q56" s="207">
        <v>31.15</v>
      </c>
      <c r="R56" s="119"/>
    </row>
    <row r="57" spans="1:18" ht="12.75" customHeight="1" x14ac:dyDescent="0.25">
      <c r="A57" s="119"/>
      <c r="B57" s="144">
        <f t="shared" si="3"/>
        <v>20</v>
      </c>
      <c r="C57" s="240">
        <f t="shared" si="2"/>
        <v>2044</v>
      </c>
      <c r="D57" s="16"/>
      <c r="H57" s="9" t="s">
        <v>102</v>
      </c>
      <c r="K57" s="123">
        <f t="shared" si="1"/>
        <v>31.15</v>
      </c>
      <c r="L57" s="136"/>
      <c r="M57" s="207">
        <v>31.15</v>
      </c>
      <c r="N57" s="207">
        <v>31.15</v>
      </c>
      <c r="O57" s="207">
        <v>31.15</v>
      </c>
      <c r="P57" s="207">
        <v>31.15</v>
      </c>
      <c r="Q57" s="207">
        <v>31.15</v>
      </c>
      <c r="R57" s="119"/>
    </row>
    <row r="58" spans="1:18" ht="12.75" customHeight="1" x14ac:dyDescent="0.25">
      <c r="A58" s="119"/>
      <c r="B58" s="144">
        <f t="shared" si="3"/>
        <v>25</v>
      </c>
      <c r="C58" s="240">
        <f t="shared" si="2"/>
        <v>2049</v>
      </c>
      <c r="D58" s="16"/>
      <c r="H58" s="9" t="s">
        <v>102</v>
      </c>
      <c r="K58" s="123">
        <f t="shared" si="1"/>
        <v>31.15</v>
      </c>
      <c r="L58" s="136"/>
      <c r="M58" s="207">
        <v>31.15</v>
      </c>
      <c r="N58" s="207">
        <v>31.15</v>
      </c>
      <c r="O58" s="207">
        <v>31.15</v>
      </c>
      <c r="P58" s="207">
        <v>31.15</v>
      </c>
      <c r="Q58" s="207">
        <v>31.15</v>
      </c>
      <c r="R58" s="119"/>
    </row>
    <row r="59" spans="1:18" ht="12.75" customHeight="1" x14ac:dyDescent="0.25">
      <c r="A59" s="119"/>
      <c r="B59" s="144">
        <f t="shared" si="3"/>
        <v>30</v>
      </c>
      <c r="C59" s="240">
        <f t="shared" si="2"/>
        <v>2054</v>
      </c>
      <c r="D59" s="16"/>
      <c r="H59" s="9" t="s">
        <v>102</v>
      </c>
      <c r="K59" s="123">
        <f t="shared" si="1"/>
        <v>31.15</v>
      </c>
      <c r="L59" s="136"/>
      <c r="M59" s="207">
        <v>31.15</v>
      </c>
      <c r="N59" s="207">
        <v>31.15</v>
      </c>
      <c r="O59" s="207">
        <v>31.15</v>
      </c>
      <c r="P59" s="207">
        <v>31.15</v>
      </c>
      <c r="Q59" s="207">
        <v>31.15</v>
      </c>
      <c r="R59" s="119"/>
    </row>
    <row r="60" spans="1:18" ht="12.75" customHeight="1" x14ac:dyDescent="0.25">
      <c r="A60" s="119"/>
      <c r="B60" s="144">
        <f t="shared" si="3"/>
        <v>35</v>
      </c>
      <c r="C60" s="240">
        <f t="shared" si="2"/>
        <v>2059</v>
      </c>
      <c r="D60" s="16"/>
      <c r="H60" s="9" t="s">
        <v>102</v>
      </c>
      <c r="K60" s="123">
        <f t="shared" si="1"/>
        <v>31.15</v>
      </c>
      <c r="L60" s="136"/>
      <c r="M60" s="207">
        <v>31.15</v>
      </c>
      <c r="N60" s="207">
        <v>31.15</v>
      </c>
      <c r="O60" s="207">
        <v>31.15</v>
      </c>
      <c r="P60" s="207">
        <v>31.15</v>
      </c>
      <c r="Q60" s="207">
        <v>31.15</v>
      </c>
      <c r="R60" s="119"/>
    </row>
    <row r="61" spans="1:18" ht="12.75" customHeight="1" x14ac:dyDescent="0.25">
      <c r="B61" s="144">
        <f t="shared" si="3"/>
        <v>40</v>
      </c>
      <c r="C61" s="240">
        <f t="shared" si="2"/>
        <v>2064</v>
      </c>
      <c r="D61" s="16"/>
      <c r="H61" s="9" t="s">
        <v>102</v>
      </c>
      <c r="K61" s="123">
        <f t="shared" si="1"/>
        <v>31.15</v>
      </c>
      <c r="L61" s="136"/>
      <c r="M61" s="207">
        <v>31.15</v>
      </c>
      <c r="N61" s="207">
        <v>31.15</v>
      </c>
      <c r="O61" s="207">
        <v>31.15</v>
      </c>
      <c r="P61" s="207">
        <v>31.15</v>
      </c>
      <c r="Q61" s="207">
        <v>31.15</v>
      </c>
      <c r="R61" s="102"/>
    </row>
    <row r="62" spans="1:18" ht="12.75" customHeight="1" x14ac:dyDescent="0.25">
      <c r="A62" s="119"/>
      <c r="B62" s="144">
        <f t="shared" si="3"/>
        <v>45</v>
      </c>
      <c r="C62" s="240">
        <f t="shared" si="2"/>
        <v>2069</v>
      </c>
      <c r="D62" s="16"/>
      <c r="H62" s="9" t="s">
        <v>102</v>
      </c>
      <c r="K62" s="123">
        <f t="shared" si="1"/>
        <v>31.15</v>
      </c>
      <c r="L62" s="136"/>
      <c r="M62" s="207">
        <v>31.15</v>
      </c>
      <c r="N62" s="207">
        <v>31.15</v>
      </c>
      <c r="O62" s="207">
        <v>31.15</v>
      </c>
      <c r="P62" s="207">
        <v>31.15</v>
      </c>
      <c r="Q62" s="207">
        <v>31.15</v>
      </c>
      <c r="R62" s="119"/>
    </row>
    <row r="63" spans="1:18" ht="12.75" customHeight="1" x14ac:dyDescent="0.25">
      <c r="A63" s="119"/>
      <c r="B63" s="144">
        <f t="shared" si="3"/>
        <v>50</v>
      </c>
      <c r="C63" s="240">
        <f t="shared" si="2"/>
        <v>2074</v>
      </c>
      <c r="D63" s="16"/>
      <c r="H63" s="9" t="s">
        <v>102</v>
      </c>
      <c r="K63" s="123">
        <f t="shared" si="1"/>
        <v>31.15</v>
      </c>
      <c r="L63" s="136"/>
      <c r="M63" s="207">
        <v>31.15</v>
      </c>
      <c r="N63" s="207">
        <v>31.15</v>
      </c>
      <c r="O63" s="207">
        <v>31.15</v>
      </c>
      <c r="P63" s="207">
        <v>31.15</v>
      </c>
      <c r="Q63" s="207">
        <v>31.15</v>
      </c>
      <c r="R63" s="119"/>
    </row>
    <row r="64" spans="1:18" ht="12.75" customHeight="1" x14ac:dyDescent="0.25">
      <c r="A64" s="119"/>
      <c r="B64" s="144">
        <f t="shared" si="3"/>
        <v>55</v>
      </c>
      <c r="C64" s="240">
        <f t="shared" si="2"/>
        <v>2079</v>
      </c>
      <c r="D64" s="16"/>
      <c r="H64" s="9" t="s">
        <v>102</v>
      </c>
      <c r="K64" s="123">
        <f t="shared" si="1"/>
        <v>31.15</v>
      </c>
      <c r="L64" s="136"/>
      <c r="M64" s="207">
        <v>31.15</v>
      </c>
      <c r="N64" s="207">
        <v>31.15</v>
      </c>
      <c r="O64" s="207">
        <v>31.15</v>
      </c>
      <c r="P64" s="207">
        <v>31.15</v>
      </c>
      <c r="Q64" s="207">
        <v>31.15</v>
      </c>
      <c r="R64" s="119"/>
    </row>
    <row r="65" spans="1:18" ht="12.75" customHeight="1" x14ac:dyDescent="0.25">
      <c r="A65" s="119"/>
      <c r="B65" s="122"/>
      <c r="C65" s="119"/>
      <c r="D65" s="119"/>
      <c r="E65" s="119"/>
      <c r="F65" s="119"/>
      <c r="G65" s="119"/>
      <c r="H65" s="121"/>
      <c r="I65" s="119"/>
      <c r="J65" s="119"/>
      <c r="K65" s="122"/>
      <c r="L65" s="119"/>
      <c r="M65" s="207"/>
      <c r="N65" s="207"/>
      <c r="O65" s="207"/>
      <c r="P65" s="207"/>
      <c r="Q65" s="207"/>
      <c r="R65" s="119"/>
    </row>
    <row r="66" spans="1:18" ht="12.75" customHeight="1" x14ac:dyDescent="0.25">
      <c r="A66" s="119"/>
      <c r="B66" s="122"/>
      <c r="C66" s="119"/>
      <c r="D66" s="119"/>
      <c r="E66" s="119"/>
      <c r="F66" s="119"/>
      <c r="G66" s="119"/>
      <c r="H66" s="121"/>
      <c r="I66" s="119"/>
      <c r="J66" s="119"/>
      <c r="K66" s="122"/>
      <c r="L66" s="119"/>
      <c r="M66" s="207"/>
      <c r="N66" s="207"/>
      <c r="O66" s="207"/>
      <c r="P66" s="207"/>
      <c r="Q66" s="207"/>
      <c r="R66" s="119"/>
    </row>
    <row r="67" spans="1:18" ht="12.75" customHeight="1" x14ac:dyDescent="0.25">
      <c r="A67" s="109" t="s">
        <v>112</v>
      </c>
      <c r="B67" s="6"/>
      <c r="C67" s="5"/>
      <c r="D67" s="5"/>
      <c r="E67" s="5"/>
      <c r="F67" s="5"/>
      <c r="G67" s="5"/>
      <c r="H67" s="137"/>
      <c r="I67" s="8"/>
      <c r="J67" s="8"/>
      <c r="K67" s="5"/>
      <c r="L67" s="5"/>
      <c r="M67" s="5"/>
      <c r="N67" s="5"/>
      <c r="O67" s="5"/>
      <c r="P67" s="5"/>
      <c r="Q67" s="5"/>
      <c r="R67" s="5"/>
    </row>
    <row r="68" spans="1:18" ht="12.75" customHeight="1" x14ac:dyDescent="0.25">
      <c r="A68" s="124" t="s">
        <v>113</v>
      </c>
      <c r="B68" s="125"/>
      <c r="C68" s="125"/>
      <c r="D68" s="125"/>
      <c r="E68" s="125"/>
      <c r="F68" s="125"/>
      <c r="G68" s="125"/>
      <c r="H68" s="126"/>
      <c r="I68" s="125"/>
      <c r="J68" s="125"/>
      <c r="K68" s="127"/>
      <c r="L68" s="125"/>
      <c r="M68" s="125"/>
      <c r="N68" s="125"/>
      <c r="O68" s="128"/>
      <c r="P68" s="125"/>
      <c r="Q68" s="125"/>
      <c r="R68" s="125"/>
    </row>
    <row r="69" spans="1:18" ht="12.75" customHeight="1" x14ac:dyDescent="0.25">
      <c r="A69" s="17"/>
      <c r="B69" s="17"/>
      <c r="C69" s="17"/>
      <c r="D69" s="17"/>
      <c r="E69" s="17"/>
      <c r="F69" s="17"/>
      <c r="G69" s="17"/>
      <c r="H69" s="121"/>
      <c r="I69" s="138"/>
      <c r="J69" s="138"/>
      <c r="K69" s="17"/>
      <c r="L69" s="17"/>
      <c r="M69" s="147"/>
      <c r="N69" s="147"/>
      <c r="O69" s="147"/>
      <c r="P69" s="147"/>
      <c r="Q69" s="147"/>
      <c r="R69" s="102"/>
    </row>
    <row r="70" spans="1:18" ht="12.75" customHeight="1" x14ac:dyDescent="0.25">
      <c r="A70" s="17"/>
      <c r="B70" s="120" t="s">
        <v>114</v>
      </c>
      <c r="C70" s="17"/>
      <c r="D70" s="17"/>
      <c r="E70" s="17"/>
      <c r="F70" s="17"/>
      <c r="G70" s="17"/>
      <c r="H70" s="121"/>
      <c r="I70" s="138"/>
      <c r="J70" s="138"/>
      <c r="K70" s="17"/>
      <c r="L70" s="17"/>
      <c r="M70" s="147"/>
      <c r="N70" s="147"/>
      <c r="O70" s="147"/>
      <c r="P70" s="147"/>
      <c r="Q70" s="147"/>
      <c r="R70" s="102"/>
    </row>
    <row r="71" spans="1:18" ht="12.75" customHeight="1" x14ac:dyDescent="0.25">
      <c r="A71" s="17"/>
      <c r="B71" s="139"/>
      <c r="C71" s="17"/>
      <c r="D71" s="17"/>
      <c r="E71" s="17"/>
      <c r="F71" s="17"/>
      <c r="G71" s="17"/>
      <c r="H71" s="121"/>
      <c r="I71" s="138"/>
      <c r="J71" s="138"/>
      <c r="K71" s="17"/>
      <c r="L71" s="17"/>
      <c r="M71" s="147"/>
      <c r="N71" s="147"/>
      <c r="O71" s="147"/>
      <c r="P71" s="147"/>
      <c r="Q71" s="147"/>
      <c r="R71" s="102"/>
    </row>
    <row r="72" spans="1:18" ht="12.75" customHeight="1" x14ac:dyDescent="0.25">
      <c r="A72" s="17"/>
      <c r="C72" s="17" t="s">
        <v>73</v>
      </c>
      <c r="D72" s="17"/>
      <c r="E72" s="17"/>
      <c r="F72" s="17"/>
      <c r="G72" s="17"/>
      <c r="H72" s="121" t="s">
        <v>6</v>
      </c>
      <c r="I72" s="138"/>
      <c r="J72" s="138"/>
      <c r="K72" s="134">
        <f>IF(INDEX(M72:Q72,0,$K$2)&lt;&gt;"",INDEX(M72:Q72,0,$K$2),M72)</f>
        <v>0.8</v>
      </c>
      <c r="M72" s="212">
        <v>0.8</v>
      </c>
      <c r="N72" s="212">
        <v>0.7</v>
      </c>
      <c r="O72" s="212">
        <v>0.7</v>
      </c>
      <c r="P72" s="212">
        <v>0.7</v>
      </c>
      <c r="Q72" s="212">
        <v>0.7</v>
      </c>
      <c r="R72" s="102"/>
    </row>
    <row r="73" spans="1:18" ht="12.75" customHeight="1" x14ac:dyDescent="0.25">
      <c r="A73" s="17"/>
      <c r="C73" s="17" t="s">
        <v>23</v>
      </c>
      <c r="D73" s="17"/>
      <c r="E73" s="17"/>
      <c r="F73" s="17"/>
      <c r="G73" s="17"/>
      <c r="H73" s="121" t="s">
        <v>6</v>
      </c>
      <c r="I73" s="138"/>
      <c r="J73" s="138"/>
      <c r="K73" s="134">
        <f>IF(INDEX(M73:Q73,0,$K$2)&lt;&gt;"",INDEX(M73:Q73,0,$K$2),M73)</f>
        <v>0.19999999999999996</v>
      </c>
      <c r="M73" s="197">
        <f>1-M72</f>
        <v>0.19999999999999996</v>
      </c>
      <c r="N73" s="197">
        <f>1-N72</f>
        <v>0.30000000000000004</v>
      </c>
      <c r="O73" s="197">
        <f>1-O72</f>
        <v>0.30000000000000004</v>
      </c>
      <c r="P73" s="197">
        <f>1-P72</f>
        <v>0.30000000000000004</v>
      </c>
      <c r="Q73" s="197">
        <f>1-Q72</f>
        <v>0.30000000000000004</v>
      </c>
      <c r="R73" s="102"/>
    </row>
    <row r="74" spans="1:18" ht="12.75" customHeight="1" x14ac:dyDescent="0.25">
      <c r="A74" s="17"/>
      <c r="B74" s="17"/>
      <c r="C74" s="17"/>
      <c r="D74" s="17"/>
      <c r="E74" s="17"/>
      <c r="F74" s="17"/>
      <c r="G74" s="17"/>
      <c r="H74" s="121"/>
      <c r="I74" s="138"/>
      <c r="J74" s="138"/>
      <c r="K74" s="17"/>
      <c r="L74" s="17"/>
      <c r="M74" s="147"/>
      <c r="N74" s="147"/>
      <c r="O74" s="147"/>
      <c r="P74" s="147"/>
      <c r="Q74" s="147"/>
      <c r="R74" s="102"/>
    </row>
    <row r="75" spans="1:18" ht="12.75" customHeight="1" x14ac:dyDescent="0.25">
      <c r="A75" s="17"/>
      <c r="B75" s="120" t="s">
        <v>115</v>
      </c>
      <c r="C75" s="17"/>
      <c r="D75" s="17"/>
      <c r="E75" s="17"/>
      <c r="F75" s="17"/>
      <c r="G75" s="17"/>
      <c r="H75" s="121"/>
      <c r="I75" s="138"/>
      <c r="J75" s="138"/>
      <c r="K75" s="17"/>
      <c r="L75" s="17"/>
      <c r="M75" s="147"/>
      <c r="N75" s="147"/>
      <c r="O75" s="147"/>
      <c r="P75" s="147"/>
      <c r="Q75" s="147"/>
      <c r="R75" s="102"/>
    </row>
    <row r="76" spans="1:18" ht="12.75" customHeight="1" x14ac:dyDescent="0.25">
      <c r="A76" s="17"/>
      <c r="B76" s="17"/>
      <c r="C76" s="17"/>
      <c r="D76" s="17"/>
      <c r="E76" s="17"/>
      <c r="F76" s="17"/>
      <c r="G76" s="17"/>
      <c r="H76" s="121"/>
      <c r="I76" s="138"/>
      <c r="J76" s="138"/>
      <c r="K76" s="17"/>
      <c r="L76" s="17"/>
      <c r="M76" s="97"/>
      <c r="N76" s="147"/>
      <c r="O76" s="147"/>
      <c r="P76" s="147"/>
      <c r="Q76" s="147"/>
      <c r="R76" s="102"/>
    </row>
    <row r="77" spans="1:18" ht="12.75" customHeight="1" x14ac:dyDescent="0.25">
      <c r="C77" t="s">
        <v>116</v>
      </c>
      <c r="H77" s="9" t="s">
        <v>50</v>
      </c>
      <c r="K77" s="140">
        <f>IF(INDEX(M77:Q77,0,$K$2)&lt;&gt;"",INDEX(M77:Q77,0,$K$2),M77)</f>
        <v>1.2</v>
      </c>
      <c r="M77" s="213">
        <v>1.2</v>
      </c>
      <c r="N77" s="213">
        <v>1.2</v>
      </c>
      <c r="O77" s="213">
        <v>1.2</v>
      </c>
      <c r="P77" s="213">
        <v>1.2</v>
      </c>
      <c r="Q77" s="213">
        <v>1.2</v>
      </c>
      <c r="R77" s="102"/>
    </row>
    <row r="78" spans="1:18" ht="12.75" customHeight="1" x14ac:dyDescent="0.25">
      <c r="A78" s="17"/>
      <c r="B78" s="17"/>
      <c r="C78" s="17"/>
      <c r="D78" s="17"/>
      <c r="E78" s="17"/>
      <c r="F78" s="17"/>
      <c r="G78" s="17"/>
      <c r="H78" s="121"/>
      <c r="I78" s="138"/>
      <c r="J78" s="138"/>
      <c r="K78" s="17"/>
      <c r="L78" s="17"/>
      <c r="M78" s="97"/>
      <c r="N78" s="147"/>
      <c r="O78" s="147"/>
      <c r="P78" s="147"/>
      <c r="Q78" s="147"/>
      <c r="R78" s="102"/>
    </row>
    <row r="79" spans="1:18" ht="12.75" customHeight="1" x14ac:dyDescent="0.25">
      <c r="A79" s="124" t="s">
        <v>23</v>
      </c>
      <c r="B79" s="125"/>
      <c r="C79" s="125"/>
      <c r="D79" s="125"/>
      <c r="E79" s="125"/>
      <c r="F79" s="125"/>
      <c r="G79" s="125"/>
      <c r="H79" s="126"/>
      <c r="I79" s="125"/>
      <c r="J79" s="125"/>
      <c r="K79" s="127"/>
      <c r="L79" s="125"/>
      <c r="M79" s="125"/>
      <c r="N79" s="125"/>
      <c r="O79" s="128"/>
      <c r="P79" s="125"/>
      <c r="Q79" s="125"/>
      <c r="R79" s="125"/>
    </row>
    <row r="80" spans="1:18" ht="12.75" customHeight="1" x14ac:dyDescent="0.25">
      <c r="C80" s="17"/>
      <c r="D80" s="17"/>
      <c r="K80"/>
      <c r="M80" s="147"/>
      <c r="N80" s="147"/>
      <c r="O80" s="147"/>
      <c r="P80" s="147"/>
      <c r="Q80" s="147"/>
      <c r="R80" s="102"/>
    </row>
    <row r="81" spans="1:18" ht="12.75" customHeight="1" x14ac:dyDescent="0.25">
      <c r="C81" t="s">
        <v>117</v>
      </c>
      <c r="H81" s="9" t="s">
        <v>6</v>
      </c>
      <c r="K81" s="134">
        <f>IF(INDEX(M81:Q81,0,$K$2)&lt;&gt;"",INDEX(M81:Q81,0,$K$2),M81)</f>
        <v>7.0000000000000007E-2</v>
      </c>
      <c r="M81" s="211">
        <v>7.0000000000000007E-2</v>
      </c>
      <c r="N81" s="211">
        <v>0.1</v>
      </c>
      <c r="O81" s="211">
        <v>0.1</v>
      </c>
      <c r="P81" s="211">
        <v>0.1</v>
      </c>
      <c r="Q81" s="211">
        <v>0.1</v>
      </c>
      <c r="R81" s="102"/>
    </row>
    <row r="82" spans="1:18" ht="12.75" customHeight="1" x14ac:dyDescent="0.25">
      <c r="M82" s="211"/>
      <c r="N82" s="211"/>
      <c r="O82" s="211"/>
      <c r="P82" s="211"/>
      <c r="Q82" s="211"/>
      <c r="R82" s="102"/>
    </row>
    <row r="83" spans="1:18" ht="12.75" customHeight="1" x14ac:dyDescent="0.25">
      <c r="C83" t="s">
        <v>118</v>
      </c>
      <c r="M83" s="211"/>
      <c r="N83" s="211"/>
      <c r="O83" s="211"/>
      <c r="P83" s="211"/>
      <c r="Q83" s="211"/>
      <c r="R83" s="102"/>
    </row>
    <row r="84" spans="1:18" ht="12.75" customHeight="1" x14ac:dyDescent="0.25">
      <c r="C84" t="s">
        <v>119</v>
      </c>
      <c r="E84" s="141"/>
      <c r="H84" s="9" t="s">
        <v>6</v>
      </c>
      <c r="K84" s="134">
        <f>IF(INDEX(M84:Q84,0,$K$2)&lt;&gt;"",INDEX(M84:Q84,0,$K$2),M84)</f>
        <v>0.1</v>
      </c>
      <c r="M84" s="211">
        <v>0.1</v>
      </c>
      <c r="N84" s="211">
        <v>0.1</v>
      </c>
      <c r="O84" s="211">
        <v>0.1</v>
      </c>
      <c r="P84" s="211">
        <v>0.1</v>
      </c>
      <c r="Q84" s="211">
        <v>0.1</v>
      </c>
      <c r="R84" s="102"/>
    </row>
    <row r="85" spans="1:18" ht="12.75" customHeight="1" x14ac:dyDescent="0.25">
      <c r="C85" t="s">
        <v>120</v>
      </c>
      <c r="E85" s="141"/>
      <c r="H85" s="9" t="s">
        <v>6</v>
      </c>
      <c r="K85" s="134">
        <f>IF(INDEX(M85:Q85,0,$K$2)&lt;&gt;"",INDEX(M85:Q85,0,$K$2),M85)</f>
        <v>0.6</v>
      </c>
      <c r="M85" s="211">
        <v>0.6</v>
      </c>
      <c r="N85" s="211">
        <v>0.6</v>
      </c>
      <c r="O85" s="211">
        <v>0.6</v>
      </c>
      <c r="P85" s="211">
        <v>0.6</v>
      </c>
      <c r="Q85" s="211">
        <v>0.6</v>
      </c>
      <c r="R85" s="102"/>
    </row>
    <row r="86" spans="1:18" ht="12.75" customHeight="1" x14ac:dyDescent="0.25">
      <c r="C86" t="s">
        <v>121</v>
      </c>
      <c r="E86" s="141"/>
      <c r="H86" s="9" t="s">
        <v>6</v>
      </c>
      <c r="K86" s="134">
        <f>IF(INDEX(M86:Q86,0,$K$2)&lt;&gt;"",INDEX(M86:Q86,0,$K$2),M86)</f>
        <v>0.30000000000000004</v>
      </c>
      <c r="M86" s="197">
        <f>1-SUM(M84:M85)</f>
        <v>0.30000000000000004</v>
      </c>
      <c r="N86" s="197">
        <f>1-SUM(N84:N85)</f>
        <v>0.30000000000000004</v>
      </c>
      <c r="O86" s="197">
        <f>1-SUM(O84:O85)</f>
        <v>0.30000000000000004</v>
      </c>
      <c r="P86" s="197">
        <f>1-SUM(P84:P85)</f>
        <v>0.30000000000000004</v>
      </c>
      <c r="Q86" s="197">
        <f>1-SUM(Q84:Q85)</f>
        <v>0.30000000000000004</v>
      </c>
      <c r="R86" s="102"/>
    </row>
    <row r="87" spans="1:18" ht="12.75" customHeight="1" x14ac:dyDescent="0.25">
      <c r="K87" s="142"/>
      <c r="M87" s="214">
        <f>SUM(M84:M86)</f>
        <v>1</v>
      </c>
      <c r="N87" s="214">
        <f>SUM(N84:N86)</f>
        <v>1</v>
      </c>
      <c r="O87" s="214">
        <f>SUM(O84:O86)</f>
        <v>1</v>
      </c>
      <c r="P87" s="214">
        <f>SUM(P84:P86)</f>
        <v>1</v>
      </c>
      <c r="Q87" s="214">
        <f>SUM(Q84:Q86)</f>
        <v>1</v>
      </c>
      <c r="R87" s="102"/>
    </row>
    <row r="88" spans="1:18" ht="12.75" customHeight="1" x14ac:dyDescent="0.25">
      <c r="C88" s="23" t="s">
        <v>122</v>
      </c>
      <c r="K88" s="142"/>
      <c r="M88" s="214"/>
      <c r="N88" s="214"/>
      <c r="O88" s="214"/>
      <c r="P88" s="214"/>
      <c r="Q88" s="214"/>
      <c r="R88" s="102"/>
    </row>
    <row r="89" spans="1:18" ht="12.75" customHeight="1" x14ac:dyDescent="0.25">
      <c r="C89" t="s">
        <v>116</v>
      </c>
      <c r="H89" s="9" t="s">
        <v>50</v>
      </c>
      <c r="K89" s="140">
        <f>IF(INDEX(M89:Q89,0,$K$2)&lt;&gt;"",INDEX(M89:Q89,0,$K$2),M89)</f>
        <v>1.1000000000000001</v>
      </c>
      <c r="M89" s="213">
        <v>1.1000000000000001</v>
      </c>
      <c r="N89" s="213">
        <v>1.1000000000000001</v>
      </c>
      <c r="O89" s="213">
        <v>1.1000000000000001</v>
      </c>
      <c r="P89" s="213">
        <v>1.1000000000000001</v>
      </c>
      <c r="Q89" s="213">
        <v>1.1000000000000001</v>
      </c>
      <c r="R89" s="102"/>
    </row>
    <row r="90" spans="1:18" ht="12.75" customHeight="1" x14ac:dyDescent="0.25">
      <c r="K90" s="142"/>
      <c r="M90" s="214"/>
      <c r="N90" s="214"/>
      <c r="O90" s="214"/>
      <c r="P90" s="214"/>
      <c r="Q90" s="214"/>
      <c r="R90" s="102"/>
    </row>
    <row r="91" spans="1:18" ht="12.75" customHeight="1" x14ac:dyDescent="0.25">
      <c r="A91" s="124" t="s">
        <v>123</v>
      </c>
      <c r="B91" s="125"/>
      <c r="C91" s="125"/>
      <c r="D91" s="125"/>
      <c r="E91" s="125"/>
      <c r="F91" s="125"/>
      <c r="G91" s="125"/>
      <c r="H91" s="126"/>
      <c r="I91" s="125"/>
      <c r="J91" s="125"/>
      <c r="K91" s="127"/>
      <c r="L91" s="125"/>
      <c r="M91" s="125"/>
      <c r="N91" s="125"/>
      <c r="O91" s="128"/>
      <c r="P91" s="125"/>
      <c r="Q91" s="125"/>
      <c r="R91" s="125"/>
    </row>
    <row r="92" spans="1:18" ht="12.75" customHeight="1" x14ac:dyDescent="0.25">
      <c r="K92"/>
      <c r="M92" s="147"/>
      <c r="N92" s="147"/>
      <c r="O92" s="147"/>
      <c r="P92" s="147"/>
      <c r="Q92" s="147"/>
      <c r="R92" s="143"/>
    </row>
    <row r="93" spans="1:18" ht="12.75" customHeight="1" x14ac:dyDescent="0.25">
      <c r="B93" s="120" t="s">
        <v>91</v>
      </c>
      <c r="C93" s="120"/>
      <c r="K93"/>
      <c r="M93" s="147"/>
      <c r="N93" s="147"/>
      <c r="O93" s="147"/>
      <c r="P93" s="147"/>
      <c r="Q93" s="147"/>
      <c r="R93" s="143"/>
    </row>
    <row r="94" spans="1:18" ht="12.75" customHeight="1" x14ac:dyDescent="0.25">
      <c r="K94"/>
      <c r="M94" s="147"/>
      <c r="N94" s="147"/>
      <c r="O94" s="147"/>
      <c r="P94" s="147"/>
      <c r="Q94" s="147"/>
      <c r="R94" s="143"/>
    </row>
    <row r="95" spans="1:18" ht="12.75" customHeight="1" x14ac:dyDescent="0.25">
      <c r="C95" t="s">
        <v>124</v>
      </c>
      <c r="H95" s="9" t="s">
        <v>17</v>
      </c>
      <c r="K95" s="15">
        <f>IF(INDEX(M95:Q95,0,$K$2)&lt;&gt;"",INDEX(M95:Q95,0,$K$2),M95)</f>
        <v>2024</v>
      </c>
      <c r="M95" s="215">
        <f>M20</f>
        <v>2024</v>
      </c>
      <c r="N95" s="215">
        <f>N20</f>
        <v>2018</v>
      </c>
      <c r="O95" s="215">
        <f>O20</f>
        <v>2018</v>
      </c>
      <c r="P95" s="215">
        <f>P20</f>
        <v>2018</v>
      </c>
      <c r="Q95" s="215">
        <f>Q20</f>
        <v>2018</v>
      </c>
      <c r="R95" s="102"/>
    </row>
    <row r="96" spans="1:18" ht="12.75" customHeight="1" x14ac:dyDescent="0.25">
      <c r="C96" t="s">
        <v>125</v>
      </c>
      <c r="H96" s="9" t="s">
        <v>94</v>
      </c>
      <c r="K96" s="15">
        <v>22</v>
      </c>
      <c r="M96" s="216">
        <v>25</v>
      </c>
      <c r="N96" s="216">
        <v>10</v>
      </c>
      <c r="O96" s="216">
        <v>10</v>
      </c>
      <c r="P96" s="216">
        <v>10</v>
      </c>
      <c r="Q96" s="216">
        <v>10</v>
      </c>
      <c r="R96" s="102"/>
    </row>
    <row r="97" spans="2:18" ht="12.75" customHeight="1" x14ac:dyDescent="0.25">
      <c r="C97" t="s">
        <v>77</v>
      </c>
      <c r="H97" s="9" t="s">
        <v>17</v>
      </c>
      <c r="K97" s="15">
        <f>IF(INDEX(M97:Q97,0,$K$2)&lt;&gt;"",INDEX(M97:Q97,0,$K$2),M97)</f>
        <v>2048</v>
      </c>
      <c r="M97" s="215">
        <f>M95+M96-1</f>
        <v>2048</v>
      </c>
      <c r="N97" s="215">
        <f>N95+N96-1</f>
        <v>2027</v>
      </c>
      <c r="O97" s="215">
        <f>O95+O96-1</f>
        <v>2027</v>
      </c>
      <c r="P97" s="215">
        <f>P95+P96-1</f>
        <v>2027</v>
      </c>
      <c r="Q97" s="215">
        <f>Q95+Q96-1</f>
        <v>2027</v>
      </c>
      <c r="R97" s="102"/>
    </row>
    <row r="98" spans="2:18" ht="12.75" customHeight="1" x14ac:dyDescent="0.25">
      <c r="K98"/>
      <c r="M98" s="147"/>
      <c r="N98" s="147"/>
      <c r="O98" s="147"/>
      <c r="P98" s="147"/>
      <c r="Q98" s="147"/>
      <c r="R98" s="102"/>
    </row>
    <row r="99" spans="2:18" ht="12.75" customHeight="1" x14ac:dyDescent="0.25">
      <c r="B99" s="120" t="s">
        <v>126</v>
      </c>
      <c r="C99" s="120"/>
      <c r="K99"/>
      <c r="M99" s="147"/>
      <c r="N99" s="147"/>
      <c r="O99" s="147"/>
      <c r="P99" s="147"/>
      <c r="Q99" s="147"/>
      <c r="R99" s="102"/>
    </row>
    <row r="100" spans="2:18" ht="12.75" customHeight="1" x14ac:dyDescent="0.25">
      <c r="K100"/>
      <c r="M100" s="147"/>
      <c r="N100" s="147"/>
      <c r="O100" s="147"/>
      <c r="P100" s="147"/>
      <c r="Q100" s="147"/>
      <c r="R100" s="102"/>
    </row>
    <row r="101" spans="2:18" ht="12.75" customHeight="1" x14ac:dyDescent="0.25">
      <c r="C101" t="s">
        <v>127</v>
      </c>
      <c r="H101" s="9" t="s">
        <v>6</v>
      </c>
      <c r="K101" s="117">
        <f>IF(INDEX(M101:Q101,0,$K$2)&lt;&gt;"",INDEX(M101:Q101,0,$K$2),M101)</f>
        <v>5.0000000000000001E-3</v>
      </c>
      <c r="M101" s="206">
        <v>5.0000000000000001E-3</v>
      </c>
      <c r="N101" s="206">
        <v>5.0000000000000001E-3</v>
      </c>
      <c r="O101" s="206">
        <v>5.0000000000000001E-3</v>
      </c>
      <c r="P101" s="206">
        <v>5.0000000000000001E-3</v>
      </c>
      <c r="Q101" s="206">
        <v>5.0000000000000001E-3</v>
      </c>
      <c r="R101" s="102"/>
    </row>
    <row r="102" spans="2:18" ht="12.75" customHeight="1" x14ac:dyDescent="0.25">
      <c r="C102" t="s">
        <v>128</v>
      </c>
      <c r="H102" s="9" t="s">
        <v>3</v>
      </c>
      <c r="K102" s="115">
        <f>IF(INDEX(M102:Q102,0,$K$2)&lt;&gt;"",INDEX(M102:Q102,0,$K$2),M102)</f>
        <v>3.2</v>
      </c>
      <c r="M102" s="207">
        <v>3.2</v>
      </c>
      <c r="N102" s="207">
        <v>3.2</v>
      </c>
      <c r="O102" s="207">
        <v>3.2</v>
      </c>
      <c r="P102" s="207">
        <v>3.2</v>
      </c>
      <c r="Q102" s="207">
        <v>3.2</v>
      </c>
      <c r="R102" s="102"/>
    </row>
    <row r="103" spans="2:18" ht="12.75" customHeight="1" x14ac:dyDescent="0.25">
      <c r="K103"/>
      <c r="M103" s="147"/>
      <c r="N103" s="147"/>
      <c r="O103" s="147"/>
      <c r="P103" s="147"/>
      <c r="Q103" s="147"/>
      <c r="R103" s="102"/>
    </row>
    <row r="104" spans="2:18" ht="12.75" customHeight="1" x14ac:dyDescent="0.25">
      <c r="B104" s="120" t="s">
        <v>129</v>
      </c>
      <c r="C104" s="120"/>
      <c r="K104"/>
      <c r="M104" s="147"/>
      <c r="N104" s="147"/>
      <c r="O104" s="147"/>
      <c r="P104" s="147"/>
      <c r="Q104" s="147"/>
      <c r="R104" s="102"/>
    </row>
    <row r="105" spans="2:18" ht="12.75" customHeight="1" x14ac:dyDescent="0.25">
      <c r="K105"/>
      <c r="M105" s="147"/>
      <c r="N105" s="147"/>
      <c r="O105" s="147"/>
      <c r="P105" s="147"/>
      <c r="Q105" s="147"/>
      <c r="R105" s="102"/>
    </row>
    <row r="106" spans="2:18" ht="12.75" customHeight="1" x14ac:dyDescent="0.25">
      <c r="B106" s="135" t="s">
        <v>110</v>
      </c>
      <c r="C106" s="135" t="s">
        <v>111</v>
      </c>
      <c r="K106"/>
      <c r="M106" s="147"/>
      <c r="N106" s="147"/>
      <c r="O106" s="147"/>
      <c r="P106" s="147"/>
      <c r="Q106" s="147"/>
      <c r="R106" s="102"/>
    </row>
    <row r="107" spans="2:18" ht="12.75" customHeight="1" x14ac:dyDescent="0.25">
      <c r="B107" s="144">
        <v>1</v>
      </c>
      <c r="C107" s="144">
        <f>K14</f>
        <v>2021</v>
      </c>
      <c r="H107" s="9" t="s">
        <v>6</v>
      </c>
      <c r="K107" s="117">
        <f t="shared" ref="K107:K118" si="4">IF(INDEX(M107:Q107,0,$K$2)&lt;&gt;"",INDEX(M107:Q107,0,$K$2),M107)</f>
        <v>1.2999999999999999E-2</v>
      </c>
      <c r="L107" s="136"/>
      <c r="M107" s="206">
        <v>1.2999999999999999E-2</v>
      </c>
      <c r="N107" s="206">
        <v>2.3E-2</v>
      </c>
      <c r="O107" s="206">
        <v>2.3E-2</v>
      </c>
      <c r="P107" s="206">
        <v>2.3E-2</v>
      </c>
      <c r="Q107" s="206">
        <v>2.3E-2</v>
      </c>
      <c r="R107" s="102"/>
    </row>
    <row r="108" spans="2:18" ht="12.75" customHeight="1" x14ac:dyDescent="0.25">
      <c r="B108" s="144">
        <v>5</v>
      </c>
      <c r="C108" s="144">
        <f t="shared" ref="C108:C118" si="5">B108+$C$107</f>
        <v>2026</v>
      </c>
      <c r="H108" s="9" t="s">
        <v>6</v>
      </c>
      <c r="K108" s="117">
        <f t="shared" si="4"/>
        <v>1.4E-2</v>
      </c>
      <c r="L108" s="136"/>
      <c r="M108" s="206">
        <v>1.4E-2</v>
      </c>
      <c r="N108" s="206">
        <v>2.4E-2</v>
      </c>
      <c r="O108" s="206">
        <v>2.4E-2</v>
      </c>
      <c r="P108" s="206">
        <v>2.4E-2</v>
      </c>
      <c r="Q108" s="206">
        <v>2.4E-2</v>
      </c>
      <c r="R108" s="102"/>
    </row>
    <row r="109" spans="2:18" ht="12.75" customHeight="1" x14ac:dyDescent="0.25">
      <c r="B109" s="144">
        <f t="shared" ref="B109:B118" si="6">B108+5</f>
        <v>10</v>
      </c>
      <c r="C109" s="144">
        <f t="shared" si="5"/>
        <v>2031</v>
      </c>
      <c r="H109" s="9" t="s">
        <v>6</v>
      </c>
      <c r="K109" s="117">
        <f t="shared" si="4"/>
        <v>1.5000000000000001E-2</v>
      </c>
      <c r="L109" s="136"/>
      <c r="M109" s="206">
        <v>1.5000000000000001E-2</v>
      </c>
      <c r="N109" s="206">
        <v>2.5000000000000001E-2</v>
      </c>
      <c r="O109" s="206">
        <v>2.5000000000000001E-2</v>
      </c>
      <c r="P109" s="206">
        <v>2.5000000000000001E-2</v>
      </c>
      <c r="Q109" s="206">
        <v>2.5000000000000001E-2</v>
      </c>
      <c r="R109" s="102"/>
    </row>
    <row r="110" spans="2:18" ht="12.75" customHeight="1" x14ac:dyDescent="0.25">
      <c r="B110" s="144">
        <f t="shared" si="6"/>
        <v>15</v>
      </c>
      <c r="C110" s="144">
        <f t="shared" si="5"/>
        <v>2036</v>
      </c>
      <c r="H110" s="9" t="s">
        <v>6</v>
      </c>
      <c r="K110" s="117">
        <f t="shared" si="4"/>
        <v>1.6E-2</v>
      </c>
      <c r="L110" s="136"/>
      <c r="M110" s="206">
        <v>1.6E-2</v>
      </c>
      <c r="N110" s="206">
        <v>2.6000000000000002E-2</v>
      </c>
      <c r="O110" s="206">
        <v>2.6000000000000002E-2</v>
      </c>
      <c r="P110" s="206">
        <v>2.6000000000000002E-2</v>
      </c>
      <c r="Q110" s="206">
        <v>2.6000000000000002E-2</v>
      </c>
      <c r="R110" s="102"/>
    </row>
    <row r="111" spans="2:18" ht="12.75" customHeight="1" x14ac:dyDescent="0.25">
      <c r="B111" s="144">
        <f t="shared" si="6"/>
        <v>20</v>
      </c>
      <c r="C111" s="144">
        <f t="shared" si="5"/>
        <v>2041</v>
      </c>
      <c r="H111" s="9" t="s">
        <v>6</v>
      </c>
      <c r="K111" s="117">
        <f t="shared" si="4"/>
        <v>1.7000000000000001E-2</v>
      </c>
      <c r="L111" s="136"/>
      <c r="M111" s="206">
        <v>1.7000000000000001E-2</v>
      </c>
      <c r="N111" s="206">
        <v>2.7000000000000003E-2</v>
      </c>
      <c r="O111" s="206">
        <v>2.7000000000000003E-2</v>
      </c>
      <c r="P111" s="206">
        <v>2.7000000000000003E-2</v>
      </c>
      <c r="Q111" s="206">
        <v>2.7000000000000003E-2</v>
      </c>
      <c r="R111" s="102"/>
    </row>
    <row r="112" spans="2:18" ht="12.75" customHeight="1" x14ac:dyDescent="0.25">
      <c r="B112" s="144">
        <f t="shared" si="6"/>
        <v>25</v>
      </c>
      <c r="C112" s="144">
        <f t="shared" si="5"/>
        <v>2046</v>
      </c>
      <c r="H112" s="9" t="s">
        <v>6</v>
      </c>
      <c r="K112" s="117">
        <f t="shared" si="4"/>
        <v>1.8000000000000002E-2</v>
      </c>
      <c r="L112" s="136"/>
      <c r="M112" s="206">
        <v>1.8000000000000002E-2</v>
      </c>
      <c r="N112" s="206">
        <v>2.8000000000000004E-2</v>
      </c>
      <c r="O112" s="206">
        <v>2.8000000000000004E-2</v>
      </c>
      <c r="P112" s="206">
        <v>2.8000000000000004E-2</v>
      </c>
      <c r="Q112" s="206">
        <v>2.8000000000000004E-2</v>
      </c>
      <c r="R112" s="102"/>
    </row>
    <row r="113" spans="1:18" ht="12.75" customHeight="1" x14ac:dyDescent="0.25">
      <c r="B113" s="144">
        <f t="shared" si="6"/>
        <v>30</v>
      </c>
      <c r="C113" s="144">
        <f t="shared" si="5"/>
        <v>2051</v>
      </c>
      <c r="H113" s="9" t="s">
        <v>6</v>
      </c>
      <c r="K113" s="117">
        <f t="shared" si="4"/>
        <v>1.9000000000000003E-2</v>
      </c>
      <c r="L113" s="136"/>
      <c r="M113" s="206">
        <v>1.9000000000000003E-2</v>
      </c>
      <c r="N113" s="206">
        <v>2.9000000000000005E-2</v>
      </c>
      <c r="O113" s="206">
        <v>2.9000000000000005E-2</v>
      </c>
      <c r="P113" s="206">
        <v>2.9000000000000005E-2</v>
      </c>
      <c r="Q113" s="206">
        <v>2.9000000000000005E-2</v>
      </c>
      <c r="R113" s="102"/>
    </row>
    <row r="114" spans="1:18" ht="12.75" customHeight="1" x14ac:dyDescent="0.25">
      <c r="B114" s="144">
        <f t="shared" si="6"/>
        <v>35</v>
      </c>
      <c r="C114" s="144">
        <f t="shared" si="5"/>
        <v>2056</v>
      </c>
      <c r="H114" s="9" t="s">
        <v>6</v>
      </c>
      <c r="K114" s="117">
        <f t="shared" si="4"/>
        <v>2.0000000000000004E-2</v>
      </c>
      <c r="L114" s="136"/>
      <c r="M114" s="206">
        <v>2.0000000000000004E-2</v>
      </c>
      <c r="N114" s="206">
        <v>3.0000000000000006E-2</v>
      </c>
      <c r="O114" s="206">
        <v>3.0000000000000006E-2</v>
      </c>
      <c r="P114" s="206">
        <v>3.0000000000000006E-2</v>
      </c>
      <c r="Q114" s="206">
        <v>3.0000000000000006E-2</v>
      </c>
      <c r="R114" s="102"/>
    </row>
    <row r="115" spans="1:18" ht="12.75" customHeight="1" x14ac:dyDescent="0.25">
      <c r="B115" s="144">
        <f t="shared" si="6"/>
        <v>40</v>
      </c>
      <c r="C115" s="144">
        <f t="shared" si="5"/>
        <v>2061</v>
      </c>
      <c r="H115" s="9" t="s">
        <v>6</v>
      </c>
      <c r="K115" s="117">
        <f t="shared" si="4"/>
        <v>2.1000000000000005E-2</v>
      </c>
      <c r="L115" s="136"/>
      <c r="M115" s="206">
        <v>2.1000000000000005E-2</v>
      </c>
      <c r="N115" s="206">
        <v>3.1000000000000007E-2</v>
      </c>
      <c r="O115" s="206">
        <v>3.1000000000000007E-2</v>
      </c>
      <c r="P115" s="206">
        <v>3.1000000000000007E-2</v>
      </c>
      <c r="Q115" s="206">
        <v>3.1000000000000007E-2</v>
      </c>
      <c r="R115" s="102"/>
    </row>
    <row r="116" spans="1:18" ht="12.75" customHeight="1" x14ac:dyDescent="0.25">
      <c r="B116" s="144">
        <f t="shared" si="6"/>
        <v>45</v>
      </c>
      <c r="C116" s="144">
        <f t="shared" si="5"/>
        <v>2066</v>
      </c>
      <c r="H116" s="9" t="s">
        <v>6</v>
      </c>
      <c r="K116" s="117">
        <f t="shared" si="4"/>
        <v>2.2000000000000006E-2</v>
      </c>
      <c r="L116" s="136"/>
      <c r="M116" s="206">
        <v>2.2000000000000006E-2</v>
      </c>
      <c r="N116" s="206">
        <v>3.2000000000000008E-2</v>
      </c>
      <c r="O116" s="206">
        <v>3.2000000000000008E-2</v>
      </c>
      <c r="P116" s="206">
        <v>3.2000000000000008E-2</v>
      </c>
      <c r="Q116" s="206">
        <v>3.2000000000000008E-2</v>
      </c>
      <c r="R116" s="102"/>
    </row>
    <row r="117" spans="1:18" ht="12.75" customHeight="1" x14ac:dyDescent="0.25">
      <c r="B117" s="144">
        <f t="shared" si="6"/>
        <v>50</v>
      </c>
      <c r="C117" s="144">
        <f t="shared" si="5"/>
        <v>2071</v>
      </c>
      <c r="H117" s="9" t="s">
        <v>6</v>
      </c>
      <c r="K117" s="117">
        <f t="shared" si="4"/>
        <v>2.3000000000000007E-2</v>
      </c>
      <c r="L117" s="136"/>
      <c r="M117" s="206">
        <v>2.3000000000000007E-2</v>
      </c>
      <c r="N117" s="206">
        <v>3.3000000000000008E-2</v>
      </c>
      <c r="O117" s="206">
        <v>3.3000000000000008E-2</v>
      </c>
      <c r="P117" s="206">
        <v>3.3000000000000008E-2</v>
      </c>
      <c r="Q117" s="206">
        <v>3.3000000000000008E-2</v>
      </c>
      <c r="R117" s="102"/>
    </row>
    <row r="118" spans="1:18" ht="12.75" customHeight="1" x14ac:dyDescent="0.25">
      <c r="B118" s="144">
        <f t="shared" si="6"/>
        <v>55</v>
      </c>
      <c r="C118" s="144">
        <f t="shared" si="5"/>
        <v>2076</v>
      </c>
      <c r="H118" s="9" t="s">
        <v>6</v>
      </c>
      <c r="K118" s="117">
        <f t="shared" si="4"/>
        <v>2.4000000000000007E-2</v>
      </c>
      <c r="L118" s="136"/>
      <c r="M118" s="206">
        <v>2.4000000000000007E-2</v>
      </c>
      <c r="N118" s="206">
        <v>3.4000000000000009E-2</v>
      </c>
      <c r="O118" s="206">
        <v>3.4000000000000009E-2</v>
      </c>
      <c r="P118" s="206">
        <v>3.4000000000000009E-2</v>
      </c>
      <c r="Q118" s="206">
        <v>3.4000000000000009E-2</v>
      </c>
      <c r="R118" s="102"/>
    </row>
    <row r="119" spans="1:18" ht="12.75" customHeight="1" x14ac:dyDescent="0.25">
      <c r="K119" s="145"/>
      <c r="M119" s="147"/>
      <c r="N119" s="147"/>
      <c r="O119" s="147"/>
      <c r="P119" s="147"/>
      <c r="Q119" s="147"/>
      <c r="R119" s="102"/>
    </row>
    <row r="120" spans="1:18" ht="12.75" customHeight="1" x14ac:dyDescent="0.25">
      <c r="B120" s="120" t="s">
        <v>79</v>
      </c>
      <c r="C120" s="120"/>
      <c r="K120" s="145"/>
      <c r="M120" s="147"/>
      <c r="N120" s="147"/>
      <c r="O120" s="147"/>
      <c r="P120" s="147"/>
      <c r="Q120" s="147"/>
      <c r="R120" s="102"/>
    </row>
    <row r="121" spans="1:18" ht="12.75" customHeight="1" x14ac:dyDescent="0.25">
      <c r="K121" s="145"/>
      <c r="M121" s="147"/>
      <c r="N121" s="147"/>
      <c r="O121" s="147"/>
      <c r="P121" s="147"/>
      <c r="Q121" s="147"/>
      <c r="R121" s="102"/>
    </row>
    <row r="122" spans="1:18" ht="12.75" customHeight="1" x14ac:dyDescent="0.25">
      <c r="C122" t="s">
        <v>130</v>
      </c>
      <c r="H122" s="9" t="s">
        <v>6</v>
      </c>
      <c r="K122" s="117">
        <f>IF(INDEX(M122:Q122,0,$K$2)&lt;&gt;"",INDEX(M122:Q122,0,$K$2),M122)</f>
        <v>0</v>
      </c>
      <c r="M122" s="212">
        <v>0</v>
      </c>
      <c r="N122" s="212">
        <v>0</v>
      </c>
      <c r="O122" s="212">
        <v>0</v>
      </c>
      <c r="P122" s="212">
        <v>0</v>
      </c>
      <c r="Q122" s="212">
        <v>0</v>
      </c>
      <c r="R122" s="102"/>
    </row>
    <row r="123" spans="1:18" ht="12.75" customHeight="1" x14ac:dyDescent="0.25">
      <c r="C123" t="s">
        <v>131</v>
      </c>
      <c r="H123" s="9" t="s">
        <v>132</v>
      </c>
      <c r="K123" s="113">
        <f>IF(INDEX(M123:Q123,0,$K$2)&lt;&gt;"",INDEX(M123:Q123,0,$K$2),M123)</f>
        <v>5</v>
      </c>
      <c r="M123" s="216">
        <v>5</v>
      </c>
      <c r="N123" s="216">
        <v>5</v>
      </c>
      <c r="O123" s="216">
        <v>5</v>
      </c>
      <c r="P123" s="216">
        <v>5</v>
      </c>
      <c r="Q123" s="216">
        <v>5</v>
      </c>
      <c r="R123" s="102"/>
    </row>
    <row r="124" spans="1:18" ht="12.75" customHeight="1" x14ac:dyDescent="0.25">
      <c r="C124" t="s">
        <v>131</v>
      </c>
      <c r="H124" s="9" t="s">
        <v>17</v>
      </c>
      <c r="K124" s="15">
        <f>IF(INDEX(M124:Q124,0,$K$2)&lt;&gt;"",INDEX(M124:Q124,0,$K$2),M124)</f>
        <v>2028</v>
      </c>
      <c r="M124" s="215">
        <f>M95+M123-1</f>
        <v>2028</v>
      </c>
      <c r="N124" s="215">
        <f>N95+N123-1</f>
        <v>2022</v>
      </c>
      <c r="O124" s="215">
        <f>O95+O123-1</f>
        <v>2022</v>
      </c>
      <c r="P124" s="215">
        <f>P95+P123-1</f>
        <v>2022</v>
      </c>
      <c r="Q124" s="215">
        <f>Q95+Q123-1</f>
        <v>2022</v>
      </c>
      <c r="R124" s="102"/>
    </row>
    <row r="125" spans="1:18" ht="12.75" customHeight="1" x14ac:dyDescent="0.25">
      <c r="K125" s="145"/>
      <c r="M125" s="147"/>
      <c r="N125" s="147"/>
      <c r="O125" s="147"/>
      <c r="P125" s="147"/>
      <c r="Q125" s="147"/>
      <c r="R125" s="102"/>
    </row>
    <row r="126" spans="1:18" ht="12.75" customHeight="1" x14ac:dyDescent="0.25">
      <c r="A126" s="124" t="s">
        <v>133</v>
      </c>
      <c r="B126" s="124"/>
      <c r="C126" s="125"/>
      <c r="D126" s="125"/>
      <c r="E126" s="125"/>
      <c r="F126" s="125"/>
      <c r="G126" s="125"/>
      <c r="H126" s="126"/>
      <c r="I126" s="125"/>
      <c r="J126" s="125"/>
      <c r="K126" s="127"/>
      <c r="L126" s="125"/>
      <c r="M126" s="125"/>
      <c r="N126" s="125"/>
      <c r="O126" s="128"/>
      <c r="P126" s="125"/>
      <c r="Q126" s="125"/>
      <c r="R126" s="125"/>
    </row>
    <row r="127" spans="1:18" ht="12.75" customHeight="1" x14ac:dyDescent="0.25">
      <c r="K127" s="145"/>
      <c r="M127" s="147"/>
      <c r="N127" s="147"/>
      <c r="O127" s="147"/>
      <c r="P127" s="147"/>
      <c r="Q127" s="147"/>
      <c r="R127" s="102"/>
    </row>
    <row r="128" spans="1:18" ht="12.75" customHeight="1" x14ac:dyDescent="0.25">
      <c r="C128" t="s">
        <v>134</v>
      </c>
      <c r="H128" s="9" t="s">
        <v>3</v>
      </c>
      <c r="K128" s="115">
        <f t="shared" ref="K128:K132" si="7">IF(INDEX(M128:Q128,0,$K$2)&lt;&gt;"",INDEX(M128:Q128,0,$K$2),M128)</f>
        <v>500</v>
      </c>
      <c r="M128" s="207">
        <v>500</v>
      </c>
      <c r="N128" s="207">
        <v>25</v>
      </c>
      <c r="O128" s="207">
        <v>25</v>
      </c>
      <c r="P128" s="207">
        <v>25</v>
      </c>
      <c r="Q128" s="207">
        <v>25</v>
      </c>
      <c r="R128" s="102"/>
    </row>
    <row r="129" spans="1:18" ht="12.75" customHeight="1" x14ac:dyDescent="0.25">
      <c r="C129" t="s">
        <v>135</v>
      </c>
      <c r="H129" s="9" t="s">
        <v>17</v>
      </c>
      <c r="K129" s="146">
        <f t="shared" si="7"/>
        <v>2024</v>
      </c>
      <c r="M129" s="215">
        <f>M95</f>
        <v>2024</v>
      </c>
      <c r="N129" s="215">
        <f>N95</f>
        <v>2018</v>
      </c>
      <c r="O129" s="215">
        <f>O95</f>
        <v>2018</v>
      </c>
      <c r="P129" s="215">
        <f>P95</f>
        <v>2018</v>
      </c>
      <c r="Q129" s="215">
        <f>Q95</f>
        <v>2018</v>
      </c>
      <c r="R129" s="102"/>
    </row>
    <row r="130" spans="1:18" ht="12.75" customHeight="1" x14ac:dyDescent="0.25">
      <c r="C130" t="s">
        <v>77</v>
      </c>
      <c r="H130" s="9" t="s">
        <v>17</v>
      </c>
      <c r="K130" s="146">
        <f t="shared" si="7"/>
        <v>2048</v>
      </c>
      <c r="M130" s="215">
        <f>M97</f>
        <v>2048</v>
      </c>
      <c r="N130" s="215">
        <f>N97</f>
        <v>2027</v>
      </c>
      <c r="O130" s="215">
        <f>O97</f>
        <v>2027</v>
      </c>
      <c r="P130" s="215">
        <f>P97</f>
        <v>2027</v>
      </c>
      <c r="Q130" s="215">
        <f>Q97</f>
        <v>2027</v>
      </c>
      <c r="R130" s="102"/>
    </row>
    <row r="131" spans="1:18" ht="12.75" customHeight="1" x14ac:dyDescent="0.25">
      <c r="C131" t="s">
        <v>136</v>
      </c>
      <c r="H131" s="9" t="s">
        <v>6</v>
      </c>
      <c r="K131" s="117">
        <f t="shared" si="7"/>
        <v>0.02</v>
      </c>
      <c r="M131" s="212">
        <v>0.02</v>
      </c>
      <c r="N131" s="212">
        <v>0.02</v>
      </c>
      <c r="O131" s="212">
        <v>0.02</v>
      </c>
      <c r="P131" s="212">
        <v>0.02</v>
      </c>
      <c r="Q131" s="212">
        <v>0.02</v>
      </c>
      <c r="R131" s="102"/>
    </row>
    <row r="132" spans="1:18" ht="12.75" customHeight="1" x14ac:dyDescent="0.25">
      <c r="C132" t="s">
        <v>127</v>
      </c>
      <c r="H132" s="9" t="s">
        <v>137</v>
      </c>
      <c r="K132" s="117">
        <f t="shared" si="7"/>
        <v>0.33</v>
      </c>
      <c r="M132" s="212">
        <v>0.33</v>
      </c>
      <c r="N132" s="212">
        <v>0.33</v>
      </c>
      <c r="O132" s="212">
        <v>0.33</v>
      </c>
      <c r="P132" s="212">
        <v>0.33</v>
      </c>
      <c r="Q132" s="212">
        <v>0.33</v>
      </c>
      <c r="R132" s="102"/>
    </row>
    <row r="133" spans="1:18" ht="12.75" customHeight="1" x14ac:dyDescent="0.25">
      <c r="K133" s="145"/>
      <c r="M133" s="147"/>
      <c r="N133" s="147"/>
      <c r="O133" s="147"/>
      <c r="P133" s="147"/>
      <c r="Q133" s="147"/>
      <c r="R133" s="102"/>
    </row>
    <row r="134" spans="1:18" ht="12.75" customHeight="1" x14ac:dyDescent="0.25">
      <c r="A134" s="124" t="s">
        <v>138</v>
      </c>
      <c r="B134" s="125"/>
      <c r="C134" s="125"/>
      <c r="D134" s="125"/>
      <c r="E134" s="125"/>
      <c r="F134" s="125"/>
      <c r="G134" s="125"/>
      <c r="H134" s="126"/>
      <c r="I134" s="125"/>
      <c r="J134" s="125"/>
      <c r="K134" s="127"/>
      <c r="L134" s="125"/>
      <c r="M134" s="125"/>
      <c r="N134" s="125"/>
      <c r="O134" s="128"/>
      <c r="P134" s="125"/>
      <c r="Q134" s="125"/>
      <c r="R134" s="125"/>
    </row>
    <row r="135" spans="1:18" ht="12.75" customHeight="1" x14ac:dyDescent="0.25">
      <c r="K135" s="145"/>
      <c r="M135" s="147"/>
      <c r="N135" s="147"/>
      <c r="O135" s="147"/>
      <c r="P135" s="147"/>
      <c r="Q135" s="147"/>
      <c r="R135" s="102"/>
    </row>
    <row r="136" spans="1:18" ht="12.75" customHeight="1" x14ac:dyDescent="0.25">
      <c r="K136" s="145"/>
      <c r="M136" s="147"/>
      <c r="N136" s="147"/>
      <c r="O136" s="147"/>
      <c r="P136" s="147"/>
      <c r="Q136" s="147"/>
      <c r="R136" s="102"/>
    </row>
    <row r="137" spans="1:18" ht="12.75" customHeight="1" x14ac:dyDescent="0.25">
      <c r="B137" s="21" t="s">
        <v>139</v>
      </c>
      <c r="D137" s="21"/>
      <c r="K137" s="68"/>
      <c r="M137" s="147"/>
      <c r="N137" s="147"/>
      <c r="O137" s="147"/>
      <c r="P137" s="147"/>
      <c r="Q137" s="147"/>
      <c r="R137" s="102"/>
    </row>
    <row r="138" spans="1:18" ht="12.75" customHeight="1" x14ac:dyDescent="0.25">
      <c r="K138"/>
      <c r="M138" s="147"/>
      <c r="N138" s="147"/>
      <c r="O138" s="147"/>
      <c r="P138" s="147"/>
      <c r="Q138" s="147"/>
      <c r="R138" s="102"/>
    </row>
    <row r="139" spans="1:18" ht="12.75" customHeight="1" x14ac:dyDescent="0.25">
      <c r="C139" t="s">
        <v>134</v>
      </c>
      <c r="H139" s="9" t="s">
        <v>3</v>
      </c>
      <c r="K139" s="113">
        <f t="shared" ref="K139:K144" si="8">IF(INDEX(M139:Q139,0,$K$2)&lt;&gt;"",INDEX(M139:Q139,0,$K$2),M139)</f>
        <v>5</v>
      </c>
      <c r="M139" s="216">
        <v>5</v>
      </c>
      <c r="N139" s="216">
        <v>5</v>
      </c>
      <c r="O139" s="216">
        <v>5</v>
      </c>
      <c r="P139" s="216">
        <v>5</v>
      </c>
      <c r="Q139" s="216">
        <v>5</v>
      </c>
      <c r="R139" s="102"/>
    </row>
    <row r="140" spans="1:18" ht="12.75" customHeight="1" x14ac:dyDescent="0.25">
      <c r="C140" t="s">
        <v>135</v>
      </c>
      <c r="H140" s="9" t="s">
        <v>6</v>
      </c>
      <c r="K140" s="15">
        <f t="shared" si="8"/>
        <v>2024</v>
      </c>
      <c r="L140" s="82"/>
      <c r="M140" s="16">
        <f>M20</f>
        <v>2024</v>
      </c>
      <c r="N140" s="16">
        <f>N20</f>
        <v>2018</v>
      </c>
      <c r="O140" s="16">
        <f>O20</f>
        <v>2018</v>
      </c>
      <c r="P140" s="16">
        <f>P20</f>
        <v>2018</v>
      </c>
      <c r="Q140" s="16">
        <f>Q20</f>
        <v>2018</v>
      </c>
      <c r="R140" s="102"/>
    </row>
    <row r="141" spans="1:18" ht="12.75" customHeight="1" x14ac:dyDescent="0.25">
      <c r="C141" t="s">
        <v>77</v>
      </c>
      <c r="H141" s="9" t="s">
        <v>17</v>
      </c>
      <c r="K141" s="113">
        <f t="shared" si="8"/>
        <v>2048</v>
      </c>
      <c r="M141" s="16">
        <f>M97</f>
        <v>2048</v>
      </c>
      <c r="N141" s="16">
        <f>N97</f>
        <v>2027</v>
      </c>
      <c r="O141" s="16">
        <f>O97</f>
        <v>2027</v>
      </c>
      <c r="P141" s="16">
        <f>P97</f>
        <v>2027</v>
      </c>
      <c r="Q141" s="16">
        <f>Q97</f>
        <v>2027</v>
      </c>
      <c r="R141" s="102"/>
    </row>
    <row r="142" spans="1:18" ht="12.75" customHeight="1" x14ac:dyDescent="0.25">
      <c r="C142" t="s">
        <v>140</v>
      </c>
      <c r="H142" s="9" t="s">
        <v>6</v>
      </c>
      <c r="K142" s="117" t="str">
        <f t="shared" si="8"/>
        <v>LIBOR - 6 month</v>
      </c>
      <c r="M142" s="217" t="s">
        <v>141</v>
      </c>
      <c r="N142" s="217" t="s">
        <v>141</v>
      </c>
      <c r="O142" s="217" t="s">
        <v>141</v>
      </c>
      <c r="P142" s="217" t="s">
        <v>141</v>
      </c>
      <c r="Q142" s="217" t="s">
        <v>141</v>
      </c>
      <c r="R142" s="102"/>
    </row>
    <row r="143" spans="1:18" ht="12.75" customHeight="1" x14ac:dyDescent="0.25">
      <c r="C143" t="s">
        <v>136</v>
      </c>
      <c r="H143" s="9" t="s">
        <v>6</v>
      </c>
      <c r="K143" s="117">
        <f t="shared" si="8"/>
        <v>0.02</v>
      </c>
      <c r="M143" s="212">
        <v>0.02</v>
      </c>
      <c r="N143" s="212">
        <v>0.02</v>
      </c>
      <c r="O143" s="212">
        <v>0.02</v>
      </c>
      <c r="P143" s="212">
        <v>0.02</v>
      </c>
      <c r="Q143" s="212">
        <v>0.02</v>
      </c>
      <c r="R143" s="102"/>
    </row>
    <row r="144" spans="1:18" ht="12.75" customHeight="1" x14ac:dyDescent="0.25">
      <c r="C144" t="s">
        <v>127</v>
      </c>
      <c r="H144" s="9" t="s">
        <v>6</v>
      </c>
      <c r="K144" s="117">
        <f t="shared" si="8"/>
        <v>0.02</v>
      </c>
      <c r="M144" s="212">
        <v>0.02</v>
      </c>
      <c r="N144" s="212">
        <v>0.02</v>
      </c>
      <c r="O144" s="212">
        <v>0.02</v>
      </c>
      <c r="P144" s="212">
        <v>0.02</v>
      </c>
      <c r="Q144" s="212">
        <v>0.02</v>
      </c>
      <c r="R144" s="102"/>
    </row>
    <row r="145" spans="1:18" ht="12.75" customHeight="1" x14ac:dyDescent="0.25">
      <c r="K145"/>
      <c r="M145" s="147"/>
      <c r="N145" s="147"/>
      <c r="O145" s="147"/>
      <c r="P145" s="147"/>
      <c r="Q145" s="147"/>
      <c r="R145" s="102"/>
    </row>
    <row r="146" spans="1:18" ht="12.75" customHeight="1" x14ac:dyDescent="0.25">
      <c r="A146" s="124" t="s">
        <v>122</v>
      </c>
      <c r="B146" s="125"/>
      <c r="C146" s="125"/>
      <c r="D146" s="125"/>
      <c r="E146" s="125"/>
      <c r="F146" s="125"/>
      <c r="G146" s="125"/>
      <c r="H146" s="126"/>
      <c r="I146" s="125"/>
      <c r="J146" s="125"/>
      <c r="K146" s="127"/>
      <c r="L146" s="125"/>
      <c r="M146" s="125"/>
      <c r="N146" s="125"/>
      <c r="O146" s="128"/>
      <c r="P146" s="125"/>
      <c r="Q146" s="125"/>
      <c r="R146" s="125"/>
    </row>
    <row r="147" spans="1:18" ht="12.75" customHeight="1" x14ac:dyDescent="0.25">
      <c r="K147"/>
      <c r="M147" s="147"/>
      <c r="N147" s="147"/>
      <c r="O147" s="147"/>
      <c r="P147" s="147"/>
      <c r="Q147" s="147"/>
      <c r="R147" s="102"/>
    </row>
    <row r="148" spans="1:18" ht="12.75" customHeight="1" x14ac:dyDescent="0.25">
      <c r="B148" s="21" t="s">
        <v>142</v>
      </c>
      <c r="C148" s="21"/>
      <c r="D148" s="21"/>
      <c r="K148"/>
      <c r="M148" s="147"/>
      <c r="N148" s="147"/>
      <c r="O148" s="147"/>
      <c r="P148" s="147"/>
      <c r="Q148" s="147"/>
      <c r="R148" s="102"/>
    </row>
    <row r="149" spans="1:18" ht="12.75" customHeight="1" x14ac:dyDescent="0.25">
      <c r="K149"/>
      <c r="M149" s="147"/>
      <c r="N149" s="147"/>
      <c r="O149" s="147"/>
      <c r="P149" s="147"/>
      <c r="Q149" s="147"/>
      <c r="R149" s="102"/>
    </row>
    <row r="150" spans="1:18" ht="12.75" customHeight="1" x14ac:dyDescent="0.25">
      <c r="C150" t="s">
        <v>116</v>
      </c>
      <c r="H150" s="9" t="s">
        <v>50</v>
      </c>
      <c r="K150" s="140">
        <f>IF(INDEX(M150:Q150,0,$K$2)&lt;&gt;"",INDEX(M150:Q150,0,$K$2),M150)</f>
        <v>1.2</v>
      </c>
      <c r="M150" s="213">
        <v>1.2</v>
      </c>
      <c r="N150" s="213">
        <v>1.2</v>
      </c>
      <c r="O150" s="213">
        <v>1.2</v>
      </c>
      <c r="P150" s="213">
        <v>1.2</v>
      </c>
      <c r="Q150" s="213">
        <v>1.2</v>
      </c>
      <c r="R150" s="102"/>
    </row>
    <row r="151" spans="1:18" ht="12.75" customHeight="1" x14ac:dyDescent="0.25">
      <c r="K151"/>
      <c r="M151" s="147"/>
      <c r="N151" s="147"/>
      <c r="O151" s="147"/>
      <c r="P151" s="147"/>
      <c r="Q151" s="147"/>
      <c r="R151" s="102"/>
    </row>
    <row r="152" spans="1:18" ht="12.75" customHeight="1" x14ac:dyDescent="0.25">
      <c r="A152" s="109" t="s">
        <v>143</v>
      </c>
      <c r="B152" s="109"/>
      <c r="C152" s="109"/>
      <c r="D152" s="109"/>
      <c r="E152" s="109"/>
      <c r="F152" s="109"/>
      <c r="G152" s="109"/>
      <c r="H152" s="110"/>
      <c r="I152" s="111"/>
      <c r="J152" s="111"/>
      <c r="K152" s="111"/>
      <c r="L152" s="109"/>
      <c r="M152" s="109"/>
      <c r="N152" s="109"/>
      <c r="O152" s="109"/>
      <c r="P152" s="109"/>
      <c r="Q152" s="109"/>
      <c r="R152" s="109"/>
    </row>
    <row r="153" spans="1:18" ht="12.75" customHeight="1" x14ac:dyDescent="0.25">
      <c r="K153"/>
      <c r="M153" s="147"/>
      <c r="N153" s="147"/>
      <c r="O153" s="147"/>
      <c r="P153" s="147"/>
      <c r="Q153" s="147"/>
      <c r="R153" s="102"/>
    </row>
    <row r="154" spans="1:18" ht="12.75" customHeight="1" x14ac:dyDescent="0.25">
      <c r="C154" t="s">
        <v>144</v>
      </c>
      <c r="H154" s="9" t="s">
        <v>6</v>
      </c>
      <c r="K154" s="117">
        <f>IF(INDEX(M154:Q154,0,$K$2)&lt;&gt;"",INDEX(M154:Q154,0,$K$2),M154)</f>
        <v>0.25</v>
      </c>
      <c r="M154" s="212">
        <v>0.25</v>
      </c>
      <c r="N154" s="212">
        <v>0.2</v>
      </c>
      <c r="O154" s="212">
        <v>0.2</v>
      </c>
      <c r="P154" s="212">
        <v>0.2</v>
      </c>
      <c r="Q154" s="212">
        <v>0.2</v>
      </c>
      <c r="R154" s="102"/>
    </row>
    <row r="156" spans="1:18" ht="12.75" customHeight="1" x14ac:dyDescent="0.25">
      <c r="A156" s="109" t="s">
        <v>374</v>
      </c>
      <c r="B156" s="109"/>
      <c r="C156" s="109"/>
      <c r="D156" s="109"/>
      <c r="E156" s="109"/>
      <c r="F156" s="109"/>
      <c r="G156" s="109"/>
      <c r="H156" s="110"/>
      <c r="I156" s="111"/>
      <c r="J156" s="111"/>
      <c r="K156" s="111"/>
      <c r="L156" s="109"/>
      <c r="M156" s="109"/>
      <c r="N156" s="109"/>
      <c r="O156" s="109"/>
      <c r="P156" s="109"/>
      <c r="Q156" s="109"/>
      <c r="R156" s="109"/>
    </row>
    <row r="157" spans="1:18" ht="12.75" customHeight="1" x14ac:dyDescent="0.25">
      <c r="K157"/>
      <c r="R157" s="102"/>
    </row>
    <row r="158" spans="1:18" ht="12.75" customHeight="1" x14ac:dyDescent="0.25">
      <c r="C158" t="s">
        <v>213</v>
      </c>
      <c r="H158" s="9" t="s">
        <v>25</v>
      </c>
      <c r="K158" s="148" t="e">
        <f>Financing!J27</f>
        <v>#REF!</v>
      </c>
      <c r="R158" s="102"/>
    </row>
    <row r="159" spans="1:18" ht="12.75" customHeight="1" x14ac:dyDescent="0.25">
      <c r="C159" t="s">
        <v>375</v>
      </c>
      <c r="H159" s="9" t="s">
        <v>25</v>
      </c>
      <c r="K159" s="148" t="b">
        <f>InputT!L43</f>
        <v>1</v>
      </c>
      <c r="R159" s="102"/>
    </row>
    <row r="160" spans="1:18" ht="12.75" customHeight="1" x14ac:dyDescent="0.25">
      <c r="C160" t="s">
        <v>376</v>
      </c>
      <c r="H160" s="9" t="s">
        <v>25</v>
      </c>
      <c r="K160" s="148" t="e">
        <f>Tariff!J36</f>
        <v>#REF!</v>
      </c>
      <c r="R160" s="102"/>
    </row>
    <row r="161" spans="1:18" ht="12.75" customHeight="1" x14ac:dyDescent="0.25">
      <c r="C161" t="s">
        <v>377</v>
      </c>
      <c r="H161" s="9" t="s">
        <v>25</v>
      </c>
      <c r="K161" s="148" t="e">
        <f>'T&amp;D'!J46</f>
        <v>#REF!</v>
      </c>
      <c r="R161" s="102"/>
    </row>
    <row r="162" spans="1:18" ht="12.75" customHeight="1" x14ac:dyDescent="0.25">
      <c r="C162" t="s">
        <v>378</v>
      </c>
      <c r="H162" s="9" t="s">
        <v>25</v>
      </c>
      <c r="K162" s="148" t="e">
        <f>BS!J41</f>
        <v>#REF!</v>
      </c>
      <c r="R162" s="102"/>
    </row>
    <row r="163" spans="1:18" ht="12.75" customHeight="1" x14ac:dyDescent="0.25">
      <c r="C163" s="27" t="s">
        <v>365</v>
      </c>
      <c r="D163" s="27"/>
      <c r="E163" s="27"/>
      <c r="F163" s="27"/>
      <c r="G163" s="27"/>
      <c r="H163" s="28" t="s">
        <v>25</v>
      </c>
      <c r="I163" s="27"/>
      <c r="J163" s="27"/>
      <c r="K163" s="225" t="e">
        <f>Macro_Check</f>
        <v>#REF!</v>
      </c>
      <c r="R163" s="102"/>
    </row>
    <row r="164" spans="1:18" ht="12.75" customHeight="1" x14ac:dyDescent="0.25">
      <c r="H164" s="9" t="s">
        <v>25</v>
      </c>
      <c r="K164" s="241" t="e">
        <f>AND(K158:K163)</f>
        <v>#REF!</v>
      </c>
      <c r="R164" s="102"/>
    </row>
    <row r="165" spans="1:18" ht="12.75" customHeight="1" x14ac:dyDescent="0.25">
      <c r="K165"/>
      <c r="R165" s="102"/>
    </row>
    <row r="166" spans="1:18" ht="12.75" customHeight="1" x14ac:dyDescent="0.25">
      <c r="K166"/>
      <c r="R166" s="102"/>
    </row>
    <row r="167" spans="1:18" ht="12.75" customHeight="1" x14ac:dyDescent="0.25">
      <c r="A167" s="109" t="s">
        <v>145</v>
      </c>
      <c r="B167" s="109"/>
      <c r="C167" s="109"/>
      <c r="D167" s="109"/>
      <c r="E167" s="109"/>
      <c r="F167" s="109"/>
      <c r="G167" s="109"/>
      <c r="H167" s="110"/>
      <c r="I167" s="111"/>
      <c r="J167" s="111"/>
      <c r="K167" s="111"/>
      <c r="L167" s="109"/>
      <c r="M167" s="109"/>
      <c r="N167" s="109"/>
      <c r="O167" s="109"/>
      <c r="P167" s="109"/>
      <c r="Q167" s="109"/>
      <c r="R167" s="109"/>
    </row>
    <row r="168" spans="1:18" ht="12.75" customHeight="1" x14ac:dyDescent="0.25">
      <c r="K168"/>
      <c r="M168" s="147"/>
      <c r="N168" s="147"/>
      <c r="O168" s="147"/>
      <c r="P168" s="147"/>
      <c r="Q168" s="147"/>
      <c r="R168" s="102"/>
    </row>
    <row r="169" spans="1:18" ht="12.75" customHeight="1" x14ac:dyDescent="0.25">
      <c r="B169" s="23" t="s">
        <v>146</v>
      </c>
      <c r="K169"/>
      <c r="M169" s="147"/>
      <c r="N169" s="147"/>
      <c r="O169" s="147"/>
      <c r="P169" s="147"/>
      <c r="Q169" s="147"/>
      <c r="R169" s="102"/>
    </row>
    <row r="170" spans="1:18" ht="12.75" customHeight="1" x14ac:dyDescent="0.25">
      <c r="B170" t="s">
        <v>147</v>
      </c>
      <c r="K170"/>
      <c r="M170" s="147"/>
      <c r="N170" s="147"/>
      <c r="O170" s="147"/>
      <c r="P170" s="147"/>
      <c r="Q170" s="147"/>
      <c r="R170" s="102"/>
    </row>
    <row r="171" spans="1:18" ht="12.75" customHeight="1" x14ac:dyDescent="0.25">
      <c r="B171" t="s">
        <v>148</v>
      </c>
      <c r="K171"/>
      <c r="M171" s="147"/>
      <c r="N171" s="147"/>
      <c r="O171" s="147"/>
      <c r="P171" s="147"/>
      <c r="Q171" s="147"/>
      <c r="R171" s="102"/>
    </row>
    <row r="172" spans="1:18" ht="12.75" customHeight="1" x14ac:dyDescent="0.25">
      <c r="K172"/>
      <c r="M172" s="147"/>
      <c r="N172" s="147"/>
      <c r="O172" s="147"/>
      <c r="P172" s="147"/>
      <c r="Q172" s="147"/>
      <c r="R172" s="102"/>
    </row>
    <row r="173" spans="1:18" ht="12.75" customHeight="1" x14ac:dyDescent="0.25">
      <c r="B173" s="23" t="s">
        <v>9</v>
      </c>
      <c r="K173"/>
      <c r="M173" s="147"/>
      <c r="N173" s="147"/>
      <c r="O173" s="147"/>
      <c r="P173" s="147"/>
      <c r="Q173" s="147"/>
      <c r="R173" s="102"/>
    </row>
    <row r="174" spans="1:18" ht="12.75" customHeight="1" x14ac:dyDescent="0.25">
      <c r="B174" t="s">
        <v>149</v>
      </c>
      <c r="K174"/>
      <c r="M174" s="147"/>
      <c r="N174" s="147"/>
      <c r="O174" s="147"/>
      <c r="P174" s="147"/>
      <c r="Q174" s="147"/>
      <c r="R174" s="102"/>
    </row>
    <row r="175" spans="1:18" ht="12.75" customHeight="1" x14ac:dyDescent="0.25">
      <c r="B175" t="s">
        <v>11</v>
      </c>
      <c r="K175"/>
      <c r="M175" s="147"/>
      <c r="N175" s="147"/>
      <c r="O175" s="147"/>
      <c r="P175" s="147"/>
      <c r="Q175" s="147"/>
      <c r="R175" s="102"/>
    </row>
    <row r="176" spans="1:18" ht="12.75" customHeight="1" x14ac:dyDescent="0.25">
      <c r="K176"/>
      <c r="M176" s="147"/>
      <c r="N176" s="147"/>
      <c r="O176" s="147"/>
      <c r="P176" s="147"/>
      <c r="Q176" s="147"/>
      <c r="R176" s="102"/>
    </row>
    <row r="177" spans="11:18" ht="12.75" customHeight="1" x14ac:dyDescent="0.25">
      <c r="K177"/>
      <c r="M177" s="147"/>
      <c r="N177" s="147"/>
      <c r="O177" s="147"/>
      <c r="P177" s="147"/>
      <c r="Q177" s="147"/>
      <c r="R177" s="102"/>
    </row>
    <row r="178" spans="11:18" ht="12.75" customHeight="1" x14ac:dyDescent="0.25">
      <c r="K178"/>
      <c r="M178" s="147"/>
      <c r="N178" s="147"/>
      <c r="O178" s="147"/>
      <c r="P178" s="147"/>
      <c r="Q178" s="147"/>
      <c r="R178" s="102"/>
    </row>
    <row r="179" spans="11:18" ht="12.75" customHeight="1" x14ac:dyDescent="0.25">
      <c r="K179"/>
      <c r="M179" s="147"/>
      <c r="N179" s="147"/>
      <c r="O179" s="147"/>
      <c r="P179" s="147"/>
      <c r="Q179" s="147"/>
      <c r="R179" s="102"/>
    </row>
    <row r="180" spans="11:18" ht="12.75" customHeight="1" x14ac:dyDescent="0.25">
      <c r="K180"/>
      <c r="M180" s="147"/>
      <c r="N180" s="147"/>
      <c r="O180" s="147"/>
      <c r="P180" s="147"/>
      <c r="Q180" s="147"/>
      <c r="R180" s="102"/>
    </row>
    <row r="181" spans="11:18" ht="12.75" customHeight="1" x14ac:dyDescent="0.25">
      <c r="K181"/>
      <c r="M181" s="147"/>
      <c r="N181" s="147"/>
      <c r="O181" s="147"/>
      <c r="P181" s="147"/>
      <c r="Q181" s="147"/>
      <c r="R181" s="102"/>
    </row>
    <row r="182" spans="11:18" ht="12.75" customHeight="1" x14ac:dyDescent="0.25">
      <c r="K182"/>
      <c r="M182" s="147"/>
      <c r="N182" s="147"/>
      <c r="O182" s="147"/>
      <c r="P182" s="147"/>
      <c r="Q182" s="147"/>
      <c r="R182" s="102"/>
    </row>
    <row r="183" spans="11:18" ht="12.75" customHeight="1" x14ac:dyDescent="0.25">
      <c r="K183"/>
      <c r="M183" s="147"/>
      <c r="N183" s="147"/>
      <c r="O183" s="147"/>
      <c r="P183" s="147"/>
      <c r="Q183" s="147"/>
      <c r="R183" s="102"/>
    </row>
    <row r="184" spans="11:18" ht="12.75" customHeight="1" x14ac:dyDescent="0.25">
      <c r="K184"/>
      <c r="M184" s="147"/>
      <c r="N184" s="147"/>
      <c r="O184" s="147"/>
      <c r="P184" s="147"/>
      <c r="Q184" s="147"/>
      <c r="R184" s="102"/>
    </row>
    <row r="185" spans="11:18" ht="12.75" customHeight="1" x14ac:dyDescent="0.25">
      <c r="K185"/>
      <c r="M185" s="147"/>
      <c r="N185" s="147"/>
      <c r="O185" s="147"/>
      <c r="P185" s="147"/>
      <c r="Q185" s="147"/>
      <c r="R185" s="102"/>
    </row>
    <row r="186" spans="11:18" ht="12.75" customHeight="1" x14ac:dyDescent="0.25">
      <c r="K186"/>
      <c r="M186" s="147"/>
      <c r="N186" s="147"/>
      <c r="O186" s="147"/>
      <c r="P186" s="147"/>
      <c r="Q186" s="147"/>
      <c r="R186" s="102"/>
    </row>
    <row r="187" spans="11:18" ht="12.75" customHeight="1" x14ac:dyDescent="0.25">
      <c r="K187"/>
      <c r="M187" s="147"/>
      <c r="N187" s="147"/>
      <c r="O187" s="147"/>
      <c r="P187" s="147"/>
      <c r="Q187" s="147"/>
      <c r="R187" s="102"/>
    </row>
    <row r="188" spans="11:18" ht="12.75" customHeight="1" x14ac:dyDescent="0.25">
      <c r="K188"/>
      <c r="M188" s="147"/>
      <c r="N188" s="147"/>
      <c r="O188" s="147"/>
      <c r="P188" s="147"/>
      <c r="Q188" s="147"/>
      <c r="R188" s="102"/>
    </row>
    <row r="189" spans="11:18" ht="12.75" customHeight="1" x14ac:dyDescent="0.25">
      <c r="K189"/>
      <c r="M189" s="147"/>
      <c r="N189" s="147"/>
      <c r="O189" s="147"/>
      <c r="P189" s="147"/>
      <c r="Q189" s="147"/>
      <c r="R189" s="102"/>
    </row>
    <row r="190" spans="11:18" ht="12.75" customHeight="1" x14ac:dyDescent="0.25">
      <c r="K190"/>
      <c r="M190" s="147"/>
      <c r="N190" s="147"/>
      <c r="O190" s="147"/>
      <c r="P190" s="147"/>
      <c r="Q190" s="147"/>
      <c r="R190" s="102"/>
    </row>
    <row r="191" spans="11:18" ht="12.75" customHeight="1" x14ac:dyDescent="0.25">
      <c r="K191"/>
      <c r="M191" s="147"/>
      <c r="N191" s="147"/>
      <c r="O191" s="147"/>
      <c r="P191" s="147"/>
      <c r="Q191" s="147"/>
      <c r="R191" s="102"/>
    </row>
    <row r="192" spans="11:18" ht="12.75" customHeight="1" x14ac:dyDescent="0.25">
      <c r="K192"/>
      <c r="M192" s="147"/>
      <c r="N192" s="147"/>
      <c r="O192" s="147"/>
      <c r="P192" s="147"/>
      <c r="Q192" s="147"/>
      <c r="R192" s="102"/>
    </row>
    <row r="193" spans="11:18" ht="12.75" customHeight="1" x14ac:dyDescent="0.25">
      <c r="K193"/>
      <c r="M193" s="147"/>
      <c r="N193" s="147"/>
      <c r="O193" s="147"/>
      <c r="P193" s="147"/>
      <c r="Q193" s="147"/>
      <c r="R193" s="102"/>
    </row>
    <row r="194" spans="11:18" ht="12.75" customHeight="1" x14ac:dyDescent="0.25">
      <c r="K194"/>
      <c r="M194" s="147"/>
      <c r="N194" s="147"/>
      <c r="O194" s="147"/>
      <c r="P194" s="147"/>
      <c r="Q194" s="147"/>
      <c r="R194" s="102"/>
    </row>
    <row r="195" spans="11:18" ht="12.75" customHeight="1" x14ac:dyDescent="0.25">
      <c r="K195"/>
      <c r="M195" s="147"/>
      <c r="N195" s="147"/>
      <c r="O195" s="147"/>
      <c r="P195" s="147"/>
      <c r="Q195" s="147"/>
      <c r="R195" s="102"/>
    </row>
    <row r="196" spans="11:18" ht="12.75" customHeight="1" x14ac:dyDescent="0.25">
      <c r="K196"/>
      <c r="M196" s="147"/>
      <c r="N196" s="147"/>
      <c r="O196" s="147"/>
      <c r="P196" s="147"/>
      <c r="Q196" s="147"/>
      <c r="R196" s="102"/>
    </row>
    <row r="197" spans="11:18" ht="12.75" customHeight="1" x14ac:dyDescent="0.25">
      <c r="K197"/>
      <c r="M197" s="147"/>
      <c r="N197" s="147"/>
      <c r="O197" s="147"/>
      <c r="P197" s="147"/>
      <c r="Q197" s="147"/>
      <c r="R197" s="102"/>
    </row>
    <row r="198" spans="11:18" ht="12.75" customHeight="1" x14ac:dyDescent="0.25">
      <c r="K198"/>
      <c r="M198" s="147"/>
      <c r="N198" s="147"/>
      <c r="O198" s="147"/>
      <c r="P198" s="147"/>
      <c r="Q198" s="147"/>
      <c r="R198" s="102"/>
    </row>
    <row r="199" spans="11:18" ht="12.75" customHeight="1" x14ac:dyDescent="0.25">
      <c r="K199"/>
      <c r="M199" s="147"/>
      <c r="N199" s="147"/>
      <c r="O199" s="147"/>
      <c r="P199" s="147"/>
      <c r="Q199" s="147"/>
      <c r="R199" s="102"/>
    </row>
    <row r="200" spans="11:18" ht="12.75" customHeight="1" x14ac:dyDescent="0.25">
      <c r="K200"/>
      <c r="M200" s="147"/>
      <c r="N200" s="147"/>
      <c r="O200" s="147"/>
      <c r="P200" s="147"/>
      <c r="Q200" s="147"/>
      <c r="R200" s="102"/>
    </row>
    <row r="201" spans="11:18" ht="12.75" customHeight="1" x14ac:dyDescent="0.25">
      <c r="K201"/>
      <c r="M201" s="147"/>
      <c r="N201" s="147"/>
      <c r="O201" s="147"/>
      <c r="P201" s="147"/>
      <c r="Q201" s="147"/>
      <c r="R201" s="102"/>
    </row>
    <row r="202" spans="11:18" ht="12.75" customHeight="1" x14ac:dyDescent="0.25">
      <c r="K202"/>
      <c r="M202" s="147"/>
      <c r="N202" s="147"/>
      <c r="O202" s="147"/>
      <c r="P202" s="147"/>
      <c r="Q202" s="147"/>
      <c r="R202" s="102"/>
    </row>
    <row r="203" spans="11:18" ht="12.75" customHeight="1" x14ac:dyDescent="0.25">
      <c r="K203"/>
      <c r="M203" s="147"/>
      <c r="N203" s="147"/>
      <c r="O203" s="147"/>
      <c r="P203" s="147"/>
      <c r="Q203" s="147"/>
      <c r="R203" s="102"/>
    </row>
    <row r="204" spans="11:18" ht="12.75" customHeight="1" x14ac:dyDescent="0.25">
      <c r="K204"/>
      <c r="M204" s="147"/>
      <c r="N204" s="147"/>
      <c r="O204" s="147"/>
      <c r="P204" s="147"/>
      <c r="Q204" s="147"/>
      <c r="R204" s="102"/>
    </row>
    <row r="205" spans="11:18" ht="12.75" customHeight="1" x14ac:dyDescent="0.25">
      <c r="K205"/>
      <c r="M205" s="147"/>
      <c r="N205" s="147"/>
      <c r="O205" s="147"/>
      <c r="P205" s="147"/>
      <c r="Q205" s="147"/>
      <c r="R205" s="102"/>
    </row>
    <row r="206" spans="11:18" ht="12.75" customHeight="1" x14ac:dyDescent="0.25">
      <c r="K206"/>
      <c r="M206" s="147"/>
      <c r="N206" s="147"/>
      <c r="O206" s="147"/>
      <c r="P206" s="147"/>
      <c r="Q206" s="147"/>
      <c r="R206" s="102"/>
    </row>
    <row r="207" spans="11:18" ht="12.75" customHeight="1" x14ac:dyDescent="0.25">
      <c r="K207"/>
      <c r="M207" s="147"/>
      <c r="N207" s="147"/>
      <c r="O207" s="147"/>
      <c r="P207" s="147"/>
      <c r="Q207" s="147"/>
      <c r="R207" s="102"/>
    </row>
    <row r="208" spans="11:18" ht="12.75" customHeight="1" x14ac:dyDescent="0.25">
      <c r="K208"/>
      <c r="M208" s="147"/>
      <c r="N208" s="147"/>
      <c r="O208" s="147"/>
      <c r="P208" s="147"/>
      <c r="Q208" s="147"/>
      <c r="R208" s="102"/>
    </row>
    <row r="209" spans="11:18" ht="12.75" customHeight="1" x14ac:dyDescent="0.25">
      <c r="K209"/>
      <c r="M209" s="147"/>
      <c r="N209" s="147"/>
      <c r="O209" s="147"/>
      <c r="P209" s="147"/>
      <c r="Q209" s="147"/>
      <c r="R209" s="102"/>
    </row>
    <row r="210" spans="11:18" ht="12.75" customHeight="1" x14ac:dyDescent="0.25">
      <c r="K210"/>
      <c r="M210" s="147"/>
      <c r="N210" s="147"/>
      <c r="O210" s="147"/>
      <c r="P210" s="147"/>
      <c r="Q210" s="147"/>
      <c r="R210" s="102"/>
    </row>
    <row r="211" spans="11:18" ht="12.75" customHeight="1" x14ac:dyDescent="0.25">
      <c r="K211"/>
      <c r="M211" s="147"/>
      <c r="N211" s="147"/>
      <c r="O211" s="147"/>
      <c r="P211" s="147"/>
      <c r="Q211" s="147"/>
      <c r="R211" s="102"/>
    </row>
    <row r="212" spans="11:18" ht="12.75" customHeight="1" x14ac:dyDescent="0.25">
      <c r="K212"/>
      <c r="M212" s="147"/>
      <c r="N212" s="147"/>
      <c r="O212" s="147"/>
      <c r="P212" s="147"/>
      <c r="Q212" s="147"/>
      <c r="R212" s="102"/>
    </row>
    <row r="213" spans="11:18" ht="12.75" customHeight="1" x14ac:dyDescent="0.25">
      <c r="K213"/>
      <c r="M213" s="147"/>
      <c r="N213" s="147"/>
      <c r="O213" s="147"/>
      <c r="P213" s="147"/>
      <c r="Q213" s="147"/>
      <c r="R213" s="102"/>
    </row>
    <row r="214" spans="11:18" ht="12.75" customHeight="1" x14ac:dyDescent="0.25">
      <c r="K214"/>
      <c r="M214" s="147"/>
      <c r="N214" s="147"/>
      <c r="O214" s="147"/>
      <c r="P214" s="147"/>
      <c r="Q214" s="147"/>
      <c r="R214" s="102"/>
    </row>
    <row r="215" spans="11:18" ht="12.75" customHeight="1" x14ac:dyDescent="0.25">
      <c r="K215"/>
      <c r="M215" s="147"/>
      <c r="N215" s="147"/>
      <c r="O215" s="147"/>
      <c r="P215" s="147"/>
      <c r="Q215" s="147"/>
      <c r="R215" s="102"/>
    </row>
    <row r="216" spans="11:18" ht="12.75" customHeight="1" x14ac:dyDescent="0.25">
      <c r="K216"/>
      <c r="M216" s="147"/>
      <c r="N216" s="147"/>
      <c r="O216" s="147"/>
      <c r="P216" s="147"/>
      <c r="Q216" s="147"/>
      <c r="R216" s="102"/>
    </row>
    <row r="217" spans="11:18" ht="12.75" customHeight="1" x14ac:dyDescent="0.25">
      <c r="K217"/>
      <c r="M217" s="147"/>
      <c r="N217" s="147"/>
      <c r="O217" s="147"/>
      <c r="P217" s="147"/>
      <c r="Q217" s="147"/>
      <c r="R217" s="102"/>
    </row>
    <row r="218" spans="11:18" ht="12.75" customHeight="1" x14ac:dyDescent="0.25">
      <c r="K218"/>
      <c r="M218" s="147"/>
      <c r="N218" s="147"/>
      <c r="O218" s="147"/>
      <c r="P218" s="147"/>
      <c r="Q218" s="147"/>
      <c r="R218" s="102"/>
    </row>
    <row r="219" spans="11:18" ht="12.75" customHeight="1" x14ac:dyDescent="0.25">
      <c r="K219"/>
      <c r="M219" s="147"/>
      <c r="N219" s="147"/>
      <c r="O219" s="147"/>
      <c r="P219" s="147"/>
      <c r="Q219" s="147"/>
      <c r="R219" s="102"/>
    </row>
    <row r="220" spans="11:18" ht="12.75" customHeight="1" x14ac:dyDescent="0.25">
      <c r="K220"/>
      <c r="M220" s="147"/>
      <c r="N220" s="147"/>
      <c r="O220" s="147"/>
      <c r="P220" s="147"/>
      <c r="Q220" s="147"/>
      <c r="R220" s="102"/>
    </row>
    <row r="221" spans="11:18" ht="12.75" customHeight="1" x14ac:dyDescent="0.25">
      <c r="K221"/>
      <c r="M221" s="147"/>
      <c r="N221" s="147"/>
      <c r="O221" s="147"/>
      <c r="P221" s="147"/>
      <c r="Q221" s="147"/>
      <c r="R221" s="102"/>
    </row>
    <row r="222" spans="11:18" ht="12.75" customHeight="1" x14ac:dyDescent="0.25">
      <c r="K222"/>
      <c r="M222" s="147"/>
      <c r="N222" s="147"/>
      <c r="O222" s="147"/>
      <c r="P222" s="147"/>
      <c r="Q222" s="147"/>
      <c r="R222" s="102"/>
    </row>
    <row r="223" spans="11:18" ht="12.75" customHeight="1" x14ac:dyDescent="0.25">
      <c r="K223"/>
      <c r="M223" s="147"/>
      <c r="N223" s="147"/>
      <c r="O223" s="147"/>
      <c r="P223" s="147"/>
      <c r="Q223" s="147"/>
      <c r="R223" s="102"/>
    </row>
    <row r="224" spans="11:18" ht="12.75" customHeight="1" x14ac:dyDescent="0.25">
      <c r="K224"/>
      <c r="M224" s="147"/>
      <c r="N224" s="147"/>
      <c r="O224" s="147"/>
      <c r="P224" s="147"/>
      <c r="Q224" s="147"/>
      <c r="R224" s="102"/>
    </row>
    <row r="225" spans="11:18" ht="12.75" customHeight="1" x14ac:dyDescent="0.25">
      <c r="K225"/>
      <c r="M225" s="147"/>
      <c r="N225" s="147"/>
      <c r="O225" s="147"/>
      <c r="P225" s="147"/>
      <c r="Q225" s="147"/>
      <c r="R225" s="102"/>
    </row>
    <row r="226" spans="11:18" ht="12.75" customHeight="1" x14ac:dyDescent="0.25">
      <c r="K226"/>
      <c r="M226" s="147"/>
      <c r="N226" s="147"/>
      <c r="O226" s="147"/>
      <c r="P226" s="147"/>
      <c r="Q226" s="147"/>
      <c r="R226" s="102"/>
    </row>
    <row r="227" spans="11:18" ht="12.75" customHeight="1" x14ac:dyDescent="0.25">
      <c r="K227"/>
      <c r="M227" s="147"/>
      <c r="N227" s="147"/>
      <c r="O227" s="147"/>
      <c r="P227" s="147"/>
      <c r="Q227" s="147"/>
      <c r="R227" s="102"/>
    </row>
    <row r="228" spans="11:18" ht="12.75" customHeight="1" x14ac:dyDescent="0.25">
      <c r="K228"/>
      <c r="M228" s="147"/>
      <c r="N228" s="147"/>
      <c r="O228" s="147"/>
      <c r="P228" s="147"/>
      <c r="Q228" s="147"/>
      <c r="R228" s="102"/>
    </row>
    <row r="229" spans="11:18" ht="12.75" customHeight="1" x14ac:dyDescent="0.25">
      <c r="K229"/>
      <c r="M229" s="147"/>
      <c r="N229" s="147"/>
      <c r="O229" s="147"/>
      <c r="P229" s="147"/>
      <c r="Q229" s="147"/>
      <c r="R229" s="102"/>
    </row>
    <row r="230" spans="11:18" ht="12.75" customHeight="1" x14ac:dyDescent="0.25">
      <c r="K230"/>
      <c r="M230" s="147"/>
      <c r="N230" s="147"/>
      <c r="O230" s="147"/>
      <c r="P230" s="147"/>
      <c r="Q230" s="147"/>
      <c r="R230" s="102"/>
    </row>
    <row r="231" spans="11:18" ht="12.75" customHeight="1" x14ac:dyDescent="0.25">
      <c r="K231"/>
      <c r="M231" s="147"/>
      <c r="N231" s="147"/>
      <c r="O231" s="147"/>
      <c r="P231" s="147"/>
      <c r="Q231" s="147"/>
      <c r="R231" s="102"/>
    </row>
    <row r="232" spans="11:18" ht="12.75" customHeight="1" x14ac:dyDescent="0.25">
      <c r="K232"/>
      <c r="M232" s="147"/>
      <c r="N232" s="147"/>
      <c r="O232" s="147"/>
      <c r="P232" s="147"/>
      <c r="Q232" s="147"/>
      <c r="R232" s="102"/>
    </row>
    <row r="233" spans="11:18" ht="12.75" customHeight="1" x14ac:dyDescent="0.25">
      <c r="K233"/>
      <c r="M233" s="147"/>
      <c r="N233" s="147"/>
      <c r="O233" s="147"/>
      <c r="P233" s="147"/>
      <c r="Q233" s="147"/>
      <c r="R233" s="102"/>
    </row>
    <row r="234" spans="11:18" ht="12.75" customHeight="1" x14ac:dyDescent="0.25">
      <c r="K234"/>
      <c r="M234" s="147"/>
      <c r="N234" s="147"/>
      <c r="O234" s="147"/>
      <c r="P234" s="147"/>
      <c r="Q234" s="147"/>
      <c r="R234" s="102"/>
    </row>
    <row r="235" spans="11:18" ht="12.75" customHeight="1" x14ac:dyDescent="0.25">
      <c r="K235"/>
      <c r="M235" s="147"/>
      <c r="N235" s="147"/>
      <c r="O235" s="147"/>
      <c r="P235" s="147"/>
      <c r="Q235" s="147"/>
      <c r="R235" s="102"/>
    </row>
    <row r="236" spans="11:18" ht="12.75" customHeight="1" x14ac:dyDescent="0.25">
      <c r="K236"/>
      <c r="M236" s="147"/>
      <c r="N236" s="147"/>
      <c r="O236" s="147"/>
      <c r="P236" s="147"/>
      <c r="Q236" s="147"/>
      <c r="R236" s="102"/>
    </row>
    <row r="237" spans="11:18" ht="12.75" customHeight="1" x14ac:dyDescent="0.25">
      <c r="K237"/>
      <c r="M237" s="147"/>
      <c r="N237" s="147"/>
      <c r="O237" s="147"/>
      <c r="P237" s="147"/>
      <c r="Q237" s="147"/>
      <c r="R237" s="102"/>
    </row>
    <row r="238" spans="11:18" ht="12.75" customHeight="1" x14ac:dyDescent="0.25">
      <c r="K238"/>
      <c r="M238" s="147"/>
      <c r="N238" s="147"/>
      <c r="O238" s="147"/>
      <c r="P238" s="147"/>
      <c r="Q238" s="147"/>
      <c r="R238" s="102"/>
    </row>
    <row r="239" spans="11:18" ht="12.75" customHeight="1" x14ac:dyDescent="0.25">
      <c r="K239"/>
      <c r="M239" s="147"/>
      <c r="N239" s="147"/>
      <c r="O239" s="147"/>
      <c r="P239" s="147"/>
      <c r="Q239" s="147"/>
      <c r="R239" s="102"/>
    </row>
    <row r="240" spans="11:18" ht="12.75" customHeight="1" x14ac:dyDescent="0.25">
      <c r="K240"/>
      <c r="M240" s="147"/>
      <c r="N240" s="147"/>
      <c r="O240" s="147"/>
      <c r="P240" s="147"/>
      <c r="Q240" s="147"/>
      <c r="R240" s="102"/>
    </row>
    <row r="241" spans="11:18" ht="12.75" customHeight="1" x14ac:dyDescent="0.25">
      <c r="K241"/>
      <c r="M241" s="147"/>
      <c r="N241" s="147"/>
      <c r="O241" s="147"/>
      <c r="P241" s="147"/>
      <c r="Q241" s="147"/>
      <c r="R241" s="102"/>
    </row>
    <row r="242" spans="11:18" ht="12.75" customHeight="1" x14ac:dyDescent="0.25">
      <c r="K242"/>
      <c r="M242" s="147"/>
      <c r="N242" s="147"/>
      <c r="O242" s="147"/>
      <c r="P242" s="147"/>
      <c r="Q242" s="147"/>
      <c r="R242" s="102"/>
    </row>
    <row r="243" spans="11:18" ht="12.75" customHeight="1" x14ac:dyDescent="0.25">
      <c r="K243"/>
      <c r="M243" s="147"/>
      <c r="N243" s="147"/>
      <c r="O243" s="147"/>
      <c r="P243" s="147"/>
      <c r="Q243" s="147"/>
      <c r="R243" s="102"/>
    </row>
    <row r="244" spans="11:18" ht="12.75" customHeight="1" x14ac:dyDescent="0.25">
      <c r="K244"/>
      <c r="M244" s="147"/>
      <c r="N244" s="147"/>
      <c r="O244" s="147"/>
      <c r="P244" s="147"/>
      <c r="Q244" s="147"/>
      <c r="R244" s="102"/>
    </row>
    <row r="245" spans="11:18" ht="12.75" customHeight="1" x14ac:dyDescent="0.25">
      <c r="K245"/>
      <c r="M245" s="147"/>
      <c r="N245" s="147"/>
      <c r="O245" s="147"/>
      <c r="P245" s="147"/>
      <c r="Q245" s="147"/>
      <c r="R245" s="102"/>
    </row>
    <row r="246" spans="11:18" ht="12.75" customHeight="1" x14ac:dyDescent="0.25">
      <c r="K246"/>
      <c r="M246" s="147"/>
      <c r="N246" s="147"/>
      <c r="O246" s="147"/>
      <c r="P246" s="147"/>
      <c r="Q246" s="147"/>
      <c r="R246" s="102"/>
    </row>
    <row r="247" spans="11:18" ht="12.75" customHeight="1" x14ac:dyDescent="0.25">
      <c r="K247"/>
      <c r="M247" s="147"/>
      <c r="N247" s="147"/>
      <c r="O247" s="147"/>
      <c r="P247" s="147"/>
      <c r="Q247" s="147"/>
      <c r="R247" s="102"/>
    </row>
    <row r="248" spans="11:18" ht="12.75" customHeight="1" x14ac:dyDescent="0.25">
      <c r="K248"/>
      <c r="M248" s="147"/>
      <c r="N248" s="147"/>
      <c r="O248" s="147"/>
      <c r="P248" s="147"/>
      <c r="Q248" s="147"/>
      <c r="R248" s="102"/>
    </row>
    <row r="249" spans="11:18" ht="12.75" customHeight="1" x14ac:dyDescent="0.25">
      <c r="K249"/>
      <c r="M249" s="147"/>
      <c r="N249" s="147"/>
      <c r="O249" s="147"/>
      <c r="P249" s="147"/>
      <c r="Q249" s="147"/>
      <c r="R249" s="102"/>
    </row>
    <row r="250" spans="11:18" ht="12.75" customHeight="1" x14ac:dyDescent="0.25">
      <c r="K250"/>
      <c r="M250" s="147"/>
      <c r="N250" s="147"/>
      <c r="O250" s="147"/>
      <c r="P250" s="147"/>
      <c r="Q250" s="147"/>
      <c r="R250" s="102"/>
    </row>
    <row r="251" spans="11:18" ht="12.75" customHeight="1" x14ac:dyDescent="0.25">
      <c r="K251"/>
      <c r="M251" s="147"/>
      <c r="N251" s="147"/>
      <c r="O251" s="147"/>
      <c r="P251" s="147"/>
      <c r="Q251" s="147"/>
      <c r="R251" s="102"/>
    </row>
    <row r="252" spans="11:18" ht="12.75" customHeight="1" x14ac:dyDescent="0.25">
      <c r="K252"/>
      <c r="M252" s="147"/>
      <c r="N252" s="147"/>
      <c r="O252" s="147"/>
      <c r="P252" s="147"/>
      <c r="Q252" s="147"/>
      <c r="R252" s="102"/>
    </row>
    <row r="253" spans="11:18" ht="12.75" customHeight="1" x14ac:dyDescent="0.25">
      <c r="K253"/>
      <c r="M253" s="147"/>
      <c r="N253" s="147"/>
      <c r="O253" s="147"/>
      <c r="P253" s="147"/>
      <c r="Q253" s="147"/>
      <c r="R253" s="102"/>
    </row>
    <row r="254" spans="11:18" ht="12.75" customHeight="1" x14ac:dyDescent="0.25">
      <c r="K254"/>
      <c r="M254" s="147"/>
      <c r="N254" s="147"/>
      <c r="O254" s="147"/>
      <c r="P254" s="147"/>
      <c r="Q254" s="147"/>
      <c r="R254" s="102"/>
    </row>
    <row r="255" spans="11:18" ht="12.75" customHeight="1" x14ac:dyDescent="0.25">
      <c r="K255"/>
      <c r="M255" s="147"/>
      <c r="N255" s="147"/>
      <c r="O255" s="147"/>
      <c r="P255" s="147"/>
      <c r="Q255" s="147"/>
      <c r="R255" s="102"/>
    </row>
    <row r="256" spans="11:18" ht="12.75" customHeight="1" x14ac:dyDescent="0.25">
      <c r="K256"/>
      <c r="M256" s="147"/>
      <c r="N256" s="147"/>
      <c r="O256" s="147"/>
      <c r="P256" s="147"/>
      <c r="Q256" s="147"/>
      <c r="R256" s="102"/>
    </row>
    <row r="257" spans="11:18" ht="12.75" customHeight="1" x14ac:dyDescent="0.25">
      <c r="K257"/>
      <c r="M257" s="147"/>
      <c r="N257" s="147"/>
      <c r="O257" s="147"/>
      <c r="P257" s="147"/>
      <c r="Q257" s="147"/>
      <c r="R257" s="102"/>
    </row>
    <row r="258" spans="11:18" ht="12.75" customHeight="1" x14ac:dyDescent="0.25">
      <c r="K258"/>
      <c r="M258" s="147"/>
      <c r="N258" s="147"/>
      <c r="O258" s="147"/>
      <c r="P258" s="147"/>
      <c r="Q258" s="147"/>
      <c r="R258" s="102"/>
    </row>
    <row r="259" spans="11:18" ht="12.75" customHeight="1" x14ac:dyDescent="0.25">
      <c r="K259"/>
      <c r="M259" s="147"/>
      <c r="N259" s="147"/>
      <c r="O259" s="147"/>
      <c r="P259" s="147"/>
      <c r="Q259" s="147"/>
      <c r="R259" s="102"/>
    </row>
    <row r="260" spans="11:18" ht="12.75" customHeight="1" x14ac:dyDescent="0.25">
      <c r="K260"/>
      <c r="M260" s="147"/>
      <c r="N260" s="147"/>
      <c r="O260" s="147"/>
      <c r="P260" s="147"/>
      <c r="Q260" s="147"/>
      <c r="R260" s="102"/>
    </row>
    <row r="261" spans="11:18" ht="12.75" customHeight="1" x14ac:dyDescent="0.25">
      <c r="K261"/>
      <c r="M261" s="147"/>
      <c r="N261" s="147"/>
      <c r="O261" s="147"/>
      <c r="P261" s="147"/>
      <c r="Q261" s="147"/>
      <c r="R261" s="102"/>
    </row>
    <row r="262" spans="11:18" ht="12.75" customHeight="1" x14ac:dyDescent="0.25">
      <c r="K262"/>
      <c r="M262" s="147"/>
      <c r="N262" s="147"/>
      <c r="O262" s="147"/>
      <c r="P262" s="147"/>
      <c r="Q262" s="147"/>
      <c r="R262" s="102"/>
    </row>
    <row r="263" spans="11:18" ht="12.75" customHeight="1" x14ac:dyDescent="0.25">
      <c r="K263"/>
      <c r="M263" s="147"/>
      <c r="N263" s="147"/>
      <c r="O263" s="147"/>
      <c r="P263" s="147"/>
      <c r="Q263" s="147"/>
      <c r="R263" s="102"/>
    </row>
    <row r="264" spans="11:18" ht="12.75" customHeight="1" x14ac:dyDescent="0.25">
      <c r="K264"/>
      <c r="M264" s="147"/>
      <c r="N264" s="147"/>
      <c r="O264" s="147"/>
      <c r="P264" s="147"/>
      <c r="Q264" s="147"/>
      <c r="R264" s="102"/>
    </row>
    <row r="265" spans="11:18" ht="12.75" customHeight="1" x14ac:dyDescent="0.25">
      <c r="K265"/>
      <c r="M265" s="147"/>
      <c r="N265" s="147"/>
      <c r="O265" s="147"/>
      <c r="P265" s="147"/>
      <c r="Q265" s="147"/>
      <c r="R265" s="102"/>
    </row>
    <row r="266" spans="11:18" ht="12.75" customHeight="1" x14ac:dyDescent="0.25">
      <c r="K266"/>
      <c r="M266" s="147"/>
      <c r="N266" s="147"/>
      <c r="O266" s="147"/>
      <c r="P266" s="147"/>
      <c r="Q266" s="147"/>
      <c r="R266" s="102"/>
    </row>
    <row r="267" spans="11:18" ht="12.75" customHeight="1" x14ac:dyDescent="0.25">
      <c r="K267"/>
      <c r="M267" s="147"/>
      <c r="N267" s="147"/>
      <c r="O267" s="147"/>
      <c r="P267" s="147"/>
      <c r="Q267" s="147"/>
      <c r="R267" s="102"/>
    </row>
    <row r="268" spans="11:18" ht="12.75" customHeight="1" x14ac:dyDescent="0.25">
      <c r="K268"/>
      <c r="M268" s="147"/>
      <c r="N268" s="147"/>
      <c r="O268" s="147"/>
      <c r="P268" s="147"/>
      <c r="Q268" s="147"/>
      <c r="R268" s="102"/>
    </row>
    <row r="269" spans="11:18" ht="12.75" customHeight="1" x14ac:dyDescent="0.25">
      <c r="K269"/>
      <c r="M269" s="147"/>
      <c r="N269" s="147"/>
      <c r="O269" s="147"/>
      <c r="P269" s="147"/>
      <c r="Q269" s="147"/>
      <c r="R269" s="102"/>
    </row>
    <row r="270" spans="11:18" ht="12.75" customHeight="1" x14ac:dyDescent="0.25">
      <c r="K270"/>
      <c r="M270" s="147"/>
      <c r="N270" s="147"/>
      <c r="O270" s="147"/>
      <c r="P270" s="147"/>
      <c r="Q270" s="147"/>
      <c r="R270" s="102"/>
    </row>
    <row r="271" spans="11:18" ht="12.75" customHeight="1" x14ac:dyDescent="0.25">
      <c r="K271"/>
      <c r="M271" s="147"/>
      <c r="N271" s="147"/>
      <c r="O271" s="147"/>
      <c r="P271" s="147"/>
      <c r="Q271" s="147"/>
      <c r="R271" s="102"/>
    </row>
    <row r="272" spans="11:18" ht="12.75" customHeight="1" x14ac:dyDescent="0.25">
      <c r="K272"/>
      <c r="M272" s="147"/>
      <c r="N272" s="147"/>
      <c r="O272" s="147"/>
      <c r="P272" s="147"/>
      <c r="Q272" s="147"/>
      <c r="R272" s="102"/>
    </row>
    <row r="273" spans="11:18" ht="12.75" customHeight="1" x14ac:dyDescent="0.25">
      <c r="K273"/>
      <c r="M273" s="147"/>
      <c r="N273" s="147"/>
      <c r="O273" s="147"/>
      <c r="P273" s="147"/>
      <c r="Q273" s="147"/>
      <c r="R273" s="102"/>
    </row>
    <row r="274" spans="11:18" ht="12.75" customHeight="1" x14ac:dyDescent="0.25">
      <c r="K274"/>
      <c r="M274" s="147"/>
      <c r="N274" s="147"/>
      <c r="O274" s="147"/>
      <c r="P274" s="147"/>
      <c r="Q274" s="147"/>
      <c r="R274" s="102"/>
    </row>
    <row r="275" spans="11:18" ht="12.75" customHeight="1" x14ac:dyDescent="0.25">
      <c r="K275"/>
      <c r="M275" s="147"/>
      <c r="N275" s="147"/>
      <c r="O275" s="147"/>
      <c r="P275" s="147"/>
      <c r="Q275" s="147"/>
      <c r="R275" s="102"/>
    </row>
    <row r="276" spans="11:18" ht="12.75" customHeight="1" x14ac:dyDescent="0.25">
      <c r="K276"/>
      <c r="M276" s="147"/>
      <c r="N276" s="147"/>
      <c r="O276" s="147"/>
      <c r="P276" s="147"/>
      <c r="Q276" s="147"/>
      <c r="R276" s="102"/>
    </row>
    <row r="277" spans="11:18" ht="12.75" customHeight="1" x14ac:dyDescent="0.25">
      <c r="K277"/>
      <c r="M277" s="147"/>
      <c r="N277" s="147"/>
      <c r="O277" s="147"/>
      <c r="P277" s="147"/>
      <c r="Q277" s="147"/>
      <c r="R277" s="102"/>
    </row>
    <row r="278" spans="11:18" ht="12.75" customHeight="1" x14ac:dyDescent="0.25">
      <c r="K278"/>
      <c r="M278" s="147"/>
      <c r="N278" s="147"/>
      <c r="O278" s="147"/>
      <c r="P278" s="147"/>
      <c r="Q278" s="147"/>
      <c r="R278" s="102"/>
    </row>
    <row r="279" spans="11:18" ht="12.75" customHeight="1" x14ac:dyDescent="0.25">
      <c r="K279"/>
      <c r="M279" s="147"/>
      <c r="N279" s="147"/>
      <c r="O279" s="147"/>
      <c r="P279" s="147"/>
      <c r="Q279" s="147"/>
      <c r="R279" s="102"/>
    </row>
    <row r="280" spans="11:18" ht="12.75" customHeight="1" x14ac:dyDescent="0.25">
      <c r="K280"/>
      <c r="M280" s="147"/>
      <c r="N280" s="147"/>
      <c r="O280" s="147"/>
      <c r="P280" s="147"/>
      <c r="Q280" s="147"/>
      <c r="R280" s="102"/>
    </row>
    <row r="281" spans="11:18" ht="12.75" customHeight="1" x14ac:dyDescent="0.25">
      <c r="K281"/>
      <c r="M281" s="147"/>
      <c r="N281" s="147"/>
      <c r="O281" s="147"/>
      <c r="P281" s="147"/>
      <c r="Q281" s="147"/>
      <c r="R281" s="102"/>
    </row>
    <row r="282" spans="11:18" ht="12.75" customHeight="1" x14ac:dyDescent="0.25">
      <c r="K282"/>
      <c r="M282" s="147"/>
      <c r="N282" s="147"/>
      <c r="O282" s="147"/>
      <c r="P282" s="147"/>
      <c r="Q282" s="147"/>
      <c r="R282" s="102"/>
    </row>
    <row r="283" spans="11:18" ht="12.75" customHeight="1" x14ac:dyDescent="0.25">
      <c r="K283"/>
      <c r="M283" s="147"/>
      <c r="N283" s="147"/>
      <c r="O283" s="147"/>
      <c r="P283" s="147"/>
      <c r="Q283" s="147"/>
      <c r="R283" s="102"/>
    </row>
    <row r="284" spans="11:18" ht="12.75" customHeight="1" x14ac:dyDescent="0.25">
      <c r="K284"/>
      <c r="M284" s="147"/>
      <c r="N284" s="147"/>
      <c r="O284" s="147"/>
      <c r="P284" s="147"/>
      <c r="Q284" s="147"/>
      <c r="R284" s="102"/>
    </row>
    <row r="285" spans="11:18" ht="12.75" customHeight="1" x14ac:dyDescent="0.25">
      <c r="K285"/>
      <c r="M285" s="147"/>
      <c r="N285" s="147"/>
      <c r="O285" s="147"/>
      <c r="P285" s="147"/>
      <c r="Q285" s="147"/>
      <c r="R285" s="102"/>
    </row>
    <row r="286" spans="11:18" ht="12.75" customHeight="1" x14ac:dyDescent="0.25">
      <c r="K286"/>
      <c r="M286" s="147"/>
      <c r="N286" s="147"/>
      <c r="O286" s="147"/>
      <c r="P286" s="147"/>
      <c r="Q286" s="147"/>
      <c r="R286" s="102"/>
    </row>
    <row r="287" spans="11:18" ht="12.75" customHeight="1" x14ac:dyDescent="0.25">
      <c r="K287"/>
      <c r="M287" s="147"/>
      <c r="N287" s="147"/>
      <c r="O287" s="147"/>
      <c r="P287" s="147"/>
      <c r="Q287" s="147"/>
      <c r="R287" s="102"/>
    </row>
    <row r="288" spans="11:18" ht="12.75" customHeight="1" x14ac:dyDescent="0.25">
      <c r="K288"/>
      <c r="M288" s="147"/>
      <c r="N288" s="147"/>
      <c r="O288" s="147"/>
      <c r="P288" s="147"/>
      <c r="Q288" s="147"/>
      <c r="R288" s="102"/>
    </row>
    <row r="289" spans="11:18" ht="12.75" customHeight="1" x14ac:dyDescent="0.25">
      <c r="K289"/>
      <c r="M289" s="147"/>
      <c r="N289" s="147"/>
      <c r="O289" s="147"/>
      <c r="P289" s="147"/>
      <c r="Q289" s="147"/>
      <c r="R289" s="102"/>
    </row>
    <row r="290" spans="11:18" ht="12.75" customHeight="1" x14ac:dyDescent="0.25">
      <c r="K290"/>
      <c r="M290" s="147"/>
      <c r="N290" s="147"/>
      <c r="O290" s="147"/>
      <c r="P290" s="147"/>
      <c r="Q290" s="147"/>
      <c r="R290" s="102"/>
    </row>
    <row r="291" spans="11:18" ht="12.75" customHeight="1" x14ac:dyDescent="0.25">
      <c r="K291"/>
      <c r="M291" s="147"/>
      <c r="N291" s="147"/>
      <c r="O291" s="147"/>
      <c r="P291" s="147"/>
      <c r="Q291" s="147"/>
      <c r="R291" s="102"/>
    </row>
    <row r="292" spans="11:18" ht="12.75" customHeight="1" x14ac:dyDescent="0.25">
      <c r="K292"/>
      <c r="M292" s="147"/>
      <c r="N292" s="147"/>
      <c r="O292" s="147"/>
      <c r="P292" s="147"/>
      <c r="Q292" s="147"/>
      <c r="R292" s="102"/>
    </row>
    <row r="293" spans="11:18" ht="12.75" customHeight="1" x14ac:dyDescent="0.25">
      <c r="K293"/>
      <c r="M293" s="147"/>
      <c r="N293" s="147"/>
      <c r="O293" s="147"/>
      <c r="P293" s="147"/>
      <c r="Q293" s="147"/>
      <c r="R293" s="102"/>
    </row>
    <row r="294" spans="11:18" ht="12.75" customHeight="1" x14ac:dyDescent="0.25">
      <c r="K294"/>
      <c r="M294" s="147"/>
      <c r="N294" s="147"/>
      <c r="O294" s="147"/>
      <c r="P294" s="147"/>
      <c r="Q294" s="147"/>
      <c r="R294" s="102"/>
    </row>
    <row r="295" spans="11:18" ht="12.75" customHeight="1" x14ac:dyDescent="0.25">
      <c r="K295"/>
      <c r="M295" s="147"/>
      <c r="N295" s="147"/>
      <c r="O295" s="147"/>
      <c r="P295" s="147"/>
      <c r="Q295" s="147"/>
      <c r="R295" s="102"/>
    </row>
    <row r="296" spans="11:18" ht="12.75" customHeight="1" x14ac:dyDescent="0.25">
      <c r="K296"/>
      <c r="M296" s="147"/>
      <c r="N296" s="147"/>
      <c r="O296" s="147"/>
      <c r="P296" s="147"/>
      <c r="Q296" s="147"/>
      <c r="R296" s="102"/>
    </row>
    <row r="297" spans="11:18" ht="12.75" customHeight="1" x14ac:dyDescent="0.25">
      <c r="K297"/>
      <c r="M297" s="147"/>
      <c r="N297" s="147"/>
      <c r="O297" s="147"/>
      <c r="P297" s="147"/>
      <c r="Q297" s="147"/>
      <c r="R297" s="102"/>
    </row>
    <row r="298" spans="11:18" ht="12.75" customHeight="1" x14ac:dyDescent="0.25">
      <c r="K298"/>
      <c r="M298" s="147"/>
      <c r="N298" s="147"/>
      <c r="O298" s="147"/>
      <c r="P298" s="147"/>
      <c r="Q298" s="147"/>
      <c r="R298" s="102"/>
    </row>
    <row r="299" spans="11:18" ht="12.75" customHeight="1" x14ac:dyDescent="0.25">
      <c r="K299"/>
      <c r="M299" s="147"/>
      <c r="N299" s="147"/>
      <c r="O299" s="147"/>
      <c r="P299" s="147"/>
      <c r="Q299" s="147"/>
      <c r="R299" s="102"/>
    </row>
    <row r="300" spans="11:18" ht="12.75" customHeight="1" x14ac:dyDescent="0.25">
      <c r="K300"/>
      <c r="M300" s="147"/>
      <c r="N300" s="147"/>
      <c r="O300" s="147"/>
      <c r="P300" s="147"/>
      <c r="Q300" s="147"/>
      <c r="R300" s="102"/>
    </row>
    <row r="301" spans="11:18" ht="12.75" customHeight="1" x14ac:dyDescent="0.25">
      <c r="K301"/>
      <c r="M301" s="147"/>
      <c r="N301" s="147"/>
      <c r="O301" s="147"/>
      <c r="P301" s="147"/>
      <c r="Q301" s="147"/>
      <c r="R301" s="102"/>
    </row>
    <row r="302" spans="11:18" ht="12.75" customHeight="1" x14ac:dyDescent="0.25">
      <c r="K302"/>
      <c r="M302" s="147"/>
      <c r="N302" s="147"/>
      <c r="O302" s="147"/>
      <c r="P302" s="147"/>
      <c r="Q302" s="147"/>
      <c r="R302" s="102"/>
    </row>
    <row r="303" spans="11:18" ht="12.75" customHeight="1" x14ac:dyDescent="0.25">
      <c r="K303"/>
      <c r="M303" s="147"/>
      <c r="N303" s="147"/>
      <c r="O303" s="147"/>
      <c r="P303" s="147"/>
      <c r="Q303" s="147"/>
      <c r="R303" s="102"/>
    </row>
    <row r="304" spans="11:18" ht="12.75" customHeight="1" x14ac:dyDescent="0.25">
      <c r="K304"/>
      <c r="M304" s="147"/>
      <c r="N304" s="147"/>
      <c r="O304" s="147"/>
      <c r="P304" s="147"/>
      <c r="Q304" s="147"/>
      <c r="R304" s="102"/>
    </row>
    <row r="305" spans="11:18" ht="12.75" customHeight="1" x14ac:dyDescent="0.25">
      <c r="K305"/>
      <c r="M305" s="147"/>
      <c r="N305" s="147"/>
      <c r="O305" s="147"/>
      <c r="P305" s="147"/>
      <c r="Q305" s="147"/>
      <c r="R305" s="102"/>
    </row>
    <row r="306" spans="11:18" ht="12.75" customHeight="1" x14ac:dyDescent="0.25">
      <c r="K306"/>
      <c r="M306" s="147"/>
      <c r="N306" s="147"/>
      <c r="O306" s="147"/>
      <c r="P306" s="147"/>
      <c r="Q306" s="147"/>
      <c r="R306" s="102"/>
    </row>
    <row r="307" spans="11:18" ht="12.75" customHeight="1" x14ac:dyDescent="0.25">
      <c r="K307"/>
      <c r="M307" s="147"/>
      <c r="N307" s="147"/>
      <c r="O307" s="147"/>
      <c r="P307" s="147"/>
      <c r="Q307" s="147"/>
      <c r="R307" s="102"/>
    </row>
    <row r="308" spans="11:18" ht="12.75" customHeight="1" x14ac:dyDescent="0.25">
      <c r="K308"/>
      <c r="M308" s="147"/>
      <c r="N308" s="147"/>
      <c r="O308" s="147"/>
      <c r="P308" s="147"/>
      <c r="Q308" s="147"/>
      <c r="R308" s="102"/>
    </row>
    <row r="309" spans="11:18" ht="12.75" customHeight="1" x14ac:dyDescent="0.25">
      <c r="K309"/>
      <c r="M309" s="147"/>
      <c r="N309" s="147"/>
      <c r="O309" s="147"/>
      <c r="P309" s="147"/>
      <c r="Q309" s="147"/>
      <c r="R309" s="102"/>
    </row>
    <row r="310" spans="11:18" ht="12.75" customHeight="1" x14ac:dyDescent="0.25">
      <c r="K310"/>
      <c r="M310" s="147"/>
      <c r="N310" s="147"/>
      <c r="O310" s="147"/>
      <c r="P310" s="147"/>
      <c r="Q310" s="147"/>
      <c r="R310" s="102"/>
    </row>
    <row r="311" spans="11:18" ht="12.75" customHeight="1" x14ac:dyDescent="0.25">
      <c r="K311"/>
      <c r="M311" s="147"/>
      <c r="N311" s="147"/>
      <c r="O311" s="147"/>
      <c r="P311" s="147"/>
      <c r="Q311" s="147"/>
      <c r="R311" s="102"/>
    </row>
    <row r="312" spans="11:18" ht="12.75" customHeight="1" x14ac:dyDescent="0.25">
      <c r="K312"/>
      <c r="M312" s="147"/>
      <c r="N312" s="147"/>
      <c r="O312" s="147"/>
      <c r="P312" s="147"/>
      <c r="Q312" s="147"/>
      <c r="R312" s="102"/>
    </row>
    <row r="313" spans="11:18" ht="12.75" customHeight="1" x14ac:dyDescent="0.25">
      <c r="K313"/>
      <c r="M313" s="147"/>
      <c r="N313" s="147"/>
      <c r="O313" s="147"/>
      <c r="P313" s="147"/>
      <c r="Q313" s="147"/>
      <c r="R313" s="102"/>
    </row>
    <row r="314" spans="11:18" ht="12.75" customHeight="1" x14ac:dyDescent="0.25">
      <c r="K314"/>
      <c r="M314" s="147"/>
      <c r="N314" s="147"/>
      <c r="O314" s="147"/>
      <c r="P314" s="147"/>
      <c r="Q314" s="147"/>
      <c r="R314" s="102"/>
    </row>
    <row r="315" spans="11:18" ht="12.75" customHeight="1" x14ac:dyDescent="0.25">
      <c r="K315"/>
      <c r="M315" s="147"/>
      <c r="N315" s="147"/>
      <c r="O315" s="147"/>
      <c r="P315" s="147"/>
      <c r="Q315" s="147"/>
      <c r="R315" s="102"/>
    </row>
    <row r="316" spans="11:18" ht="12.75" customHeight="1" x14ac:dyDescent="0.25">
      <c r="K316"/>
      <c r="M316" s="147"/>
      <c r="N316" s="147"/>
      <c r="O316" s="147"/>
      <c r="P316" s="147"/>
      <c r="Q316" s="147"/>
      <c r="R316" s="102"/>
    </row>
    <row r="317" spans="11:18" ht="12.75" customHeight="1" x14ac:dyDescent="0.25">
      <c r="K317"/>
      <c r="M317" s="147"/>
      <c r="N317" s="147"/>
      <c r="O317" s="147"/>
      <c r="P317" s="147"/>
      <c r="Q317" s="147"/>
      <c r="R317" s="102"/>
    </row>
    <row r="318" spans="11:18" ht="12.75" customHeight="1" x14ac:dyDescent="0.25">
      <c r="K318"/>
      <c r="M318" s="147"/>
      <c r="N318" s="147"/>
      <c r="O318" s="147"/>
      <c r="P318" s="147"/>
      <c r="Q318" s="147"/>
      <c r="R318" s="102"/>
    </row>
    <row r="319" spans="11:18" ht="12.75" customHeight="1" x14ac:dyDescent="0.25">
      <c r="K319"/>
      <c r="M319" s="147"/>
      <c r="N319" s="147"/>
      <c r="O319" s="147"/>
      <c r="P319" s="147"/>
      <c r="Q319" s="147"/>
      <c r="R319" s="102"/>
    </row>
    <row r="320" spans="11:18" ht="12.75" customHeight="1" x14ac:dyDescent="0.25">
      <c r="K320"/>
      <c r="M320" s="147"/>
      <c r="N320" s="147"/>
      <c r="O320" s="147"/>
      <c r="P320" s="147"/>
      <c r="Q320" s="147"/>
      <c r="R320" s="102"/>
    </row>
    <row r="321" spans="11:18" ht="12.75" customHeight="1" x14ac:dyDescent="0.25">
      <c r="K321"/>
      <c r="M321" s="147"/>
      <c r="N321" s="147"/>
      <c r="O321" s="147"/>
      <c r="P321" s="147"/>
      <c r="Q321" s="147"/>
      <c r="R321" s="102"/>
    </row>
    <row r="322" spans="11:18" ht="12.75" customHeight="1" x14ac:dyDescent="0.25">
      <c r="K322"/>
      <c r="M322" s="147"/>
      <c r="N322" s="147"/>
      <c r="O322" s="147"/>
      <c r="P322" s="147"/>
      <c r="Q322" s="147"/>
      <c r="R322" s="102"/>
    </row>
    <row r="323" spans="11:18" ht="12.75" customHeight="1" x14ac:dyDescent="0.25">
      <c r="K323"/>
      <c r="M323" s="147"/>
      <c r="N323" s="147"/>
      <c r="O323" s="147"/>
      <c r="P323" s="147"/>
      <c r="Q323" s="147"/>
      <c r="R323" s="102"/>
    </row>
    <row r="324" spans="11:18" ht="12.75" customHeight="1" x14ac:dyDescent="0.25">
      <c r="K324"/>
      <c r="M324" s="147"/>
      <c r="N324" s="147"/>
      <c r="O324" s="147"/>
      <c r="P324" s="147"/>
      <c r="Q324" s="147"/>
      <c r="R324" s="102"/>
    </row>
    <row r="325" spans="11:18" ht="12.75" customHeight="1" x14ac:dyDescent="0.25">
      <c r="K325"/>
      <c r="M325" s="147"/>
      <c r="N325" s="147"/>
      <c r="O325" s="147"/>
      <c r="P325" s="147"/>
      <c r="Q325" s="147"/>
      <c r="R325" s="102"/>
    </row>
    <row r="326" spans="11:18" ht="12.75" customHeight="1" x14ac:dyDescent="0.25">
      <c r="K326"/>
      <c r="M326" s="147"/>
      <c r="N326" s="147"/>
      <c r="O326" s="147"/>
      <c r="P326" s="147"/>
      <c r="Q326" s="147"/>
      <c r="R326" s="102"/>
    </row>
    <row r="327" spans="11:18" ht="12.75" customHeight="1" x14ac:dyDescent="0.25">
      <c r="K327"/>
      <c r="M327" s="147"/>
      <c r="N327" s="147"/>
      <c r="O327" s="147"/>
      <c r="P327" s="147"/>
      <c r="Q327" s="147"/>
      <c r="R327" s="102"/>
    </row>
    <row r="328" spans="11:18" ht="12.75" customHeight="1" x14ac:dyDescent="0.25">
      <c r="K328"/>
      <c r="M328" s="147"/>
      <c r="N328" s="147"/>
      <c r="O328" s="147"/>
      <c r="P328" s="147"/>
      <c r="Q328" s="147"/>
      <c r="R328" s="102"/>
    </row>
    <row r="329" spans="11:18" ht="12.75" customHeight="1" x14ac:dyDescent="0.25">
      <c r="K329"/>
      <c r="M329" s="147"/>
      <c r="N329" s="147"/>
      <c r="O329" s="147"/>
      <c r="P329" s="147"/>
      <c r="Q329" s="147"/>
      <c r="R329" s="102"/>
    </row>
    <row r="330" spans="11:18" ht="12.75" customHeight="1" x14ac:dyDescent="0.25">
      <c r="K330"/>
      <c r="M330" s="147"/>
      <c r="N330" s="147"/>
      <c r="O330" s="147"/>
      <c r="P330" s="147"/>
      <c r="Q330" s="147"/>
      <c r="R330" s="102"/>
    </row>
    <row r="331" spans="11:18" ht="12.75" customHeight="1" x14ac:dyDescent="0.25">
      <c r="K331"/>
      <c r="M331" s="147"/>
      <c r="N331" s="147"/>
      <c r="O331" s="147"/>
      <c r="P331" s="147"/>
      <c r="Q331" s="147"/>
      <c r="R331" s="102"/>
    </row>
    <row r="332" spans="11:18" ht="12.75" customHeight="1" x14ac:dyDescent="0.25">
      <c r="K332"/>
      <c r="M332" s="147"/>
      <c r="N332" s="147"/>
      <c r="O332" s="147"/>
      <c r="P332" s="147"/>
      <c r="Q332" s="147"/>
      <c r="R332" s="102"/>
    </row>
    <row r="333" spans="11:18" ht="12.75" customHeight="1" x14ac:dyDescent="0.25">
      <c r="K333"/>
      <c r="M333" s="147"/>
      <c r="N333" s="147"/>
      <c r="O333" s="147"/>
      <c r="P333" s="147"/>
      <c r="Q333" s="147"/>
      <c r="R333" s="102"/>
    </row>
    <row r="334" spans="11:18" ht="12.75" customHeight="1" x14ac:dyDescent="0.25">
      <c r="K334"/>
      <c r="M334" s="147"/>
      <c r="N334" s="147"/>
      <c r="O334" s="147"/>
      <c r="P334" s="147"/>
      <c r="Q334" s="147"/>
      <c r="R334" s="102"/>
    </row>
    <row r="335" spans="11:18" ht="12.75" customHeight="1" x14ac:dyDescent="0.25">
      <c r="K335"/>
      <c r="M335" s="147"/>
      <c r="N335" s="147"/>
      <c r="O335" s="147"/>
      <c r="P335" s="147"/>
      <c r="Q335" s="147"/>
      <c r="R335" s="102"/>
    </row>
    <row r="336" spans="11:18" ht="12.75" customHeight="1" x14ac:dyDescent="0.25">
      <c r="K336"/>
      <c r="M336" s="147"/>
      <c r="N336" s="147"/>
      <c r="O336" s="147"/>
      <c r="P336" s="147"/>
      <c r="Q336" s="147"/>
      <c r="R336" s="102"/>
    </row>
    <row r="337" spans="11:18" ht="12.75" customHeight="1" x14ac:dyDescent="0.25">
      <c r="K337"/>
      <c r="M337" s="147"/>
      <c r="N337" s="147"/>
      <c r="O337" s="147"/>
      <c r="P337" s="147"/>
      <c r="Q337" s="147"/>
      <c r="R337" s="102"/>
    </row>
    <row r="338" spans="11:18" ht="12.75" customHeight="1" x14ac:dyDescent="0.25">
      <c r="K338"/>
      <c r="M338" s="147"/>
      <c r="N338" s="147"/>
      <c r="O338" s="147"/>
      <c r="P338" s="147"/>
      <c r="Q338" s="147"/>
      <c r="R338" s="102"/>
    </row>
    <row r="339" spans="11:18" ht="12.75" customHeight="1" x14ac:dyDescent="0.25">
      <c r="K339"/>
      <c r="M339" s="147"/>
      <c r="N339" s="147"/>
      <c r="O339" s="147"/>
      <c r="P339" s="147"/>
      <c r="Q339" s="147"/>
      <c r="R339" s="102"/>
    </row>
    <row r="340" spans="11:18" ht="12.75" customHeight="1" x14ac:dyDescent="0.25">
      <c r="K340"/>
      <c r="M340" s="147"/>
      <c r="N340" s="147"/>
      <c r="O340" s="147"/>
      <c r="P340" s="147"/>
      <c r="Q340" s="147"/>
      <c r="R340" s="102"/>
    </row>
    <row r="341" spans="11:18" ht="12.75" customHeight="1" x14ac:dyDescent="0.25">
      <c r="K341"/>
      <c r="M341" s="147"/>
      <c r="N341" s="147"/>
      <c r="O341" s="147"/>
      <c r="P341" s="147"/>
      <c r="Q341" s="147"/>
      <c r="R341" s="102"/>
    </row>
    <row r="342" spans="11:18" ht="12.75" customHeight="1" x14ac:dyDescent="0.25">
      <c r="K342"/>
      <c r="M342" s="147"/>
      <c r="N342" s="147"/>
      <c r="O342" s="147"/>
      <c r="P342" s="147"/>
      <c r="Q342" s="147"/>
      <c r="R342" s="102"/>
    </row>
    <row r="343" spans="11:18" ht="12.75" customHeight="1" x14ac:dyDescent="0.25">
      <c r="K343"/>
      <c r="M343" s="147"/>
      <c r="N343" s="147"/>
      <c r="O343" s="147"/>
      <c r="P343" s="147"/>
      <c r="Q343" s="147"/>
      <c r="R343" s="102"/>
    </row>
    <row r="344" spans="11:18" ht="12.75" customHeight="1" x14ac:dyDescent="0.25">
      <c r="K344"/>
      <c r="M344" s="147"/>
      <c r="N344" s="147"/>
      <c r="O344" s="147"/>
      <c r="P344" s="147"/>
      <c r="Q344" s="147"/>
      <c r="R344" s="102"/>
    </row>
    <row r="345" spans="11:18" ht="12.75" customHeight="1" x14ac:dyDescent="0.25">
      <c r="K345"/>
      <c r="M345" s="147"/>
      <c r="N345" s="147"/>
      <c r="O345" s="147"/>
      <c r="P345" s="147"/>
      <c r="Q345" s="147"/>
      <c r="R345" s="102"/>
    </row>
    <row r="346" spans="11:18" ht="12.75" customHeight="1" x14ac:dyDescent="0.25">
      <c r="K346"/>
      <c r="M346" s="147"/>
      <c r="N346" s="147"/>
      <c r="O346" s="147"/>
      <c r="P346" s="147"/>
      <c r="Q346" s="147"/>
      <c r="R346" s="102"/>
    </row>
    <row r="347" spans="11:18" ht="12.75" customHeight="1" x14ac:dyDescent="0.25">
      <c r="K347"/>
      <c r="M347" s="147"/>
      <c r="N347" s="147"/>
      <c r="O347" s="147"/>
      <c r="P347" s="147"/>
      <c r="Q347" s="147"/>
      <c r="R347" s="102"/>
    </row>
    <row r="348" spans="11:18" ht="12.75" customHeight="1" x14ac:dyDescent="0.25">
      <c r="K348"/>
      <c r="M348" s="147"/>
      <c r="N348" s="147"/>
      <c r="O348" s="147"/>
      <c r="P348" s="147"/>
      <c r="Q348" s="147"/>
      <c r="R348" s="102"/>
    </row>
    <row r="349" spans="11:18" ht="12.75" customHeight="1" x14ac:dyDescent="0.25">
      <c r="K349"/>
      <c r="M349" s="147"/>
      <c r="N349" s="147"/>
      <c r="O349" s="147"/>
      <c r="P349" s="147"/>
      <c r="Q349" s="147"/>
      <c r="R349" s="102"/>
    </row>
    <row r="350" spans="11:18" ht="12.75" customHeight="1" x14ac:dyDescent="0.25">
      <c r="K350"/>
      <c r="M350" s="147"/>
      <c r="N350" s="147"/>
      <c r="O350" s="147"/>
      <c r="P350" s="147"/>
      <c r="Q350" s="147"/>
      <c r="R350" s="102"/>
    </row>
    <row r="351" spans="11:18" ht="12.75" customHeight="1" x14ac:dyDescent="0.25">
      <c r="K351"/>
      <c r="M351" s="147"/>
      <c r="N351" s="147"/>
      <c r="O351" s="147"/>
      <c r="P351" s="147"/>
      <c r="Q351" s="147"/>
      <c r="R351" s="102"/>
    </row>
    <row r="352" spans="11:18" ht="12.75" customHeight="1" x14ac:dyDescent="0.25">
      <c r="K352"/>
      <c r="M352" s="147"/>
      <c r="N352" s="147"/>
      <c r="O352" s="147"/>
      <c r="P352" s="147"/>
      <c r="Q352" s="147"/>
      <c r="R352" s="102"/>
    </row>
    <row r="353" spans="11:18" ht="12.75" customHeight="1" x14ac:dyDescent="0.25">
      <c r="K353"/>
      <c r="M353" s="147"/>
      <c r="N353" s="147"/>
      <c r="O353" s="147"/>
      <c r="P353" s="147"/>
      <c r="Q353" s="147"/>
      <c r="R353" s="102"/>
    </row>
    <row r="354" spans="11:18" ht="12.75" customHeight="1" x14ac:dyDescent="0.25">
      <c r="K354"/>
      <c r="M354" s="147"/>
      <c r="N354" s="147"/>
      <c r="O354" s="147"/>
      <c r="P354" s="147"/>
      <c r="Q354" s="147"/>
      <c r="R354" s="102"/>
    </row>
    <row r="355" spans="11:18" ht="12.75" customHeight="1" x14ac:dyDescent="0.25">
      <c r="K355"/>
      <c r="M355" s="147"/>
      <c r="N355" s="147"/>
      <c r="O355" s="147"/>
      <c r="P355" s="147"/>
      <c r="Q355" s="147"/>
      <c r="R355" s="102"/>
    </row>
    <row r="356" spans="11:18" ht="12.75" customHeight="1" x14ac:dyDescent="0.25">
      <c r="K356"/>
      <c r="M356" s="147"/>
      <c r="N356" s="147"/>
      <c r="O356" s="147"/>
      <c r="P356" s="147"/>
      <c r="Q356" s="147"/>
      <c r="R356" s="102"/>
    </row>
    <row r="357" spans="11:18" ht="12.75" customHeight="1" x14ac:dyDescent="0.25">
      <c r="K357"/>
      <c r="M357" s="147"/>
      <c r="N357" s="147"/>
      <c r="O357" s="147"/>
      <c r="P357" s="147"/>
      <c r="Q357" s="147"/>
      <c r="R357" s="102"/>
    </row>
    <row r="358" spans="11:18" ht="12.75" customHeight="1" x14ac:dyDescent="0.25">
      <c r="K358"/>
      <c r="M358" s="147"/>
      <c r="N358" s="147"/>
      <c r="O358" s="147"/>
      <c r="P358" s="147"/>
      <c r="Q358" s="147"/>
      <c r="R358" s="102"/>
    </row>
    <row r="359" spans="11:18" ht="12.75" customHeight="1" x14ac:dyDescent="0.25">
      <c r="K359"/>
      <c r="M359" s="147"/>
      <c r="N359" s="147"/>
      <c r="O359" s="147"/>
      <c r="P359" s="147"/>
      <c r="Q359" s="147"/>
      <c r="R359" s="102"/>
    </row>
    <row r="360" spans="11:18" ht="12.75" customHeight="1" x14ac:dyDescent="0.25">
      <c r="K360"/>
      <c r="M360" s="147"/>
      <c r="N360" s="147"/>
      <c r="O360" s="147"/>
      <c r="P360" s="147"/>
      <c r="Q360" s="147"/>
      <c r="R360" s="102"/>
    </row>
    <row r="361" spans="11:18" ht="12.75" customHeight="1" x14ac:dyDescent="0.25">
      <c r="K361"/>
      <c r="M361" s="147"/>
      <c r="N361" s="147"/>
      <c r="O361" s="147"/>
      <c r="P361" s="147"/>
      <c r="Q361" s="147"/>
      <c r="R361" s="102"/>
    </row>
    <row r="362" spans="11:18" ht="12.75" customHeight="1" x14ac:dyDescent="0.25">
      <c r="K362"/>
      <c r="M362" s="147"/>
      <c r="N362" s="147"/>
      <c r="O362" s="147"/>
      <c r="P362" s="147"/>
      <c r="Q362" s="147"/>
      <c r="R362" s="102"/>
    </row>
    <row r="363" spans="11:18" ht="12.75" customHeight="1" x14ac:dyDescent="0.25">
      <c r="K363"/>
      <c r="M363" s="147"/>
      <c r="N363" s="147"/>
      <c r="O363" s="147"/>
      <c r="P363" s="147"/>
      <c r="Q363" s="147"/>
      <c r="R363" s="102"/>
    </row>
    <row r="364" spans="11:18" ht="12.75" customHeight="1" x14ac:dyDescent="0.25">
      <c r="K364"/>
      <c r="M364" s="147"/>
      <c r="N364" s="147"/>
      <c r="O364" s="147"/>
      <c r="P364" s="147"/>
      <c r="Q364" s="147"/>
      <c r="R364" s="102"/>
    </row>
    <row r="365" spans="11:18" ht="12.75" customHeight="1" x14ac:dyDescent="0.25">
      <c r="K365"/>
      <c r="M365" s="147"/>
      <c r="N365" s="147"/>
      <c r="O365" s="147"/>
      <c r="P365" s="147"/>
      <c r="Q365" s="147"/>
      <c r="R365" s="102"/>
    </row>
    <row r="366" spans="11:18" ht="12.75" customHeight="1" x14ac:dyDescent="0.25">
      <c r="K366"/>
      <c r="M366" s="147"/>
      <c r="N366" s="147"/>
      <c r="O366" s="147"/>
      <c r="P366" s="147"/>
      <c r="Q366" s="147"/>
      <c r="R366" s="102"/>
    </row>
    <row r="367" spans="11:18" ht="12.75" customHeight="1" x14ac:dyDescent="0.25">
      <c r="K367"/>
      <c r="M367" s="147"/>
      <c r="N367" s="147"/>
      <c r="O367" s="147"/>
      <c r="P367" s="147"/>
      <c r="Q367" s="147"/>
      <c r="R367" s="102"/>
    </row>
    <row r="368" spans="11:18" ht="12.75" customHeight="1" x14ac:dyDescent="0.25">
      <c r="K368"/>
      <c r="M368" s="147"/>
      <c r="N368" s="147"/>
      <c r="O368" s="147"/>
      <c r="P368" s="147"/>
      <c r="Q368" s="147"/>
      <c r="R368" s="102"/>
    </row>
    <row r="369" spans="11:18" ht="12.75" customHeight="1" x14ac:dyDescent="0.25">
      <c r="K369"/>
      <c r="M369" s="147"/>
      <c r="N369" s="147"/>
      <c r="O369" s="147"/>
      <c r="P369" s="147"/>
      <c r="Q369" s="147"/>
      <c r="R369" s="102"/>
    </row>
    <row r="370" spans="11:18" ht="12.75" customHeight="1" x14ac:dyDescent="0.25">
      <c r="K370"/>
      <c r="M370" s="147"/>
      <c r="N370" s="147"/>
      <c r="O370" s="147"/>
      <c r="P370" s="147"/>
      <c r="Q370" s="147"/>
      <c r="R370" s="102"/>
    </row>
    <row r="371" spans="11:18" ht="12.75" customHeight="1" x14ac:dyDescent="0.25">
      <c r="K371"/>
      <c r="M371" s="147"/>
      <c r="N371" s="147"/>
      <c r="O371" s="147"/>
      <c r="P371" s="147"/>
      <c r="Q371" s="147"/>
      <c r="R371" s="102"/>
    </row>
    <row r="372" spans="11:18" ht="12.75" customHeight="1" x14ac:dyDescent="0.25">
      <c r="K372"/>
      <c r="M372" s="147"/>
      <c r="N372" s="147"/>
      <c r="O372" s="147"/>
      <c r="P372" s="147"/>
      <c r="Q372" s="147"/>
      <c r="R372" s="102"/>
    </row>
    <row r="373" spans="11:18" ht="12.75" customHeight="1" x14ac:dyDescent="0.25">
      <c r="K373"/>
      <c r="M373" s="147"/>
      <c r="N373" s="147"/>
      <c r="O373" s="147"/>
      <c r="P373" s="147"/>
      <c r="Q373" s="147"/>
      <c r="R373" s="102"/>
    </row>
    <row r="374" spans="11:18" ht="12.75" customHeight="1" x14ac:dyDescent="0.25">
      <c r="K374"/>
      <c r="M374" s="147"/>
      <c r="N374" s="147"/>
      <c r="O374" s="147"/>
      <c r="P374" s="147"/>
      <c r="Q374" s="147"/>
      <c r="R374" s="102"/>
    </row>
    <row r="375" spans="11:18" ht="12.75" customHeight="1" x14ac:dyDescent="0.25">
      <c r="K375"/>
      <c r="M375" s="147"/>
      <c r="N375" s="147"/>
      <c r="O375" s="147"/>
      <c r="P375" s="147"/>
      <c r="Q375" s="147"/>
      <c r="R375" s="102"/>
    </row>
    <row r="376" spans="11:18" ht="12.75" customHeight="1" x14ac:dyDescent="0.25">
      <c r="K376"/>
      <c r="M376" s="147"/>
      <c r="N376" s="147"/>
      <c r="O376" s="147"/>
      <c r="P376" s="147"/>
      <c r="Q376" s="147"/>
      <c r="R376" s="102"/>
    </row>
    <row r="377" spans="11:18" ht="12.75" customHeight="1" x14ac:dyDescent="0.25">
      <c r="K377"/>
      <c r="M377" s="147"/>
      <c r="N377" s="147"/>
      <c r="O377" s="147"/>
      <c r="P377" s="147"/>
      <c r="Q377" s="147"/>
      <c r="R377" s="102"/>
    </row>
    <row r="378" spans="11:18" ht="12.75" customHeight="1" x14ac:dyDescent="0.25">
      <c r="K378"/>
      <c r="M378" s="147"/>
      <c r="N378" s="147"/>
      <c r="O378" s="147"/>
      <c r="P378" s="147"/>
      <c r="Q378" s="147"/>
      <c r="R378" s="102"/>
    </row>
    <row r="379" spans="11:18" ht="12.75" customHeight="1" x14ac:dyDescent="0.25">
      <c r="K379"/>
      <c r="M379" s="147"/>
      <c r="N379" s="147"/>
      <c r="O379" s="147"/>
      <c r="P379" s="147"/>
      <c r="Q379" s="147"/>
      <c r="R379" s="102"/>
    </row>
    <row r="380" spans="11:18" ht="12.75" customHeight="1" x14ac:dyDescent="0.25">
      <c r="K380"/>
      <c r="M380" s="147"/>
      <c r="N380" s="147"/>
      <c r="O380" s="147"/>
      <c r="P380" s="147"/>
      <c r="Q380" s="147"/>
      <c r="R380" s="102"/>
    </row>
    <row r="381" spans="11:18" ht="12.75" customHeight="1" x14ac:dyDescent="0.25">
      <c r="K381"/>
      <c r="M381" s="147"/>
      <c r="N381" s="147"/>
      <c r="O381" s="147"/>
      <c r="P381" s="147"/>
      <c r="Q381" s="147"/>
      <c r="R381" s="102"/>
    </row>
    <row r="382" spans="11:18" ht="12.75" customHeight="1" x14ac:dyDescent="0.25">
      <c r="K382"/>
      <c r="M382" s="147"/>
      <c r="N382" s="147"/>
      <c r="O382" s="147"/>
      <c r="P382" s="147"/>
      <c r="Q382" s="147"/>
      <c r="R382" s="102"/>
    </row>
    <row r="383" spans="11:18" ht="12.75" customHeight="1" x14ac:dyDescent="0.25">
      <c r="K383"/>
      <c r="M383" s="147"/>
      <c r="N383" s="147"/>
      <c r="O383" s="147"/>
      <c r="P383" s="147"/>
      <c r="Q383" s="147"/>
      <c r="R383" s="102"/>
    </row>
    <row r="384" spans="11:18" ht="12.75" customHeight="1" x14ac:dyDescent="0.25">
      <c r="K384"/>
      <c r="M384" s="147"/>
      <c r="N384" s="147"/>
      <c r="O384" s="147"/>
      <c r="P384" s="147"/>
      <c r="Q384" s="147"/>
      <c r="R384" s="102"/>
    </row>
    <row r="385" spans="11:18" ht="12.75" customHeight="1" x14ac:dyDescent="0.25">
      <c r="K385"/>
      <c r="M385" s="147"/>
      <c r="N385" s="147"/>
      <c r="O385" s="147"/>
      <c r="P385" s="147"/>
      <c r="Q385" s="147"/>
      <c r="R385" s="102"/>
    </row>
    <row r="386" spans="11:18" ht="12.75" customHeight="1" x14ac:dyDescent="0.25">
      <c r="K386"/>
      <c r="M386" s="147"/>
      <c r="N386" s="147"/>
      <c r="O386" s="147"/>
      <c r="P386" s="147"/>
      <c r="Q386" s="147"/>
      <c r="R386" s="102"/>
    </row>
    <row r="387" spans="11:18" ht="12.75" customHeight="1" x14ac:dyDescent="0.25">
      <c r="K387"/>
      <c r="M387" s="147"/>
      <c r="N387" s="147"/>
      <c r="O387" s="147"/>
      <c r="P387" s="147"/>
      <c r="Q387" s="147"/>
      <c r="R387" s="102"/>
    </row>
    <row r="388" spans="11:18" ht="12.75" customHeight="1" x14ac:dyDescent="0.25">
      <c r="K388"/>
      <c r="M388" s="147"/>
      <c r="N388" s="147"/>
      <c r="O388" s="147"/>
      <c r="P388" s="147"/>
      <c r="Q388" s="147"/>
      <c r="R388" s="102"/>
    </row>
    <row r="389" spans="11:18" ht="12.75" customHeight="1" x14ac:dyDescent="0.25">
      <c r="K389"/>
      <c r="M389" s="147"/>
      <c r="N389" s="147"/>
      <c r="O389" s="147"/>
      <c r="P389" s="147"/>
      <c r="Q389" s="147"/>
      <c r="R389" s="102"/>
    </row>
    <row r="390" spans="11:18" ht="12.75" customHeight="1" x14ac:dyDescent="0.25">
      <c r="K390"/>
      <c r="M390" s="147"/>
      <c r="N390" s="147"/>
      <c r="O390" s="147"/>
      <c r="P390" s="147"/>
      <c r="Q390" s="147"/>
      <c r="R390" s="102"/>
    </row>
    <row r="391" spans="11:18" ht="12.75" customHeight="1" x14ac:dyDescent="0.25">
      <c r="K391"/>
      <c r="M391" s="147"/>
      <c r="N391" s="147"/>
      <c r="O391" s="147"/>
      <c r="P391" s="147"/>
      <c r="Q391" s="147"/>
      <c r="R391" s="102"/>
    </row>
    <row r="392" spans="11:18" ht="12.75" customHeight="1" x14ac:dyDescent="0.25">
      <c r="K392"/>
      <c r="M392" s="147"/>
      <c r="N392" s="147"/>
      <c r="O392" s="147"/>
      <c r="P392" s="147"/>
      <c r="Q392" s="147"/>
      <c r="R392" s="102"/>
    </row>
    <row r="393" spans="11:18" ht="12.75" customHeight="1" x14ac:dyDescent="0.25">
      <c r="K393"/>
      <c r="M393" s="147"/>
      <c r="N393" s="147"/>
      <c r="O393" s="147"/>
      <c r="P393" s="147"/>
      <c r="Q393" s="147"/>
      <c r="R393" s="102"/>
    </row>
    <row r="394" spans="11:18" ht="12.75" customHeight="1" x14ac:dyDescent="0.25">
      <c r="K394"/>
      <c r="M394" s="147"/>
      <c r="N394" s="147"/>
      <c r="O394" s="147"/>
      <c r="P394" s="147"/>
      <c r="Q394" s="147"/>
      <c r="R394" s="102"/>
    </row>
    <row r="395" spans="11:18" ht="12.75" customHeight="1" x14ac:dyDescent="0.25">
      <c r="K395"/>
      <c r="M395" s="147"/>
      <c r="N395" s="147"/>
      <c r="O395" s="147"/>
      <c r="P395" s="147"/>
      <c r="Q395" s="147"/>
      <c r="R395" s="102"/>
    </row>
    <row r="396" spans="11:18" ht="12.75" customHeight="1" x14ac:dyDescent="0.25">
      <c r="K396"/>
      <c r="M396" s="147"/>
      <c r="N396" s="147"/>
      <c r="O396" s="147"/>
      <c r="P396" s="147"/>
      <c r="Q396" s="147"/>
      <c r="R396" s="102"/>
    </row>
    <row r="397" spans="11:18" ht="12.75" customHeight="1" x14ac:dyDescent="0.25">
      <c r="K397"/>
      <c r="M397" s="147"/>
      <c r="N397" s="147"/>
      <c r="O397" s="147"/>
      <c r="P397" s="147"/>
      <c r="Q397" s="147"/>
      <c r="R397" s="102"/>
    </row>
    <row r="398" spans="11:18" ht="12.75" customHeight="1" x14ac:dyDescent="0.25">
      <c r="K398"/>
      <c r="M398" s="147"/>
      <c r="N398" s="147"/>
      <c r="O398" s="147"/>
      <c r="P398" s="147"/>
      <c r="Q398" s="147"/>
      <c r="R398" s="102"/>
    </row>
    <row r="399" spans="11:18" ht="12.75" customHeight="1" x14ac:dyDescent="0.25">
      <c r="K399"/>
      <c r="M399" s="147"/>
      <c r="N399" s="147"/>
      <c r="O399" s="147"/>
      <c r="P399" s="147"/>
      <c r="Q399" s="147"/>
      <c r="R399" s="102"/>
    </row>
    <row r="400" spans="11:18" ht="12.75" customHeight="1" x14ac:dyDescent="0.25">
      <c r="K400"/>
      <c r="M400" s="147"/>
      <c r="N400" s="147"/>
      <c r="O400" s="147"/>
      <c r="P400" s="147"/>
      <c r="Q400" s="147"/>
      <c r="R400" s="102"/>
    </row>
    <row r="401" spans="11:18" ht="12.75" customHeight="1" x14ac:dyDescent="0.25">
      <c r="K401"/>
      <c r="M401" s="147"/>
      <c r="N401" s="147"/>
      <c r="O401" s="147"/>
      <c r="P401" s="147"/>
      <c r="Q401" s="147"/>
      <c r="R401" s="102"/>
    </row>
    <row r="402" spans="11:18" ht="12.75" customHeight="1" x14ac:dyDescent="0.25">
      <c r="K402"/>
      <c r="M402" s="147"/>
      <c r="N402" s="147"/>
      <c r="O402" s="147"/>
      <c r="P402" s="147"/>
      <c r="Q402" s="147"/>
      <c r="R402" s="102"/>
    </row>
    <row r="403" spans="11:18" ht="12.75" customHeight="1" x14ac:dyDescent="0.25">
      <c r="K403"/>
      <c r="M403" s="147"/>
      <c r="N403" s="147"/>
      <c r="O403" s="147"/>
      <c r="P403" s="147"/>
      <c r="Q403" s="147"/>
      <c r="R403" s="102"/>
    </row>
    <row r="404" spans="11:18" ht="12.75" customHeight="1" x14ac:dyDescent="0.25">
      <c r="K404"/>
      <c r="M404" s="147"/>
      <c r="N404" s="147"/>
      <c r="O404" s="147"/>
      <c r="P404" s="147"/>
      <c r="Q404" s="147"/>
      <c r="R404" s="102"/>
    </row>
    <row r="405" spans="11:18" ht="12.75" customHeight="1" x14ac:dyDescent="0.25">
      <c r="K405"/>
      <c r="M405" s="147"/>
      <c r="N405" s="147"/>
      <c r="O405" s="147"/>
      <c r="P405" s="147"/>
      <c r="Q405" s="147"/>
      <c r="R405" s="102"/>
    </row>
    <row r="406" spans="11:18" ht="12.75" customHeight="1" x14ac:dyDescent="0.25">
      <c r="K406"/>
      <c r="M406" s="147"/>
      <c r="N406" s="147"/>
      <c r="O406" s="147"/>
      <c r="P406" s="147"/>
      <c r="Q406" s="147"/>
      <c r="R406" s="102"/>
    </row>
    <row r="407" spans="11:18" ht="12.75" customHeight="1" x14ac:dyDescent="0.25">
      <c r="K407"/>
      <c r="M407" s="147"/>
      <c r="N407" s="147"/>
      <c r="O407" s="147"/>
      <c r="P407" s="147"/>
      <c r="Q407" s="147"/>
      <c r="R407" s="102"/>
    </row>
    <row r="408" spans="11:18" ht="12.75" customHeight="1" x14ac:dyDescent="0.25">
      <c r="K408"/>
      <c r="M408" s="147"/>
      <c r="N408" s="147"/>
      <c r="O408" s="147"/>
      <c r="P408" s="147"/>
      <c r="Q408" s="147"/>
      <c r="R408" s="102"/>
    </row>
    <row r="409" spans="11:18" ht="12.75" customHeight="1" x14ac:dyDescent="0.25">
      <c r="K409"/>
      <c r="M409" s="147"/>
      <c r="N409" s="147"/>
      <c r="O409" s="147"/>
      <c r="P409" s="147"/>
      <c r="Q409" s="147"/>
      <c r="R409" s="102"/>
    </row>
    <row r="410" spans="11:18" ht="12.75" customHeight="1" x14ac:dyDescent="0.25">
      <c r="K410"/>
      <c r="M410" s="147"/>
      <c r="N410" s="147"/>
      <c r="O410" s="147"/>
      <c r="P410" s="147"/>
      <c r="Q410" s="147"/>
      <c r="R410" s="102"/>
    </row>
    <row r="411" spans="11:18" ht="12.75" customHeight="1" x14ac:dyDescent="0.25">
      <c r="K411"/>
      <c r="M411" s="147"/>
      <c r="N411" s="147"/>
      <c r="O411" s="147"/>
      <c r="P411" s="147"/>
      <c r="Q411" s="147"/>
      <c r="R411" s="102"/>
    </row>
    <row r="412" spans="11:18" ht="12.75" customHeight="1" x14ac:dyDescent="0.25">
      <c r="K412"/>
      <c r="M412" s="147"/>
      <c r="N412" s="147"/>
      <c r="O412" s="147"/>
      <c r="P412" s="147"/>
      <c r="Q412" s="147"/>
      <c r="R412" s="102"/>
    </row>
    <row r="413" spans="11:18" ht="12.75" customHeight="1" x14ac:dyDescent="0.25">
      <c r="K413"/>
      <c r="M413" s="147"/>
      <c r="N413" s="147"/>
      <c r="O413" s="147"/>
      <c r="P413" s="147"/>
      <c r="Q413" s="147"/>
      <c r="R413" s="102"/>
    </row>
    <row r="414" spans="11:18" ht="12.75" customHeight="1" x14ac:dyDescent="0.25">
      <c r="K414"/>
      <c r="M414" s="147"/>
      <c r="N414" s="147"/>
      <c r="O414" s="147"/>
      <c r="P414" s="147"/>
      <c r="Q414" s="147"/>
      <c r="R414" s="102"/>
    </row>
    <row r="415" spans="11:18" ht="12.75" customHeight="1" x14ac:dyDescent="0.25">
      <c r="K415"/>
      <c r="M415" s="147"/>
      <c r="N415" s="147"/>
      <c r="O415" s="147"/>
      <c r="P415" s="147"/>
      <c r="Q415" s="147"/>
      <c r="R415" s="102"/>
    </row>
    <row r="416" spans="11:18" ht="12.75" customHeight="1" x14ac:dyDescent="0.25">
      <c r="K416"/>
      <c r="M416" s="147"/>
      <c r="N416" s="147"/>
      <c r="O416" s="147"/>
      <c r="P416" s="147"/>
      <c r="Q416" s="147"/>
      <c r="R416" s="102"/>
    </row>
    <row r="417" spans="11:18" ht="12.75" customHeight="1" x14ac:dyDescent="0.25">
      <c r="K417"/>
      <c r="M417" s="147"/>
      <c r="N417" s="147"/>
      <c r="O417" s="147"/>
      <c r="P417" s="147"/>
      <c r="Q417" s="147"/>
      <c r="R417" s="102"/>
    </row>
    <row r="418" spans="11:18" ht="12.75" customHeight="1" x14ac:dyDescent="0.25">
      <c r="K418"/>
      <c r="M418" s="147"/>
      <c r="N418" s="147"/>
      <c r="O418" s="147"/>
      <c r="P418" s="147"/>
      <c r="Q418" s="147"/>
      <c r="R418" s="102"/>
    </row>
    <row r="419" spans="11:18" ht="12.75" customHeight="1" x14ac:dyDescent="0.25">
      <c r="K419"/>
      <c r="M419" s="147"/>
      <c r="N419" s="147"/>
      <c r="O419" s="147"/>
      <c r="P419" s="147"/>
      <c r="Q419" s="147"/>
      <c r="R419" s="102"/>
    </row>
    <row r="420" spans="11:18" ht="12.75" customHeight="1" x14ac:dyDescent="0.25">
      <c r="K420"/>
      <c r="M420" s="147"/>
      <c r="N420" s="147"/>
      <c r="O420" s="147"/>
      <c r="P420" s="147"/>
      <c r="Q420" s="147"/>
      <c r="R420" s="102"/>
    </row>
    <row r="421" spans="11:18" ht="12.75" customHeight="1" x14ac:dyDescent="0.25">
      <c r="K421"/>
      <c r="M421" s="147"/>
      <c r="N421" s="147"/>
      <c r="O421" s="147"/>
      <c r="P421" s="147"/>
      <c r="Q421" s="147"/>
      <c r="R421" s="102"/>
    </row>
    <row r="422" spans="11:18" ht="12.75" customHeight="1" x14ac:dyDescent="0.25">
      <c r="K422"/>
      <c r="M422" s="147"/>
      <c r="N422" s="147"/>
      <c r="O422" s="147"/>
      <c r="P422" s="147"/>
      <c r="Q422" s="147"/>
      <c r="R422" s="102"/>
    </row>
    <row r="423" spans="11:18" ht="12.75" customHeight="1" x14ac:dyDescent="0.25">
      <c r="K423"/>
      <c r="M423" s="147"/>
      <c r="N423" s="147"/>
      <c r="O423" s="147"/>
      <c r="P423" s="147"/>
      <c r="Q423" s="147"/>
      <c r="R423" s="102"/>
    </row>
    <row r="424" spans="11:18" ht="12.75" customHeight="1" x14ac:dyDescent="0.25">
      <c r="K424"/>
      <c r="M424" s="147"/>
      <c r="N424" s="147"/>
      <c r="O424" s="147"/>
      <c r="P424" s="147"/>
      <c r="Q424" s="147"/>
      <c r="R424" s="102"/>
    </row>
    <row r="425" spans="11:18" ht="12.75" customHeight="1" x14ac:dyDescent="0.25">
      <c r="K425"/>
      <c r="M425" s="147"/>
      <c r="N425" s="147"/>
      <c r="O425" s="147"/>
      <c r="P425" s="147"/>
      <c r="Q425" s="147"/>
      <c r="R425" s="102"/>
    </row>
    <row r="426" spans="11:18" ht="12.75" customHeight="1" x14ac:dyDescent="0.25">
      <c r="K426"/>
      <c r="M426" s="147"/>
      <c r="N426" s="147"/>
      <c r="O426" s="147"/>
      <c r="P426" s="147"/>
      <c r="Q426" s="147"/>
      <c r="R426" s="102"/>
    </row>
    <row r="427" spans="11:18" ht="12.75" customHeight="1" x14ac:dyDescent="0.25">
      <c r="K427"/>
      <c r="M427" s="147"/>
      <c r="N427" s="147"/>
      <c r="O427" s="147"/>
      <c r="P427" s="147"/>
      <c r="Q427" s="147"/>
      <c r="R427" s="102"/>
    </row>
    <row r="428" spans="11:18" ht="12.75" customHeight="1" x14ac:dyDescent="0.25">
      <c r="K428"/>
      <c r="M428" s="147"/>
      <c r="N428" s="147"/>
      <c r="O428" s="147"/>
      <c r="P428" s="147"/>
      <c r="Q428" s="147"/>
      <c r="R428" s="102"/>
    </row>
    <row r="429" spans="11:18" ht="12.75" customHeight="1" x14ac:dyDescent="0.25">
      <c r="K429"/>
      <c r="M429" s="147"/>
      <c r="N429" s="147"/>
      <c r="O429" s="147"/>
      <c r="P429" s="147"/>
      <c r="Q429" s="147"/>
      <c r="R429" s="102"/>
    </row>
    <row r="430" spans="11:18" ht="12.75" customHeight="1" x14ac:dyDescent="0.25">
      <c r="K430"/>
      <c r="M430" s="147"/>
      <c r="N430" s="147"/>
      <c r="O430" s="147"/>
      <c r="P430" s="147"/>
      <c r="Q430" s="147"/>
      <c r="R430" s="102"/>
    </row>
    <row r="431" spans="11:18" ht="12.75" customHeight="1" x14ac:dyDescent="0.25">
      <c r="K431"/>
      <c r="M431" s="147"/>
      <c r="N431" s="147"/>
      <c r="O431" s="147"/>
      <c r="P431" s="147"/>
      <c r="Q431" s="147"/>
      <c r="R431" s="102"/>
    </row>
    <row r="432" spans="11:18" ht="12.75" customHeight="1" x14ac:dyDescent="0.25">
      <c r="K432"/>
      <c r="M432" s="147"/>
      <c r="N432" s="147"/>
      <c r="O432" s="147"/>
      <c r="P432" s="147"/>
      <c r="Q432" s="147"/>
      <c r="R432" s="102"/>
    </row>
    <row r="433" spans="11:18" ht="12.75" customHeight="1" x14ac:dyDescent="0.25">
      <c r="K433"/>
      <c r="M433" s="147"/>
      <c r="N433" s="147"/>
      <c r="O433" s="147"/>
      <c r="P433" s="147"/>
      <c r="Q433" s="147"/>
      <c r="R433" s="102"/>
    </row>
    <row r="434" spans="11:18" ht="12.75" customHeight="1" x14ac:dyDescent="0.25">
      <c r="K434"/>
      <c r="M434" s="147"/>
      <c r="N434" s="147"/>
      <c r="O434" s="147"/>
      <c r="P434" s="147"/>
      <c r="Q434" s="147"/>
      <c r="R434" s="102"/>
    </row>
    <row r="435" spans="11:18" ht="12.75" customHeight="1" x14ac:dyDescent="0.25">
      <c r="K435"/>
      <c r="M435" s="147"/>
      <c r="N435" s="147"/>
      <c r="O435" s="147"/>
      <c r="P435" s="147"/>
      <c r="Q435" s="147"/>
      <c r="R435" s="102"/>
    </row>
    <row r="436" spans="11:18" ht="12.75" customHeight="1" x14ac:dyDescent="0.25">
      <c r="K436"/>
      <c r="M436" s="147"/>
      <c r="N436" s="147"/>
      <c r="O436" s="147"/>
      <c r="P436" s="147"/>
      <c r="Q436" s="147"/>
      <c r="R436" s="102"/>
    </row>
    <row r="437" spans="11:18" ht="12.75" customHeight="1" x14ac:dyDescent="0.25">
      <c r="K437"/>
      <c r="M437" s="147"/>
      <c r="N437" s="147"/>
      <c r="O437" s="147"/>
      <c r="P437" s="147"/>
      <c r="Q437" s="147"/>
      <c r="R437" s="102"/>
    </row>
    <row r="438" spans="11:18" ht="12.75" customHeight="1" x14ac:dyDescent="0.25">
      <c r="K438"/>
      <c r="M438" s="147"/>
      <c r="N438" s="147"/>
      <c r="O438" s="147"/>
      <c r="P438" s="147"/>
      <c r="Q438" s="147"/>
      <c r="R438" s="102"/>
    </row>
    <row r="439" spans="11:18" ht="12.75" customHeight="1" x14ac:dyDescent="0.25">
      <c r="K439"/>
      <c r="M439" s="147"/>
      <c r="N439" s="147"/>
      <c r="O439" s="147"/>
      <c r="P439" s="147"/>
      <c r="Q439" s="147"/>
      <c r="R439" s="102"/>
    </row>
    <row r="440" spans="11:18" ht="12.75" customHeight="1" x14ac:dyDescent="0.25">
      <c r="K440"/>
      <c r="M440" s="147"/>
      <c r="N440" s="147"/>
      <c r="O440" s="147"/>
      <c r="P440" s="147"/>
      <c r="Q440" s="147"/>
      <c r="R440" s="102"/>
    </row>
    <row r="441" spans="11:18" ht="12.75" customHeight="1" x14ac:dyDescent="0.25">
      <c r="K441"/>
      <c r="M441" s="147"/>
      <c r="N441" s="147"/>
      <c r="O441" s="147"/>
      <c r="P441" s="147"/>
      <c r="Q441" s="147"/>
      <c r="R441" s="102"/>
    </row>
    <row r="442" spans="11:18" ht="12.75" customHeight="1" x14ac:dyDescent="0.25">
      <c r="K442"/>
      <c r="M442" s="147"/>
      <c r="N442" s="147"/>
      <c r="O442" s="147"/>
      <c r="P442" s="147"/>
      <c r="Q442" s="147"/>
      <c r="R442" s="102"/>
    </row>
    <row r="443" spans="11:18" ht="12.75" customHeight="1" x14ac:dyDescent="0.25">
      <c r="K443"/>
      <c r="M443" s="147"/>
      <c r="N443" s="147"/>
      <c r="O443" s="147"/>
      <c r="P443" s="147"/>
      <c r="Q443" s="147"/>
      <c r="R443" s="102"/>
    </row>
    <row r="444" spans="11:18" ht="12.75" customHeight="1" x14ac:dyDescent="0.25">
      <c r="K444"/>
      <c r="M444" s="147"/>
      <c r="N444" s="147"/>
      <c r="O444" s="147"/>
      <c r="P444" s="147"/>
      <c r="Q444" s="147"/>
      <c r="R444" s="102"/>
    </row>
    <row r="445" spans="11:18" ht="12.75" customHeight="1" x14ac:dyDescent="0.25">
      <c r="K445"/>
      <c r="M445" s="147"/>
      <c r="N445" s="147"/>
      <c r="O445" s="147"/>
      <c r="P445" s="147"/>
      <c r="Q445" s="147"/>
      <c r="R445" s="102"/>
    </row>
    <row r="446" spans="11:18" ht="12.75" customHeight="1" x14ac:dyDescent="0.25">
      <c r="K446"/>
      <c r="M446" s="147"/>
      <c r="N446" s="147"/>
      <c r="O446" s="147"/>
      <c r="P446" s="147"/>
      <c r="Q446" s="147"/>
      <c r="R446" s="102"/>
    </row>
    <row r="447" spans="11:18" ht="12.75" customHeight="1" x14ac:dyDescent="0.25">
      <c r="K447"/>
      <c r="M447" s="147"/>
      <c r="N447" s="147"/>
      <c r="O447" s="147"/>
      <c r="P447" s="147"/>
      <c r="Q447" s="147"/>
      <c r="R447" s="102"/>
    </row>
    <row r="448" spans="11:18" ht="12.75" customHeight="1" x14ac:dyDescent="0.25">
      <c r="K448"/>
      <c r="M448" s="147"/>
      <c r="N448" s="147"/>
      <c r="O448" s="147"/>
      <c r="P448" s="147"/>
      <c r="Q448" s="147"/>
      <c r="R448" s="102"/>
    </row>
    <row r="449" spans="11:18" ht="12.75" customHeight="1" x14ac:dyDescent="0.25">
      <c r="K449"/>
      <c r="M449" s="147"/>
      <c r="N449" s="147"/>
      <c r="O449" s="147"/>
      <c r="P449" s="147"/>
      <c r="Q449" s="147"/>
      <c r="R449" s="102"/>
    </row>
    <row r="450" spans="11:18" ht="12.75" customHeight="1" x14ac:dyDescent="0.25">
      <c r="K450"/>
      <c r="M450" s="147"/>
      <c r="N450" s="147"/>
      <c r="O450" s="147"/>
      <c r="P450" s="147"/>
      <c r="Q450" s="147"/>
      <c r="R450" s="102"/>
    </row>
    <row r="451" spans="11:18" ht="12.75" customHeight="1" x14ac:dyDescent="0.25">
      <c r="K451"/>
      <c r="M451" s="147"/>
      <c r="N451" s="147"/>
      <c r="O451" s="147"/>
      <c r="P451" s="147"/>
      <c r="Q451" s="147"/>
      <c r="R451" s="102"/>
    </row>
    <row r="452" spans="11:18" ht="12.75" customHeight="1" x14ac:dyDescent="0.25">
      <c r="K452"/>
      <c r="M452" s="147"/>
      <c r="N452" s="147"/>
      <c r="O452" s="147"/>
      <c r="P452" s="147"/>
      <c r="Q452" s="147"/>
      <c r="R452" s="102"/>
    </row>
    <row r="453" spans="11:18" ht="12.75" customHeight="1" x14ac:dyDescent="0.25">
      <c r="K453"/>
      <c r="M453" s="147"/>
      <c r="N453" s="147"/>
      <c r="O453" s="147"/>
      <c r="P453" s="147"/>
      <c r="Q453" s="147"/>
      <c r="R453" s="102"/>
    </row>
    <row r="454" spans="11:18" ht="12.75" customHeight="1" x14ac:dyDescent="0.25">
      <c r="K454"/>
      <c r="M454" s="147"/>
      <c r="N454" s="147"/>
      <c r="O454" s="147"/>
      <c r="P454" s="147"/>
      <c r="Q454" s="147"/>
      <c r="R454" s="102"/>
    </row>
    <row r="455" spans="11:18" ht="12.75" customHeight="1" x14ac:dyDescent="0.25">
      <c r="K455"/>
      <c r="M455" s="147"/>
      <c r="N455" s="147"/>
      <c r="O455" s="147"/>
      <c r="P455" s="147"/>
      <c r="Q455" s="147"/>
      <c r="R455" s="102"/>
    </row>
    <row r="456" spans="11:18" ht="12.75" customHeight="1" x14ac:dyDescent="0.25">
      <c r="K456"/>
      <c r="M456" s="147"/>
      <c r="N456" s="147"/>
      <c r="O456" s="147"/>
      <c r="P456" s="147"/>
      <c r="Q456" s="147"/>
      <c r="R456" s="102"/>
    </row>
    <row r="457" spans="11:18" ht="12.75" customHeight="1" x14ac:dyDescent="0.25">
      <c r="K457"/>
      <c r="M457" s="147"/>
      <c r="N457" s="147"/>
      <c r="O457" s="147"/>
      <c r="P457" s="147"/>
      <c r="Q457" s="147"/>
      <c r="R457" s="102"/>
    </row>
    <row r="458" spans="11:18" ht="12.75" customHeight="1" x14ac:dyDescent="0.25">
      <c r="K458"/>
      <c r="M458" s="147"/>
      <c r="N458" s="147"/>
      <c r="O458" s="147"/>
      <c r="P458" s="147"/>
      <c r="Q458" s="147"/>
      <c r="R458" s="102"/>
    </row>
    <row r="459" spans="11:18" ht="12.75" customHeight="1" x14ac:dyDescent="0.25">
      <c r="K459"/>
      <c r="M459" s="147"/>
      <c r="N459" s="147"/>
      <c r="O459" s="147"/>
      <c r="P459" s="147"/>
      <c r="Q459" s="147"/>
      <c r="R459" s="102"/>
    </row>
    <row r="460" spans="11:18" ht="12.75" customHeight="1" x14ac:dyDescent="0.25">
      <c r="K460"/>
      <c r="M460" s="147"/>
      <c r="N460" s="147"/>
      <c r="O460" s="147"/>
      <c r="P460" s="147"/>
      <c r="Q460" s="147"/>
      <c r="R460" s="102"/>
    </row>
    <row r="461" spans="11:18" ht="12.75" customHeight="1" x14ac:dyDescent="0.25">
      <c r="K461"/>
      <c r="M461" s="147"/>
      <c r="N461" s="147"/>
      <c r="O461" s="147"/>
      <c r="P461" s="147"/>
      <c r="Q461" s="147"/>
      <c r="R461" s="102"/>
    </row>
    <row r="462" spans="11:18" ht="12.75" customHeight="1" x14ac:dyDescent="0.25">
      <c r="K462"/>
      <c r="M462" s="147"/>
      <c r="N462" s="147"/>
      <c r="O462" s="147"/>
      <c r="P462" s="147"/>
      <c r="Q462" s="147"/>
      <c r="R462" s="102"/>
    </row>
    <row r="463" spans="11:18" ht="12.75" customHeight="1" x14ac:dyDescent="0.25">
      <c r="K463"/>
      <c r="M463" s="147"/>
      <c r="N463" s="147"/>
      <c r="O463" s="147"/>
      <c r="P463" s="147"/>
      <c r="Q463" s="147"/>
      <c r="R463" s="102"/>
    </row>
    <row r="464" spans="11:18" ht="12.75" customHeight="1" x14ac:dyDescent="0.25">
      <c r="K464"/>
      <c r="M464" s="147"/>
      <c r="N464" s="147"/>
      <c r="O464" s="147"/>
      <c r="P464" s="147"/>
      <c r="Q464" s="147"/>
      <c r="R464" s="102"/>
    </row>
    <row r="465" spans="11:18" ht="12.75" customHeight="1" x14ac:dyDescent="0.25">
      <c r="K465"/>
      <c r="M465" s="147"/>
      <c r="N465" s="147"/>
      <c r="O465" s="147"/>
      <c r="P465" s="147"/>
      <c r="Q465" s="147"/>
      <c r="R465" s="102"/>
    </row>
    <row r="466" spans="11:18" ht="12.75" customHeight="1" x14ac:dyDescent="0.25">
      <c r="K466"/>
      <c r="M466" s="147"/>
      <c r="N466" s="147"/>
      <c r="O466" s="147"/>
      <c r="P466" s="147"/>
      <c r="Q466" s="147"/>
      <c r="R466" s="102"/>
    </row>
    <row r="467" spans="11:18" ht="12.75" customHeight="1" x14ac:dyDescent="0.25">
      <c r="K467"/>
      <c r="M467" s="147"/>
      <c r="N467" s="147"/>
      <c r="O467" s="147"/>
      <c r="P467" s="147"/>
      <c r="Q467" s="147"/>
      <c r="R467" s="102"/>
    </row>
    <row r="468" spans="11:18" ht="12.75" customHeight="1" x14ac:dyDescent="0.25">
      <c r="K468"/>
      <c r="M468" s="147"/>
      <c r="N468" s="147"/>
      <c r="O468" s="147"/>
      <c r="P468" s="147"/>
      <c r="Q468" s="147"/>
      <c r="R468" s="102"/>
    </row>
    <row r="469" spans="11:18" ht="12.75" customHeight="1" x14ac:dyDescent="0.25">
      <c r="K469"/>
      <c r="M469" s="147"/>
      <c r="N469" s="147"/>
      <c r="O469" s="147"/>
      <c r="P469" s="147"/>
      <c r="Q469" s="147"/>
      <c r="R469" s="102"/>
    </row>
    <row r="470" spans="11:18" ht="12.75" customHeight="1" x14ac:dyDescent="0.25">
      <c r="K470"/>
      <c r="M470" s="147"/>
      <c r="N470" s="147"/>
      <c r="O470" s="147"/>
      <c r="P470" s="147"/>
      <c r="Q470" s="147"/>
      <c r="R470" s="102"/>
    </row>
    <row r="471" spans="11:18" ht="12.75" customHeight="1" x14ac:dyDescent="0.25">
      <c r="K471"/>
      <c r="M471" s="147"/>
      <c r="N471" s="147"/>
      <c r="O471" s="147"/>
      <c r="P471" s="147"/>
      <c r="Q471" s="147"/>
      <c r="R471" s="102"/>
    </row>
    <row r="472" spans="11:18" ht="12.75" customHeight="1" x14ac:dyDescent="0.25">
      <c r="K472"/>
      <c r="M472" s="147"/>
      <c r="N472" s="147"/>
      <c r="O472" s="147"/>
      <c r="P472" s="147"/>
      <c r="Q472" s="147"/>
      <c r="R472" s="102"/>
    </row>
    <row r="473" spans="11:18" ht="12.75" customHeight="1" x14ac:dyDescent="0.25">
      <c r="K473"/>
      <c r="M473" s="147"/>
      <c r="N473" s="147"/>
      <c r="O473" s="147"/>
      <c r="P473" s="147"/>
      <c r="Q473" s="147"/>
      <c r="R473" s="102"/>
    </row>
    <row r="474" spans="11:18" ht="12.75" customHeight="1" x14ac:dyDescent="0.25">
      <c r="K474"/>
      <c r="M474" s="147"/>
      <c r="N474" s="147"/>
      <c r="O474" s="147"/>
      <c r="P474" s="147"/>
      <c r="Q474" s="147"/>
      <c r="R474" s="102"/>
    </row>
    <row r="475" spans="11:18" ht="12.75" customHeight="1" x14ac:dyDescent="0.25">
      <c r="K475"/>
      <c r="M475" s="147"/>
      <c r="N475" s="147"/>
      <c r="O475" s="147"/>
      <c r="P475" s="147"/>
      <c r="Q475" s="147"/>
      <c r="R475" s="102"/>
    </row>
    <row r="476" spans="11:18" ht="12.75" customHeight="1" x14ac:dyDescent="0.25">
      <c r="K476"/>
      <c r="M476" s="147"/>
      <c r="N476" s="147"/>
      <c r="O476" s="147"/>
      <c r="P476" s="147"/>
      <c r="Q476" s="147"/>
      <c r="R476" s="102"/>
    </row>
    <row r="477" spans="11:18" ht="12.75" customHeight="1" x14ac:dyDescent="0.25">
      <c r="K477"/>
      <c r="M477" s="147"/>
      <c r="N477" s="147"/>
      <c r="O477" s="147"/>
      <c r="P477" s="147"/>
      <c r="Q477" s="147"/>
      <c r="R477" s="102"/>
    </row>
    <row r="478" spans="11:18" ht="12.75" customHeight="1" x14ac:dyDescent="0.25">
      <c r="K478"/>
      <c r="M478" s="147"/>
      <c r="N478" s="147"/>
      <c r="O478" s="147"/>
      <c r="P478" s="147"/>
      <c r="Q478" s="147"/>
      <c r="R478" s="102"/>
    </row>
    <row r="479" spans="11:18" ht="12.75" customHeight="1" x14ac:dyDescent="0.25">
      <c r="K479"/>
      <c r="M479" s="147"/>
      <c r="N479" s="147"/>
      <c r="O479" s="147"/>
      <c r="P479" s="147"/>
      <c r="Q479" s="147"/>
      <c r="R479" s="102"/>
    </row>
    <row r="480" spans="11:18" ht="12.75" customHeight="1" x14ac:dyDescent="0.25">
      <c r="K480"/>
      <c r="M480" s="147"/>
      <c r="N480" s="147"/>
      <c r="O480" s="147"/>
      <c r="P480" s="147"/>
      <c r="Q480" s="147"/>
      <c r="R480" s="102"/>
    </row>
    <row r="481" spans="11:18" ht="12.75" customHeight="1" x14ac:dyDescent="0.25">
      <c r="K481"/>
      <c r="M481" s="147"/>
      <c r="N481" s="147"/>
      <c r="O481" s="147"/>
      <c r="P481" s="147"/>
      <c r="Q481" s="147"/>
      <c r="R481" s="102"/>
    </row>
    <row r="482" spans="11:18" ht="12.75" customHeight="1" x14ac:dyDescent="0.25">
      <c r="K482"/>
      <c r="M482" s="147"/>
      <c r="N482" s="147"/>
      <c r="O482" s="147"/>
      <c r="P482" s="147"/>
      <c r="Q482" s="147"/>
      <c r="R482" s="102"/>
    </row>
    <row r="483" spans="11:18" ht="12.75" customHeight="1" x14ac:dyDescent="0.25">
      <c r="K483"/>
      <c r="M483" s="147"/>
      <c r="N483" s="147"/>
      <c r="O483" s="147"/>
      <c r="P483" s="147"/>
      <c r="Q483" s="147"/>
      <c r="R483" s="102"/>
    </row>
    <row r="484" spans="11:18" ht="12.75" customHeight="1" x14ac:dyDescent="0.25">
      <c r="K484"/>
      <c r="M484" s="147"/>
      <c r="N484" s="147"/>
      <c r="O484" s="147"/>
      <c r="P484" s="147"/>
      <c r="Q484" s="147"/>
      <c r="R484" s="102"/>
    </row>
    <row r="485" spans="11:18" ht="12.75" customHeight="1" x14ac:dyDescent="0.25">
      <c r="K485"/>
      <c r="M485" s="147"/>
      <c r="N485" s="147"/>
      <c r="O485" s="147"/>
      <c r="P485" s="147"/>
      <c r="Q485" s="147"/>
      <c r="R485" s="102"/>
    </row>
    <row r="486" spans="11:18" ht="12.75" customHeight="1" x14ac:dyDescent="0.25">
      <c r="K486"/>
      <c r="M486" s="147"/>
      <c r="N486" s="147"/>
      <c r="O486" s="147"/>
      <c r="P486" s="147"/>
      <c r="Q486" s="147"/>
      <c r="R486" s="102"/>
    </row>
    <row r="487" spans="11:18" ht="12.75" customHeight="1" x14ac:dyDescent="0.25">
      <c r="K487"/>
      <c r="M487" s="147"/>
      <c r="N487" s="147"/>
      <c r="O487" s="147"/>
      <c r="P487" s="147"/>
      <c r="Q487" s="147"/>
      <c r="R487" s="102"/>
    </row>
    <row r="488" spans="11:18" ht="12.75" customHeight="1" x14ac:dyDescent="0.25">
      <c r="K488"/>
      <c r="M488" s="147"/>
      <c r="N488" s="147"/>
      <c r="O488" s="147"/>
      <c r="P488" s="147"/>
      <c r="Q488" s="147"/>
      <c r="R488" s="102"/>
    </row>
    <row r="489" spans="11:18" ht="12.75" customHeight="1" x14ac:dyDescent="0.25">
      <c r="K489"/>
      <c r="M489" s="147"/>
      <c r="N489" s="147"/>
      <c r="O489" s="147"/>
      <c r="P489" s="147"/>
      <c r="Q489" s="147"/>
      <c r="R489" s="102"/>
    </row>
    <row r="490" spans="11:18" ht="12.75" customHeight="1" x14ac:dyDescent="0.25">
      <c r="K490"/>
      <c r="M490" s="147"/>
      <c r="N490" s="147"/>
      <c r="O490" s="147"/>
      <c r="P490" s="147"/>
      <c r="Q490" s="147"/>
      <c r="R490" s="102"/>
    </row>
    <row r="491" spans="11:18" ht="12.75" customHeight="1" x14ac:dyDescent="0.25">
      <c r="K491"/>
      <c r="M491" s="147"/>
      <c r="N491" s="147"/>
      <c r="O491" s="147"/>
      <c r="P491" s="147"/>
      <c r="Q491" s="147"/>
      <c r="R491" s="102"/>
    </row>
    <row r="492" spans="11:18" ht="12.75" customHeight="1" x14ac:dyDescent="0.25">
      <c r="K492"/>
      <c r="M492" s="147"/>
      <c r="N492" s="147"/>
      <c r="O492" s="147"/>
      <c r="P492" s="147"/>
      <c r="Q492" s="147"/>
      <c r="R492" s="102"/>
    </row>
    <row r="493" spans="11:18" ht="12.75" customHeight="1" x14ac:dyDescent="0.25">
      <c r="K493"/>
      <c r="M493" s="147"/>
      <c r="N493" s="147"/>
      <c r="O493" s="147"/>
      <c r="P493" s="147"/>
      <c r="Q493" s="147"/>
      <c r="R493" s="102"/>
    </row>
    <row r="494" spans="11:18" ht="12.75" customHeight="1" x14ac:dyDescent="0.25">
      <c r="K494"/>
      <c r="M494" s="147"/>
      <c r="N494" s="147"/>
      <c r="O494" s="147"/>
      <c r="P494" s="147"/>
      <c r="Q494" s="147"/>
      <c r="R494" s="102"/>
    </row>
    <row r="495" spans="11:18" ht="12.75" customHeight="1" x14ac:dyDescent="0.25">
      <c r="K495"/>
      <c r="M495" s="147"/>
      <c r="N495" s="147"/>
      <c r="O495" s="147"/>
      <c r="P495" s="147"/>
      <c r="Q495" s="147"/>
      <c r="R495" s="102"/>
    </row>
    <row r="496" spans="11:18" ht="12.75" customHeight="1" x14ac:dyDescent="0.25">
      <c r="K496"/>
      <c r="M496" s="147"/>
      <c r="N496" s="147"/>
      <c r="O496" s="147"/>
      <c r="P496" s="147"/>
      <c r="Q496" s="147"/>
      <c r="R496" s="102"/>
    </row>
    <row r="497" spans="11:18" ht="12.75" customHeight="1" x14ac:dyDescent="0.25">
      <c r="K497"/>
      <c r="M497" s="147"/>
      <c r="N497" s="147"/>
      <c r="O497" s="147"/>
      <c r="P497" s="147"/>
      <c r="Q497" s="147"/>
      <c r="R497" s="102"/>
    </row>
    <row r="498" spans="11:18" ht="12.75" customHeight="1" x14ac:dyDescent="0.25">
      <c r="K498"/>
      <c r="M498" s="147"/>
      <c r="N498" s="147"/>
      <c r="O498" s="147"/>
      <c r="P498" s="147"/>
      <c r="Q498" s="147"/>
      <c r="R498" s="102"/>
    </row>
    <row r="499" spans="11:18" ht="12.75" customHeight="1" x14ac:dyDescent="0.25">
      <c r="K499"/>
      <c r="M499" s="147"/>
      <c r="N499" s="147"/>
      <c r="O499" s="147"/>
      <c r="P499" s="147"/>
      <c r="Q499" s="147"/>
      <c r="R499" s="102"/>
    </row>
    <row r="500" spans="11:18" ht="12.75" customHeight="1" x14ac:dyDescent="0.25">
      <c r="K500"/>
      <c r="M500" s="147"/>
      <c r="N500" s="147"/>
      <c r="O500" s="147"/>
      <c r="P500" s="147"/>
      <c r="Q500" s="147"/>
      <c r="R500" s="102"/>
    </row>
    <row r="501" spans="11:18" ht="12.75" customHeight="1" x14ac:dyDescent="0.25">
      <c r="K501"/>
      <c r="M501" s="147"/>
      <c r="N501" s="147"/>
      <c r="O501" s="147"/>
      <c r="P501" s="147"/>
      <c r="Q501" s="147"/>
      <c r="R501" s="102"/>
    </row>
    <row r="502" spans="11:18" ht="12.75" customHeight="1" x14ac:dyDescent="0.25">
      <c r="K502"/>
      <c r="M502" s="147"/>
      <c r="N502" s="147"/>
      <c r="O502" s="147"/>
      <c r="P502" s="147"/>
      <c r="Q502" s="147"/>
      <c r="R502" s="102"/>
    </row>
    <row r="503" spans="11:18" ht="12.75" customHeight="1" x14ac:dyDescent="0.25">
      <c r="K503"/>
      <c r="M503" s="147"/>
      <c r="N503" s="147"/>
      <c r="O503" s="147"/>
      <c r="P503" s="147"/>
      <c r="Q503" s="147"/>
      <c r="R503" s="102"/>
    </row>
    <row r="504" spans="11:18" ht="12.75" customHeight="1" x14ac:dyDescent="0.25">
      <c r="K504"/>
      <c r="M504" s="147"/>
      <c r="N504" s="147"/>
      <c r="O504" s="147"/>
      <c r="P504" s="147"/>
      <c r="Q504" s="147"/>
      <c r="R504" s="102"/>
    </row>
    <row r="505" spans="11:18" ht="12.75" customHeight="1" x14ac:dyDescent="0.25">
      <c r="K505"/>
      <c r="M505" s="147"/>
      <c r="N505" s="147"/>
      <c r="O505" s="147"/>
      <c r="P505" s="147"/>
      <c r="Q505" s="147"/>
      <c r="R505" s="102"/>
    </row>
    <row r="506" spans="11:18" ht="12.75" customHeight="1" x14ac:dyDescent="0.25">
      <c r="K506"/>
      <c r="M506" s="147"/>
      <c r="N506" s="147"/>
      <c r="O506" s="147"/>
      <c r="P506" s="147"/>
      <c r="Q506" s="147"/>
      <c r="R506" s="102"/>
    </row>
    <row r="507" spans="11:18" ht="12.75" customHeight="1" x14ac:dyDescent="0.25">
      <c r="K507"/>
      <c r="M507" s="147"/>
      <c r="N507" s="147"/>
      <c r="O507" s="147"/>
      <c r="P507" s="147"/>
      <c r="Q507" s="147"/>
      <c r="R507" s="102"/>
    </row>
    <row r="508" spans="11:18" ht="12.75" customHeight="1" x14ac:dyDescent="0.25">
      <c r="K508"/>
      <c r="M508" s="147"/>
      <c r="N508" s="147"/>
      <c r="O508" s="147"/>
      <c r="P508" s="147"/>
      <c r="Q508" s="147"/>
      <c r="R508" s="102"/>
    </row>
    <row r="509" spans="11:18" ht="12.75" customHeight="1" x14ac:dyDescent="0.25">
      <c r="K509"/>
      <c r="M509" s="147"/>
      <c r="N509" s="147"/>
      <c r="O509" s="147"/>
      <c r="P509" s="147"/>
      <c r="Q509" s="147"/>
      <c r="R509" s="102"/>
    </row>
    <row r="510" spans="11:18" ht="12.75" customHeight="1" x14ac:dyDescent="0.25">
      <c r="K510"/>
      <c r="M510" s="147"/>
      <c r="N510" s="147"/>
      <c r="O510" s="147"/>
      <c r="P510" s="147"/>
      <c r="Q510" s="147"/>
      <c r="R510" s="102"/>
    </row>
    <row r="511" spans="11:18" ht="12.75" customHeight="1" x14ac:dyDescent="0.25">
      <c r="K511"/>
      <c r="M511" s="147"/>
      <c r="N511" s="147"/>
      <c r="O511" s="147"/>
      <c r="P511" s="147"/>
      <c r="Q511" s="147"/>
      <c r="R511" s="102"/>
    </row>
    <row r="512" spans="11:18" ht="12.75" customHeight="1" x14ac:dyDescent="0.25">
      <c r="K512"/>
      <c r="M512" s="147"/>
      <c r="N512" s="147"/>
      <c r="O512" s="147"/>
      <c r="P512" s="147"/>
      <c r="Q512" s="147"/>
      <c r="R512" s="102"/>
    </row>
    <row r="513" spans="11:18" ht="12.75" customHeight="1" x14ac:dyDescent="0.25">
      <c r="K513"/>
      <c r="M513" s="147"/>
      <c r="N513" s="147"/>
      <c r="O513" s="147"/>
      <c r="P513" s="147"/>
      <c r="Q513" s="147"/>
      <c r="R513" s="102"/>
    </row>
    <row r="514" spans="11:18" ht="12.75" customHeight="1" x14ac:dyDescent="0.25">
      <c r="K514"/>
      <c r="M514" s="147"/>
      <c r="N514" s="147"/>
      <c r="O514" s="147"/>
      <c r="P514" s="147"/>
      <c r="Q514" s="147"/>
      <c r="R514" s="102"/>
    </row>
    <row r="515" spans="11:18" ht="12.75" customHeight="1" x14ac:dyDescent="0.25">
      <c r="K515"/>
      <c r="M515" s="147"/>
      <c r="N515" s="147"/>
      <c r="O515" s="147"/>
      <c r="P515" s="147"/>
      <c r="Q515" s="147"/>
      <c r="R515" s="102"/>
    </row>
    <row r="516" spans="11:18" ht="12.75" customHeight="1" x14ac:dyDescent="0.25">
      <c r="K516"/>
      <c r="M516" s="147"/>
      <c r="N516" s="147"/>
      <c r="O516" s="147"/>
      <c r="P516" s="147"/>
      <c r="Q516" s="147"/>
      <c r="R516" s="102"/>
    </row>
    <row r="517" spans="11:18" ht="12.75" customHeight="1" x14ac:dyDescent="0.25">
      <c r="K517"/>
      <c r="M517" s="147"/>
      <c r="N517" s="147"/>
      <c r="O517" s="147"/>
      <c r="P517" s="147"/>
      <c r="Q517" s="147"/>
      <c r="R517" s="102"/>
    </row>
    <row r="518" spans="11:18" ht="12.75" customHeight="1" x14ac:dyDescent="0.25">
      <c r="K518"/>
      <c r="M518" s="147"/>
      <c r="N518" s="147"/>
      <c r="O518" s="147"/>
      <c r="P518" s="147"/>
      <c r="Q518" s="147"/>
      <c r="R518" s="102"/>
    </row>
    <row r="519" spans="11:18" ht="12.75" customHeight="1" x14ac:dyDescent="0.25">
      <c r="K519"/>
      <c r="M519" s="147"/>
      <c r="N519" s="147"/>
      <c r="O519" s="147"/>
      <c r="P519" s="147"/>
      <c r="Q519" s="147"/>
      <c r="R519" s="102"/>
    </row>
    <row r="520" spans="11:18" ht="12.75" customHeight="1" x14ac:dyDescent="0.25">
      <c r="K520"/>
      <c r="M520" s="147"/>
      <c r="N520" s="147"/>
      <c r="O520" s="147"/>
      <c r="P520" s="147"/>
      <c r="Q520" s="147"/>
      <c r="R520" s="102"/>
    </row>
    <row r="521" spans="11:18" ht="12.75" customHeight="1" x14ac:dyDescent="0.25">
      <c r="K521"/>
      <c r="M521" s="147"/>
      <c r="N521" s="147"/>
      <c r="O521" s="147"/>
      <c r="P521" s="147"/>
      <c r="Q521" s="147"/>
      <c r="R521" s="102"/>
    </row>
    <row r="522" spans="11:18" ht="12.75" customHeight="1" x14ac:dyDescent="0.25">
      <c r="K522"/>
      <c r="M522" s="147"/>
      <c r="N522" s="147"/>
      <c r="O522" s="147"/>
      <c r="P522" s="147"/>
      <c r="Q522" s="147"/>
      <c r="R522" s="102"/>
    </row>
    <row r="523" spans="11:18" ht="12.75" customHeight="1" x14ac:dyDescent="0.25">
      <c r="K523"/>
      <c r="M523" s="147"/>
      <c r="N523" s="147"/>
      <c r="O523" s="147"/>
      <c r="P523" s="147"/>
      <c r="Q523" s="147"/>
      <c r="R523" s="102"/>
    </row>
    <row r="524" spans="11:18" ht="12.75" customHeight="1" x14ac:dyDescent="0.25">
      <c r="K524"/>
      <c r="M524" s="147"/>
      <c r="N524" s="147"/>
      <c r="O524" s="147"/>
      <c r="P524" s="147"/>
      <c r="Q524" s="147"/>
      <c r="R524" s="102"/>
    </row>
    <row r="525" spans="11:18" ht="12.75" customHeight="1" x14ac:dyDescent="0.25">
      <c r="K525"/>
      <c r="M525" s="147"/>
      <c r="N525" s="147"/>
      <c r="O525" s="147"/>
      <c r="P525" s="147"/>
      <c r="Q525" s="147"/>
      <c r="R525" s="102"/>
    </row>
    <row r="526" spans="11:18" ht="12.75" customHeight="1" x14ac:dyDescent="0.25">
      <c r="K526"/>
      <c r="M526" s="147"/>
      <c r="N526" s="147"/>
      <c r="O526" s="147"/>
      <c r="P526" s="147"/>
      <c r="Q526" s="147"/>
      <c r="R526" s="102"/>
    </row>
    <row r="527" spans="11:18" ht="12.75" customHeight="1" x14ac:dyDescent="0.25">
      <c r="K527"/>
      <c r="M527" s="147"/>
      <c r="N527" s="147"/>
      <c r="O527" s="147"/>
      <c r="P527" s="147"/>
      <c r="Q527" s="147"/>
      <c r="R527" s="102"/>
    </row>
    <row r="528" spans="11:18" ht="12.75" customHeight="1" x14ac:dyDescent="0.25">
      <c r="K528"/>
      <c r="M528" s="147"/>
      <c r="N528" s="147"/>
      <c r="O528" s="147"/>
      <c r="P528" s="147"/>
      <c r="Q528" s="147"/>
      <c r="R528" s="102"/>
    </row>
    <row r="529" spans="11:18" ht="12.75" customHeight="1" x14ac:dyDescent="0.25">
      <c r="K529"/>
      <c r="M529" s="147"/>
      <c r="N529" s="147"/>
      <c r="O529" s="147"/>
      <c r="P529" s="147"/>
      <c r="Q529" s="147"/>
      <c r="R529" s="102"/>
    </row>
    <row r="530" spans="11:18" ht="12.75" customHeight="1" x14ac:dyDescent="0.25">
      <c r="K530"/>
      <c r="M530" s="147"/>
      <c r="N530" s="147"/>
      <c r="O530" s="147"/>
      <c r="P530" s="147"/>
      <c r="Q530" s="147"/>
      <c r="R530" s="102"/>
    </row>
    <row r="531" spans="11:18" ht="12.75" customHeight="1" x14ac:dyDescent="0.25">
      <c r="K531"/>
      <c r="M531" s="147"/>
      <c r="N531" s="147"/>
      <c r="O531" s="147"/>
      <c r="P531" s="147"/>
      <c r="Q531" s="147"/>
      <c r="R531" s="102"/>
    </row>
    <row r="532" spans="11:18" ht="12.75" customHeight="1" x14ac:dyDescent="0.25">
      <c r="K532"/>
      <c r="M532" s="147"/>
      <c r="N532" s="147"/>
      <c r="O532" s="147"/>
      <c r="P532" s="147"/>
      <c r="Q532" s="147"/>
      <c r="R532" s="102"/>
    </row>
    <row r="533" spans="11:18" ht="12.75" customHeight="1" x14ac:dyDescent="0.25">
      <c r="K533"/>
      <c r="M533" s="147"/>
      <c r="N533" s="147"/>
      <c r="O533" s="147"/>
      <c r="P533" s="147"/>
      <c r="Q533" s="147"/>
      <c r="R533" s="102"/>
    </row>
    <row r="534" spans="11:18" ht="12.75" customHeight="1" x14ac:dyDescent="0.25">
      <c r="K534"/>
      <c r="M534" s="147"/>
      <c r="N534" s="147"/>
      <c r="O534" s="147"/>
      <c r="P534" s="147"/>
      <c r="Q534" s="147"/>
      <c r="R534" s="102"/>
    </row>
    <row r="535" spans="11:18" ht="12.75" customHeight="1" x14ac:dyDescent="0.25">
      <c r="K535"/>
      <c r="M535" s="147"/>
      <c r="N535" s="147"/>
      <c r="O535" s="147"/>
      <c r="P535" s="147"/>
      <c r="Q535" s="147"/>
      <c r="R535" s="102"/>
    </row>
    <row r="536" spans="11:18" ht="12.75" customHeight="1" x14ac:dyDescent="0.25">
      <c r="K536"/>
      <c r="M536" s="147"/>
      <c r="N536" s="147"/>
      <c r="O536" s="147"/>
      <c r="P536" s="147"/>
      <c r="Q536" s="147"/>
      <c r="R536" s="102"/>
    </row>
    <row r="537" spans="11:18" ht="12.75" customHeight="1" x14ac:dyDescent="0.25">
      <c r="K537"/>
      <c r="M537" s="147"/>
      <c r="N537" s="147"/>
      <c r="O537" s="147"/>
      <c r="P537" s="147"/>
      <c r="Q537" s="147"/>
      <c r="R537" s="102"/>
    </row>
    <row r="538" spans="11:18" ht="12.75" customHeight="1" x14ac:dyDescent="0.25">
      <c r="K538"/>
      <c r="M538" s="147"/>
      <c r="N538" s="147"/>
      <c r="O538" s="147"/>
      <c r="P538" s="147"/>
      <c r="Q538" s="147"/>
      <c r="R538" s="102"/>
    </row>
    <row r="539" spans="11:18" ht="12.75" customHeight="1" x14ac:dyDescent="0.25">
      <c r="K539"/>
      <c r="M539" s="147"/>
      <c r="N539" s="147"/>
      <c r="O539" s="147"/>
      <c r="P539" s="147"/>
      <c r="Q539" s="147"/>
      <c r="R539" s="102"/>
    </row>
    <row r="540" spans="11:18" ht="12.75" customHeight="1" x14ac:dyDescent="0.25">
      <c r="K540"/>
      <c r="M540" s="147"/>
      <c r="N540" s="147"/>
      <c r="O540" s="147"/>
      <c r="P540" s="147"/>
      <c r="Q540" s="147"/>
      <c r="R540" s="102"/>
    </row>
    <row r="541" spans="11:18" ht="12.75" customHeight="1" x14ac:dyDescent="0.25">
      <c r="K541"/>
      <c r="M541" s="147"/>
      <c r="N541" s="147"/>
      <c r="O541" s="147"/>
      <c r="P541" s="147"/>
      <c r="Q541" s="147"/>
      <c r="R541" s="102"/>
    </row>
    <row r="542" spans="11:18" ht="12.75" customHeight="1" x14ac:dyDescent="0.25">
      <c r="K542"/>
      <c r="M542" s="147"/>
      <c r="N542" s="147"/>
      <c r="O542" s="147"/>
      <c r="P542" s="147"/>
      <c r="Q542" s="147"/>
      <c r="R542" s="102"/>
    </row>
    <row r="543" spans="11:18" ht="12.75" customHeight="1" x14ac:dyDescent="0.25">
      <c r="K543"/>
      <c r="M543" s="147"/>
      <c r="N543" s="147"/>
      <c r="O543" s="147"/>
      <c r="P543" s="147"/>
      <c r="Q543" s="147"/>
      <c r="R543" s="102"/>
    </row>
    <row r="544" spans="11:18" ht="12.75" customHeight="1" x14ac:dyDescent="0.25">
      <c r="K544"/>
      <c r="M544" s="147"/>
      <c r="N544" s="147"/>
      <c r="O544" s="147"/>
      <c r="P544" s="147"/>
      <c r="Q544" s="147"/>
      <c r="R544" s="102"/>
    </row>
    <row r="545" spans="11:18" ht="12.75" customHeight="1" x14ac:dyDescent="0.25">
      <c r="K545"/>
      <c r="M545" s="147"/>
      <c r="N545" s="147"/>
      <c r="O545" s="147"/>
      <c r="P545" s="147"/>
      <c r="Q545" s="147"/>
      <c r="R545" s="102"/>
    </row>
    <row r="546" spans="11:18" ht="12.75" customHeight="1" x14ac:dyDescent="0.25">
      <c r="K546"/>
      <c r="M546" s="147"/>
      <c r="N546" s="147"/>
      <c r="O546" s="147"/>
      <c r="P546" s="147"/>
      <c r="Q546" s="147"/>
      <c r="R546" s="102"/>
    </row>
    <row r="547" spans="11:18" ht="12.75" customHeight="1" x14ac:dyDescent="0.25">
      <c r="K547"/>
      <c r="M547" s="147"/>
      <c r="N547" s="147"/>
      <c r="O547" s="147"/>
      <c r="P547" s="147"/>
      <c r="Q547" s="147"/>
      <c r="R547" s="102"/>
    </row>
    <row r="548" spans="11:18" ht="12.75" customHeight="1" x14ac:dyDescent="0.25">
      <c r="K548"/>
      <c r="M548" s="147"/>
      <c r="N548" s="147"/>
      <c r="O548" s="147"/>
      <c r="P548" s="147"/>
      <c r="Q548" s="147"/>
      <c r="R548" s="102"/>
    </row>
    <row r="549" spans="11:18" ht="12.75" customHeight="1" x14ac:dyDescent="0.25">
      <c r="K549"/>
      <c r="M549" s="147"/>
      <c r="N549" s="147"/>
      <c r="O549" s="147"/>
      <c r="P549" s="147"/>
      <c r="Q549" s="147"/>
      <c r="R549" s="102"/>
    </row>
    <row r="550" spans="11:18" ht="12.75" customHeight="1" x14ac:dyDescent="0.25">
      <c r="K550"/>
      <c r="M550" s="147"/>
      <c r="N550" s="147"/>
      <c r="O550" s="147"/>
      <c r="P550" s="147"/>
      <c r="Q550" s="147"/>
      <c r="R550" s="102"/>
    </row>
    <row r="551" spans="11:18" ht="12.75" customHeight="1" x14ac:dyDescent="0.25">
      <c r="K551"/>
      <c r="M551" s="147"/>
      <c r="N551" s="147"/>
      <c r="O551" s="147"/>
      <c r="P551" s="147"/>
      <c r="Q551" s="147"/>
      <c r="R551" s="102"/>
    </row>
    <row r="552" spans="11:18" ht="12.75" customHeight="1" x14ac:dyDescent="0.25">
      <c r="K552"/>
      <c r="M552" s="147"/>
      <c r="N552" s="147"/>
      <c r="O552" s="147"/>
      <c r="P552" s="147"/>
      <c r="Q552" s="147"/>
      <c r="R552" s="102"/>
    </row>
    <row r="553" spans="11:18" ht="12.75" customHeight="1" x14ac:dyDescent="0.25">
      <c r="K553"/>
      <c r="M553" s="147"/>
      <c r="N553" s="147"/>
      <c r="O553" s="147"/>
      <c r="P553" s="147"/>
      <c r="Q553" s="147"/>
      <c r="R553" s="102"/>
    </row>
    <row r="554" spans="11:18" ht="12.75" customHeight="1" x14ac:dyDescent="0.25">
      <c r="K554"/>
      <c r="M554" s="147"/>
      <c r="N554" s="147"/>
      <c r="O554" s="147"/>
      <c r="P554" s="147"/>
      <c r="Q554" s="147"/>
      <c r="R554" s="102"/>
    </row>
    <row r="555" spans="11:18" ht="12.75" customHeight="1" x14ac:dyDescent="0.25">
      <c r="K555"/>
      <c r="M555" s="147"/>
      <c r="N555" s="147"/>
      <c r="O555" s="147"/>
      <c r="P555" s="147"/>
      <c r="Q555" s="147"/>
      <c r="R555" s="102"/>
    </row>
    <row r="556" spans="11:18" ht="12.75" customHeight="1" x14ac:dyDescent="0.25">
      <c r="K556"/>
      <c r="M556" s="147"/>
      <c r="N556" s="147"/>
      <c r="O556" s="147"/>
      <c r="P556" s="147"/>
      <c r="Q556" s="147"/>
      <c r="R556" s="102"/>
    </row>
    <row r="557" spans="11:18" ht="12.75" customHeight="1" x14ac:dyDescent="0.25">
      <c r="K557"/>
      <c r="M557" s="147"/>
      <c r="N557" s="147"/>
      <c r="O557" s="147"/>
      <c r="P557" s="147"/>
      <c r="Q557" s="147"/>
      <c r="R557" s="102"/>
    </row>
    <row r="558" spans="11:18" ht="12.75" customHeight="1" x14ac:dyDescent="0.25">
      <c r="K558"/>
      <c r="M558" s="147"/>
      <c r="N558" s="147"/>
      <c r="O558" s="147"/>
      <c r="P558" s="147"/>
      <c r="Q558" s="147"/>
      <c r="R558" s="102"/>
    </row>
    <row r="559" spans="11:18" ht="12.75" customHeight="1" x14ac:dyDescent="0.25">
      <c r="K559"/>
      <c r="M559" s="147"/>
      <c r="N559" s="147"/>
      <c r="O559" s="147"/>
      <c r="P559" s="147"/>
      <c r="Q559" s="147"/>
      <c r="R559" s="102"/>
    </row>
    <row r="560" spans="11:18" ht="12.75" customHeight="1" x14ac:dyDescent="0.25">
      <c r="K560"/>
      <c r="M560" s="147"/>
      <c r="N560" s="147"/>
      <c r="O560" s="147"/>
      <c r="P560" s="147"/>
      <c r="Q560" s="147"/>
      <c r="R560" s="102"/>
    </row>
    <row r="561" spans="11:18" ht="12.75" customHeight="1" x14ac:dyDescent="0.25">
      <c r="K561"/>
      <c r="M561" s="147"/>
      <c r="N561" s="147"/>
      <c r="O561" s="147"/>
      <c r="P561" s="147"/>
      <c r="Q561" s="147"/>
      <c r="R561" s="102"/>
    </row>
    <row r="562" spans="11:18" ht="12.75" customHeight="1" x14ac:dyDescent="0.25">
      <c r="K562"/>
      <c r="M562" s="147"/>
      <c r="N562" s="147"/>
      <c r="O562" s="147"/>
      <c r="P562" s="147"/>
      <c r="Q562" s="147"/>
      <c r="R562" s="102"/>
    </row>
    <row r="563" spans="11:18" ht="12.75" customHeight="1" x14ac:dyDescent="0.25">
      <c r="K563"/>
      <c r="M563" s="147"/>
      <c r="N563" s="147"/>
      <c r="O563" s="147"/>
      <c r="P563" s="147"/>
      <c r="Q563" s="147"/>
      <c r="R563" s="102"/>
    </row>
    <row r="564" spans="11:18" ht="12.75" customHeight="1" x14ac:dyDescent="0.25">
      <c r="K564"/>
      <c r="M564" s="147"/>
      <c r="N564" s="147"/>
      <c r="O564" s="147"/>
      <c r="P564" s="147"/>
      <c r="Q564" s="147"/>
      <c r="R564" s="102"/>
    </row>
    <row r="565" spans="11:18" ht="12.75" customHeight="1" x14ac:dyDescent="0.25">
      <c r="K565"/>
      <c r="M565" s="147"/>
      <c r="N565" s="147"/>
      <c r="O565" s="147"/>
      <c r="P565" s="147"/>
      <c r="Q565" s="147"/>
      <c r="R565" s="102"/>
    </row>
    <row r="566" spans="11:18" ht="12.75" customHeight="1" x14ac:dyDescent="0.25">
      <c r="K566"/>
      <c r="M566" s="147"/>
      <c r="N566" s="147"/>
      <c r="O566" s="147"/>
      <c r="P566" s="147"/>
      <c r="Q566" s="147"/>
      <c r="R566" s="102"/>
    </row>
    <row r="567" spans="11:18" ht="12.75" customHeight="1" x14ac:dyDescent="0.25">
      <c r="K567"/>
      <c r="M567" s="147"/>
      <c r="N567" s="147"/>
      <c r="O567" s="147"/>
      <c r="P567" s="147"/>
      <c r="Q567" s="147"/>
      <c r="R567" s="102"/>
    </row>
    <row r="568" spans="11:18" ht="12.75" customHeight="1" x14ac:dyDescent="0.25">
      <c r="K568"/>
      <c r="M568" s="147"/>
      <c r="N568" s="147"/>
      <c r="O568" s="147"/>
      <c r="P568" s="147"/>
      <c r="Q568" s="147"/>
      <c r="R568" s="102"/>
    </row>
    <row r="569" spans="11:18" ht="12.75" customHeight="1" x14ac:dyDescent="0.25">
      <c r="K569"/>
      <c r="M569" s="147"/>
      <c r="N569" s="147"/>
      <c r="O569" s="147"/>
      <c r="P569" s="147"/>
      <c r="Q569" s="147"/>
      <c r="R569" s="102"/>
    </row>
    <row r="570" spans="11:18" ht="12.75" customHeight="1" x14ac:dyDescent="0.25">
      <c r="K570"/>
      <c r="M570" s="147"/>
      <c r="N570" s="147"/>
      <c r="O570" s="147"/>
      <c r="P570" s="147"/>
      <c r="Q570" s="147"/>
      <c r="R570" s="102"/>
    </row>
    <row r="571" spans="11:18" ht="12.75" customHeight="1" x14ac:dyDescent="0.25">
      <c r="K571"/>
      <c r="M571" s="147"/>
      <c r="N571" s="147"/>
      <c r="O571" s="147"/>
      <c r="P571" s="147"/>
      <c r="Q571" s="147"/>
      <c r="R571" s="102"/>
    </row>
    <row r="572" spans="11:18" ht="12.75" customHeight="1" x14ac:dyDescent="0.25">
      <c r="K572"/>
      <c r="M572" s="147"/>
      <c r="N572" s="147"/>
      <c r="O572" s="147"/>
      <c r="P572" s="147"/>
      <c r="Q572" s="147"/>
      <c r="R572" s="102"/>
    </row>
    <row r="573" spans="11:18" ht="12.75" customHeight="1" x14ac:dyDescent="0.25">
      <c r="K573"/>
      <c r="M573" s="147"/>
      <c r="N573" s="147"/>
      <c r="O573" s="147"/>
      <c r="P573" s="147"/>
      <c r="Q573" s="147"/>
      <c r="R573" s="102"/>
    </row>
    <row r="574" spans="11:18" ht="12.75" customHeight="1" x14ac:dyDescent="0.25">
      <c r="K574"/>
      <c r="M574" s="147"/>
      <c r="N574" s="147"/>
      <c r="O574" s="147"/>
      <c r="P574" s="147"/>
      <c r="Q574" s="147"/>
      <c r="R574" s="102"/>
    </row>
    <row r="575" spans="11:18" ht="12.75" customHeight="1" x14ac:dyDescent="0.25">
      <c r="K575"/>
      <c r="M575" s="147"/>
      <c r="N575" s="147"/>
      <c r="O575" s="147"/>
      <c r="P575" s="147"/>
      <c r="Q575" s="147"/>
      <c r="R575" s="102"/>
    </row>
    <row r="576" spans="11:18" ht="12.75" customHeight="1" x14ac:dyDescent="0.25">
      <c r="K576"/>
      <c r="M576" s="147"/>
      <c r="N576" s="147"/>
      <c r="O576" s="147"/>
      <c r="P576" s="147"/>
      <c r="Q576" s="147"/>
      <c r="R576" s="102"/>
    </row>
    <row r="577" spans="11:18" ht="12.75" customHeight="1" x14ac:dyDescent="0.25">
      <c r="K577"/>
      <c r="M577" s="147"/>
      <c r="N577" s="147"/>
      <c r="O577" s="147"/>
      <c r="P577" s="147"/>
      <c r="Q577" s="147"/>
      <c r="R577" s="102"/>
    </row>
    <row r="578" spans="11:18" ht="12.75" customHeight="1" x14ac:dyDescent="0.25">
      <c r="K578"/>
      <c r="M578" s="147"/>
      <c r="N578" s="147"/>
      <c r="O578" s="147"/>
      <c r="P578" s="147"/>
      <c r="Q578" s="147"/>
      <c r="R578" s="102"/>
    </row>
    <row r="579" spans="11:18" ht="12.75" customHeight="1" x14ac:dyDescent="0.25">
      <c r="K579"/>
      <c r="M579" s="147"/>
      <c r="N579" s="147"/>
      <c r="O579" s="147"/>
      <c r="P579" s="147"/>
      <c r="Q579" s="147"/>
      <c r="R579" s="102"/>
    </row>
    <row r="580" spans="11:18" ht="12.75" customHeight="1" x14ac:dyDescent="0.25">
      <c r="K580"/>
      <c r="M580" s="147"/>
      <c r="N580" s="147"/>
      <c r="O580" s="147"/>
      <c r="P580" s="147"/>
      <c r="Q580" s="147"/>
      <c r="R580" s="102"/>
    </row>
    <row r="581" spans="11:18" ht="12.75" customHeight="1" x14ac:dyDescent="0.25">
      <c r="K581"/>
      <c r="M581" s="147"/>
      <c r="N581" s="147"/>
      <c r="O581" s="147"/>
      <c r="P581" s="147"/>
      <c r="Q581" s="147"/>
      <c r="R581" s="102"/>
    </row>
    <row r="582" spans="11:18" ht="12.75" customHeight="1" x14ac:dyDescent="0.25">
      <c r="K582"/>
      <c r="M582" s="147"/>
      <c r="N582" s="147"/>
      <c r="O582" s="147"/>
      <c r="P582" s="147"/>
      <c r="Q582" s="147"/>
      <c r="R582" s="102"/>
    </row>
    <row r="583" spans="11:18" ht="12.75" customHeight="1" x14ac:dyDescent="0.25">
      <c r="K583"/>
      <c r="M583" s="147"/>
      <c r="N583" s="147"/>
      <c r="O583" s="147"/>
      <c r="P583" s="147"/>
      <c r="Q583" s="147"/>
      <c r="R583" s="102"/>
    </row>
    <row r="584" spans="11:18" ht="12.75" customHeight="1" x14ac:dyDescent="0.25">
      <c r="K584"/>
      <c r="M584" s="147"/>
      <c r="N584" s="147"/>
      <c r="O584" s="147"/>
      <c r="P584" s="147"/>
      <c r="Q584" s="147"/>
      <c r="R584" s="102"/>
    </row>
    <row r="585" spans="11:18" ht="12.75" customHeight="1" x14ac:dyDescent="0.25">
      <c r="K585"/>
      <c r="M585" s="147"/>
      <c r="N585" s="147"/>
      <c r="O585" s="147"/>
      <c r="P585" s="147"/>
      <c r="Q585" s="147"/>
      <c r="R585" s="102"/>
    </row>
    <row r="586" spans="11:18" ht="12.75" customHeight="1" x14ac:dyDescent="0.25">
      <c r="K586"/>
      <c r="M586" s="147"/>
      <c r="N586" s="147"/>
      <c r="O586" s="147"/>
      <c r="P586" s="147"/>
      <c r="Q586" s="147"/>
      <c r="R586" s="102"/>
    </row>
    <row r="587" spans="11:18" ht="12.75" customHeight="1" x14ac:dyDescent="0.25">
      <c r="K587"/>
      <c r="M587" s="147"/>
      <c r="N587" s="147"/>
      <c r="O587" s="147"/>
      <c r="P587" s="147"/>
      <c r="Q587" s="147"/>
      <c r="R587" s="102"/>
    </row>
    <row r="588" spans="11:18" ht="12.75" customHeight="1" x14ac:dyDescent="0.25">
      <c r="K588"/>
      <c r="M588" s="147"/>
      <c r="N588" s="147"/>
      <c r="O588" s="147"/>
      <c r="P588" s="147"/>
      <c r="Q588" s="147"/>
      <c r="R588" s="102"/>
    </row>
    <row r="589" spans="11:18" ht="12.75" customHeight="1" x14ac:dyDescent="0.25">
      <c r="K589"/>
      <c r="M589" s="147"/>
      <c r="N589" s="147"/>
      <c r="O589" s="147"/>
      <c r="P589" s="147"/>
      <c r="Q589" s="147"/>
      <c r="R589" s="102"/>
    </row>
    <row r="590" spans="11:18" ht="12.75" customHeight="1" x14ac:dyDescent="0.25">
      <c r="K590"/>
      <c r="M590" s="147"/>
      <c r="N590" s="147"/>
      <c r="O590" s="147"/>
      <c r="P590" s="147"/>
      <c r="Q590" s="147"/>
      <c r="R590" s="102"/>
    </row>
    <row r="591" spans="11:18" ht="12.75" customHeight="1" x14ac:dyDescent="0.25">
      <c r="K591"/>
      <c r="M591" s="147"/>
      <c r="N591" s="147"/>
      <c r="O591" s="147"/>
      <c r="P591" s="147"/>
      <c r="Q591" s="147"/>
      <c r="R591" s="102"/>
    </row>
    <row r="592" spans="11:18" ht="12.75" customHeight="1" x14ac:dyDescent="0.25">
      <c r="K592"/>
      <c r="M592" s="147"/>
      <c r="N592" s="147"/>
      <c r="O592" s="147"/>
      <c r="P592" s="147"/>
      <c r="Q592" s="147"/>
      <c r="R592" s="102"/>
    </row>
    <row r="593" spans="11:18" ht="12.75" customHeight="1" x14ac:dyDescent="0.25">
      <c r="K593"/>
      <c r="M593" s="147"/>
      <c r="N593" s="147"/>
      <c r="O593" s="147"/>
      <c r="P593" s="147"/>
      <c r="Q593" s="147"/>
      <c r="R593" s="102"/>
    </row>
    <row r="594" spans="11:18" ht="12.75" customHeight="1" x14ac:dyDescent="0.25">
      <c r="K594"/>
      <c r="M594" s="147"/>
      <c r="N594" s="147"/>
      <c r="O594" s="147"/>
      <c r="P594" s="147"/>
      <c r="Q594" s="147"/>
      <c r="R594" s="102"/>
    </row>
    <row r="595" spans="11:18" ht="12.75" customHeight="1" x14ac:dyDescent="0.25">
      <c r="K595"/>
      <c r="M595" s="147"/>
      <c r="N595" s="147"/>
      <c r="O595" s="147"/>
      <c r="P595" s="147"/>
      <c r="Q595" s="147"/>
      <c r="R595" s="102"/>
    </row>
    <row r="596" spans="11:18" ht="12.75" customHeight="1" x14ac:dyDescent="0.25">
      <c r="K596"/>
      <c r="M596" s="147"/>
      <c r="N596" s="147"/>
      <c r="O596" s="147"/>
      <c r="P596" s="147"/>
      <c r="Q596" s="147"/>
      <c r="R596" s="102"/>
    </row>
    <row r="597" spans="11:18" ht="12.75" customHeight="1" x14ac:dyDescent="0.25">
      <c r="K597"/>
      <c r="M597" s="147"/>
      <c r="N597" s="147"/>
      <c r="O597" s="147"/>
      <c r="P597" s="147"/>
      <c r="Q597" s="147"/>
      <c r="R597" s="102"/>
    </row>
    <row r="598" spans="11:18" ht="12.75" customHeight="1" x14ac:dyDescent="0.25">
      <c r="K598"/>
      <c r="M598" s="147"/>
      <c r="N598" s="147"/>
      <c r="O598" s="147"/>
      <c r="P598" s="147"/>
      <c r="Q598" s="147"/>
      <c r="R598" s="102"/>
    </row>
    <row r="599" spans="11:18" ht="12.75" customHeight="1" x14ac:dyDescent="0.25">
      <c r="K599"/>
      <c r="M599" s="147"/>
      <c r="N599" s="147"/>
      <c r="O599" s="147"/>
      <c r="P599" s="147"/>
      <c r="Q599" s="147"/>
      <c r="R599" s="102"/>
    </row>
    <row r="600" spans="11:18" ht="12.75" customHeight="1" x14ac:dyDescent="0.25">
      <c r="K600"/>
      <c r="M600" s="147"/>
      <c r="N600" s="147"/>
      <c r="O600" s="147"/>
      <c r="P600" s="147"/>
      <c r="Q600" s="147"/>
      <c r="R600" s="102"/>
    </row>
    <row r="601" spans="11:18" ht="12.75" customHeight="1" x14ac:dyDescent="0.25">
      <c r="K601"/>
      <c r="M601" s="147"/>
      <c r="N601" s="147"/>
      <c r="O601" s="147"/>
      <c r="P601" s="147"/>
      <c r="Q601" s="147"/>
      <c r="R601" s="102"/>
    </row>
    <row r="602" spans="11:18" ht="12.75" customHeight="1" x14ac:dyDescent="0.25">
      <c r="K602"/>
      <c r="M602" s="147"/>
      <c r="N602" s="147"/>
      <c r="O602" s="147"/>
      <c r="P602" s="147"/>
      <c r="Q602" s="147"/>
      <c r="R602" s="102"/>
    </row>
    <row r="603" spans="11:18" ht="12.75" customHeight="1" x14ac:dyDescent="0.25">
      <c r="K603"/>
      <c r="M603" s="147"/>
      <c r="N603" s="147"/>
      <c r="O603" s="147"/>
      <c r="P603" s="147"/>
      <c r="Q603" s="147"/>
      <c r="R603" s="102"/>
    </row>
    <row r="604" spans="11:18" ht="12.75" customHeight="1" x14ac:dyDescent="0.25">
      <c r="K604"/>
      <c r="M604" s="147"/>
      <c r="N604" s="147"/>
      <c r="O604" s="147"/>
      <c r="P604" s="147"/>
      <c r="Q604" s="147"/>
      <c r="R604" s="102"/>
    </row>
    <row r="605" spans="11:18" ht="12.75" customHeight="1" x14ac:dyDescent="0.25">
      <c r="K605"/>
      <c r="M605" s="147"/>
      <c r="N605" s="147"/>
      <c r="O605" s="147"/>
      <c r="P605" s="147"/>
      <c r="Q605" s="147"/>
      <c r="R605" s="102"/>
    </row>
    <row r="606" spans="11:18" ht="12.75" customHeight="1" x14ac:dyDescent="0.25">
      <c r="K606"/>
      <c r="M606" s="147"/>
      <c r="N606" s="147"/>
      <c r="O606" s="147"/>
      <c r="P606" s="147"/>
      <c r="Q606" s="147"/>
      <c r="R606" s="102"/>
    </row>
    <row r="607" spans="11:18" ht="12.75" customHeight="1" x14ac:dyDescent="0.25">
      <c r="K607"/>
      <c r="M607" s="147"/>
      <c r="N607" s="147"/>
      <c r="O607" s="147"/>
      <c r="P607" s="147"/>
      <c r="Q607" s="147"/>
      <c r="R607" s="102"/>
    </row>
    <row r="608" spans="11:18" ht="12.75" customHeight="1" x14ac:dyDescent="0.25">
      <c r="K608"/>
      <c r="M608" s="147"/>
      <c r="N608" s="147"/>
      <c r="O608" s="147"/>
      <c r="P608" s="147"/>
      <c r="Q608" s="147"/>
      <c r="R608" s="102"/>
    </row>
    <row r="609" spans="11:18" ht="12.75" customHeight="1" x14ac:dyDescent="0.25">
      <c r="K609"/>
      <c r="M609" s="147"/>
      <c r="N609" s="147"/>
      <c r="O609" s="147"/>
      <c r="P609" s="147"/>
      <c r="Q609" s="147"/>
      <c r="R609" s="102"/>
    </row>
    <row r="610" spans="11:18" ht="12.75" customHeight="1" x14ac:dyDescent="0.25">
      <c r="K610"/>
      <c r="M610" s="147"/>
      <c r="N610" s="147"/>
      <c r="O610" s="147"/>
      <c r="P610" s="147"/>
      <c r="Q610" s="147"/>
      <c r="R610" s="102"/>
    </row>
    <row r="611" spans="11:18" ht="12.75" customHeight="1" x14ac:dyDescent="0.25">
      <c r="K611"/>
      <c r="M611" s="147"/>
      <c r="N611" s="147"/>
      <c r="O611" s="147"/>
      <c r="P611" s="147"/>
      <c r="Q611" s="147"/>
      <c r="R611" s="102"/>
    </row>
    <row r="612" spans="11:18" ht="12.75" customHeight="1" x14ac:dyDescent="0.25">
      <c r="K612"/>
      <c r="M612" s="147"/>
      <c r="N612" s="147"/>
      <c r="O612" s="147"/>
      <c r="P612" s="147"/>
      <c r="Q612" s="147"/>
      <c r="R612" s="102"/>
    </row>
    <row r="613" spans="11:18" ht="12.75" customHeight="1" x14ac:dyDescent="0.25">
      <c r="K613"/>
      <c r="M613" s="147"/>
      <c r="N613" s="147"/>
      <c r="O613" s="147"/>
      <c r="P613" s="147"/>
      <c r="Q613" s="147"/>
      <c r="R613" s="102"/>
    </row>
    <row r="614" spans="11:18" ht="12.75" customHeight="1" x14ac:dyDescent="0.25">
      <c r="K614"/>
      <c r="M614" s="147"/>
      <c r="N614" s="147"/>
      <c r="O614" s="147"/>
      <c r="P614" s="147"/>
      <c r="Q614" s="147"/>
      <c r="R614" s="102"/>
    </row>
    <row r="615" spans="11:18" ht="12.75" customHeight="1" x14ac:dyDescent="0.25">
      <c r="K615"/>
      <c r="M615" s="147"/>
      <c r="N615" s="147"/>
      <c r="O615" s="147"/>
      <c r="P615" s="147"/>
      <c r="Q615" s="147"/>
      <c r="R615" s="102"/>
    </row>
    <row r="616" spans="11:18" ht="12.75" customHeight="1" x14ac:dyDescent="0.25">
      <c r="K616"/>
      <c r="M616" s="147"/>
      <c r="N616" s="147"/>
      <c r="O616" s="147"/>
      <c r="P616" s="147"/>
      <c r="Q616" s="147"/>
      <c r="R616" s="102"/>
    </row>
    <row r="617" spans="11:18" ht="12.75" customHeight="1" x14ac:dyDescent="0.25">
      <c r="K617"/>
      <c r="M617" s="147"/>
      <c r="N617" s="147"/>
      <c r="O617" s="147"/>
      <c r="P617" s="147"/>
      <c r="Q617" s="147"/>
      <c r="R617" s="102"/>
    </row>
    <row r="618" spans="11:18" ht="12.75" customHeight="1" x14ac:dyDescent="0.25">
      <c r="K618"/>
      <c r="M618" s="147"/>
      <c r="N618" s="147"/>
      <c r="O618" s="147"/>
      <c r="P618" s="147"/>
      <c r="Q618" s="147"/>
      <c r="R618" s="102"/>
    </row>
    <row r="619" spans="11:18" ht="12.75" customHeight="1" x14ac:dyDescent="0.25">
      <c r="K619"/>
      <c r="M619" s="147"/>
      <c r="N619" s="147"/>
      <c r="O619" s="147"/>
      <c r="P619" s="147"/>
      <c r="Q619" s="147"/>
      <c r="R619" s="102"/>
    </row>
    <row r="620" spans="11:18" ht="12.75" customHeight="1" x14ac:dyDescent="0.25">
      <c r="K620"/>
      <c r="M620" s="147"/>
      <c r="N620" s="147"/>
      <c r="O620" s="147"/>
      <c r="P620" s="147"/>
      <c r="Q620" s="147"/>
      <c r="R620" s="102"/>
    </row>
    <row r="621" spans="11:18" ht="12.75" customHeight="1" x14ac:dyDescent="0.25">
      <c r="K621"/>
      <c r="M621" s="147"/>
      <c r="N621" s="147"/>
      <c r="O621" s="147"/>
      <c r="P621" s="147"/>
      <c r="Q621" s="147"/>
      <c r="R621" s="102"/>
    </row>
    <row r="622" spans="11:18" ht="12.75" customHeight="1" x14ac:dyDescent="0.25">
      <c r="K622"/>
      <c r="M622" s="147"/>
      <c r="N622" s="147"/>
      <c r="O622" s="147"/>
      <c r="P622" s="147"/>
      <c r="Q622" s="147"/>
      <c r="R622" s="102"/>
    </row>
    <row r="623" spans="11:18" ht="12.75" customHeight="1" x14ac:dyDescent="0.25">
      <c r="K623"/>
      <c r="M623" s="147"/>
      <c r="N623" s="147"/>
      <c r="O623" s="147"/>
      <c r="P623" s="147"/>
      <c r="Q623" s="147"/>
      <c r="R623" s="102"/>
    </row>
    <row r="624" spans="11:18" ht="12.75" customHeight="1" x14ac:dyDescent="0.25">
      <c r="K624"/>
      <c r="M624" s="147"/>
      <c r="N624" s="147"/>
      <c r="O624" s="147"/>
      <c r="P624" s="147"/>
      <c r="Q624" s="147"/>
      <c r="R624" s="102"/>
    </row>
    <row r="625" spans="11:18" ht="12.75" customHeight="1" x14ac:dyDescent="0.25">
      <c r="K625"/>
      <c r="M625" s="147"/>
      <c r="N625" s="147"/>
      <c r="O625" s="147"/>
      <c r="P625" s="147"/>
      <c r="Q625" s="147"/>
      <c r="R625" s="102"/>
    </row>
    <row r="626" spans="11:18" ht="12.75" customHeight="1" x14ac:dyDescent="0.25">
      <c r="K626"/>
      <c r="M626" s="147"/>
      <c r="N626" s="147"/>
      <c r="O626" s="147"/>
      <c r="P626" s="147"/>
      <c r="Q626" s="147"/>
      <c r="R626" s="102"/>
    </row>
    <row r="627" spans="11:18" ht="12.75" customHeight="1" x14ac:dyDescent="0.25">
      <c r="K627"/>
      <c r="M627" s="147"/>
      <c r="N627" s="147"/>
      <c r="O627" s="147"/>
      <c r="P627" s="147"/>
      <c r="Q627" s="147"/>
      <c r="R627" s="102"/>
    </row>
    <row r="628" spans="11:18" ht="12.75" customHeight="1" x14ac:dyDescent="0.25">
      <c r="K628"/>
      <c r="M628" s="147"/>
      <c r="N628" s="147"/>
      <c r="O628" s="147"/>
      <c r="P628" s="147"/>
      <c r="Q628" s="147"/>
      <c r="R628" s="102"/>
    </row>
    <row r="629" spans="11:18" ht="12.75" customHeight="1" x14ac:dyDescent="0.25">
      <c r="K629"/>
      <c r="M629" s="147"/>
      <c r="N629" s="147"/>
      <c r="O629" s="147"/>
      <c r="P629" s="147"/>
      <c r="Q629" s="147"/>
      <c r="R629" s="102"/>
    </row>
    <row r="630" spans="11:18" ht="12.75" customHeight="1" x14ac:dyDescent="0.25">
      <c r="K630"/>
      <c r="M630" s="147"/>
      <c r="N630" s="147"/>
      <c r="O630" s="147"/>
      <c r="P630" s="147"/>
      <c r="Q630" s="147"/>
      <c r="R630" s="102"/>
    </row>
    <row r="631" spans="11:18" ht="12.75" customHeight="1" x14ac:dyDescent="0.25">
      <c r="K631"/>
      <c r="M631" s="147"/>
      <c r="N631" s="147"/>
      <c r="O631" s="147"/>
      <c r="P631" s="147"/>
      <c r="Q631" s="147"/>
      <c r="R631" s="102"/>
    </row>
    <row r="632" spans="11:18" ht="12.75" customHeight="1" x14ac:dyDescent="0.25">
      <c r="K632"/>
      <c r="M632" s="147"/>
      <c r="N632" s="147"/>
      <c r="O632" s="147"/>
      <c r="P632" s="147"/>
      <c r="Q632" s="147"/>
      <c r="R632" s="102"/>
    </row>
    <row r="633" spans="11:18" ht="12.75" customHeight="1" x14ac:dyDescent="0.25">
      <c r="K633"/>
      <c r="M633" s="147"/>
      <c r="N633" s="147"/>
      <c r="O633" s="147"/>
      <c r="P633" s="147"/>
      <c r="Q633" s="147"/>
      <c r="R633" s="102"/>
    </row>
    <row r="634" spans="11:18" ht="12.75" customHeight="1" x14ac:dyDescent="0.25">
      <c r="K634"/>
      <c r="M634" s="147"/>
      <c r="N634" s="147"/>
      <c r="O634" s="147"/>
      <c r="P634" s="147"/>
      <c r="Q634" s="147"/>
      <c r="R634" s="102"/>
    </row>
    <row r="635" spans="11:18" ht="12.75" customHeight="1" x14ac:dyDescent="0.25">
      <c r="K635"/>
      <c r="M635" s="147"/>
      <c r="N635" s="147"/>
      <c r="O635" s="147"/>
      <c r="P635" s="147"/>
      <c r="Q635" s="147"/>
      <c r="R635" s="102"/>
    </row>
    <row r="636" spans="11:18" ht="12.75" customHeight="1" x14ac:dyDescent="0.25">
      <c r="K636"/>
      <c r="M636" s="147"/>
      <c r="N636" s="147"/>
      <c r="O636" s="147"/>
      <c r="P636" s="147"/>
      <c r="Q636" s="147"/>
      <c r="R636" s="102"/>
    </row>
    <row r="637" spans="11:18" ht="12.75" customHeight="1" x14ac:dyDescent="0.25">
      <c r="K637"/>
      <c r="M637" s="147"/>
      <c r="N637" s="147"/>
      <c r="O637" s="147"/>
      <c r="P637" s="147"/>
      <c r="Q637" s="147"/>
      <c r="R637" s="102"/>
    </row>
    <row r="638" spans="11:18" ht="12.75" customHeight="1" x14ac:dyDescent="0.25">
      <c r="K638"/>
      <c r="M638" s="147"/>
      <c r="N638" s="147"/>
      <c r="O638" s="147"/>
      <c r="P638" s="147"/>
      <c r="Q638" s="147"/>
      <c r="R638" s="102"/>
    </row>
    <row r="639" spans="11:18" ht="12.75" customHeight="1" x14ac:dyDescent="0.25">
      <c r="K639"/>
      <c r="M639" s="147"/>
      <c r="N639" s="147"/>
      <c r="O639" s="147"/>
      <c r="P639" s="147"/>
      <c r="Q639" s="147"/>
      <c r="R639" s="102"/>
    </row>
    <row r="640" spans="11:18" ht="12.75" customHeight="1" x14ac:dyDescent="0.25">
      <c r="K640"/>
      <c r="M640" s="147"/>
      <c r="N640" s="147"/>
      <c r="O640" s="147"/>
      <c r="P640" s="147"/>
      <c r="Q640" s="147"/>
      <c r="R640" s="102"/>
    </row>
    <row r="641" spans="11:18" ht="12.75" customHeight="1" x14ac:dyDescent="0.25">
      <c r="K641"/>
      <c r="M641" s="147"/>
      <c r="N641" s="147"/>
      <c r="O641" s="147"/>
      <c r="P641" s="147"/>
      <c r="Q641" s="147"/>
      <c r="R641" s="102"/>
    </row>
    <row r="642" spans="11:18" ht="12.75" customHeight="1" x14ac:dyDescent="0.25">
      <c r="K642"/>
      <c r="M642" s="147"/>
      <c r="N642" s="147"/>
      <c r="O642" s="147"/>
      <c r="P642" s="147"/>
      <c r="Q642" s="147"/>
      <c r="R642" s="102"/>
    </row>
    <row r="643" spans="11:18" ht="12.75" customHeight="1" x14ac:dyDescent="0.25">
      <c r="K643"/>
      <c r="M643" s="147"/>
      <c r="N643" s="147"/>
      <c r="O643" s="147"/>
      <c r="P643" s="147"/>
      <c r="Q643" s="147"/>
      <c r="R643" s="102"/>
    </row>
    <row r="644" spans="11:18" ht="12.75" customHeight="1" x14ac:dyDescent="0.25">
      <c r="K644"/>
      <c r="M644" s="147"/>
      <c r="N644" s="147"/>
      <c r="O644" s="147"/>
      <c r="P644" s="147"/>
      <c r="Q644" s="147"/>
      <c r="R644" s="102"/>
    </row>
    <row r="645" spans="11:18" ht="12.75" customHeight="1" x14ac:dyDescent="0.25">
      <c r="K645"/>
      <c r="M645" s="147"/>
      <c r="N645" s="147"/>
      <c r="O645" s="147"/>
      <c r="P645" s="147"/>
      <c r="Q645" s="147"/>
      <c r="R645" s="102"/>
    </row>
    <row r="646" spans="11:18" ht="12.75" customHeight="1" x14ac:dyDescent="0.25">
      <c r="K646"/>
      <c r="M646" s="147"/>
      <c r="N646" s="147"/>
      <c r="O646" s="147"/>
      <c r="P646" s="147"/>
      <c r="Q646" s="147"/>
      <c r="R646" s="102"/>
    </row>
    <row r="647" spans="11:18" ht="12.75" customHeight="1" x14ac:dyDescent="0.25">
      <c r="K647"/>
      <c r="M647" s="147"/>
      <c r="N647" s="147"/>
      <c r="O647" s="147"/>
      <c r="P647" s="147"/>
      <c r="Q647" s="147"/>
      <c r="R647" s="102"/>
    </row>
    <row r="648" spans="11:18" ht="12.75" customHeight="1" x14ac:dyDescent="0.25">
      <c r="K648"/>
      <c r="M648" s="147"/>
      <c r="N648" s="147"/>
      <c r="O648" s="147"/>
      <c r="P648" s="147"/>
      <c r="Q648" s="147"/>
      <c r="R648" s="102"/>
    </row>
    <row r="649" spans="11:18" ht="12.75" customHeight="1" x14ac:dyDescent="0.25">
      <c r="K649"/>
      <c r="M649" s="147"/>
      <c r="N649" s="147"/>
      <c r="O649" s="147"/>
      <c r="P649" s="147"/>
      <c r="Q649" s="147"/>
      <c r="R649" s="102"/>
    </row>
    <row r="650" spans="11:18" ht="12.75" customHeight="1" x14ac:dyDescent="0.25">
      <c r="K650"/>
      <c r="M650" s="147"/>
      <c r="N650" s="147"/>
      <c r="O650" s="147"/>
      <c r="P650" s="147"/>
      <c r="Q650" s="147"/>
      <c r="R650" s="102"/>
    </row>
    <row r="651" spans="11:18" ht="12.75" customHeight="1" x14ac:dyDescent="0.25">
      <c r="K651"/>
      <c r="M651" s="147"/>
      <c r="N651" s="147"/>
      <c r="O651" s="147"/>
      <c r="P651" s="147"/>
      <c r="Q651" s="147"/>
      <c r="R651" s="102"/>
    </row>
    <row r="652" spans="11:18" ht="12.75" customHeight="1" x14ac:dyDescent="0.25">
      <c r="K652"/>
      <c r="M652" s="147"/>
      <c r="N652" s="147"/>
      <c r="O652" s="147"/>
      <c r="P652" s="147"/>
      <c r="Q652" s="147"/>
      <c r="R652" s="102"/>
    </row>
    <row r="653" spans="11:18" ht="12.75" customHeight="1" x14ac:dyDescent="0.25">
      <c r="K653"/>
      <c r="M653" s="147"/>
      <c r="N653" s="147"/>
      <c r="O653" s="147"/>
      <c r="P653" s="147"/>
      <c r="Q653" s="147"/>
      <c r="R653" s="102"/>
    </row>
    <row r="654" spans="11:18" ht="12.75" customHeight="1" x14ac:dyDescent="0.25">
      <c r="K654"/>
      <c r="M654" s="147"/>
      <c r="N654" s="147"/>
      <c r="O654" s="147"/>
      <c r="P654" s="147"/>
      <c r="Q654" s="147"/>
      <c r="R654" s="102"/>
    </row>
    <row r="655" spans="11:18" ht="12.75" customHeight="1" x14ac:dyDescent="0.25">
      <c r="K655"/>
      <c r="M655" s="147"/>
      <c r="N655" s="147"/>
      <c r="O655" s="147"/>
      <c r="P655" s="147"/>
      <c r="Q655" s="147"/>
      <c r="R655" s="102"/>
    </row>
    <row r="656" spans="11:18" ht="12.75" customHeight="1" x14ac:dyDescent="0.25">
      <c r="K656"/>
      <c r="M656" s="147"/>
      <c r="N656" s="147"/>
      <c r="O656" s="147"/>
      <c r="P656" s="147"/>
      <c r="Q656" s="147"/>
      <c r="R656" s="102"/>
    </row>
    <row r="657" spans="11:18" ht="12.75" customHeight="1" x14ac:dyDescent="0.25">
      <c r="K657"/>
      <c r="M657" s="147"/>
      <c r="N657" s="147"/>
      <c r="O657" s="147"/>
      <c r="P657" s="147"/>
      <c r="Q657" s="147"/>
      <c r="R657" s="102"/>
    </row>
    <row r="658" spans="11:18" ht="12.75" customHeight="1" x14ac:dyDescent="0.25">
      <c r="K658"/>
      <c r="M658" s="147"/>
      <c r="N658" s="147"/>
      <c r="O658" s="147"/>
      <c r="P658" s="147"/>
      <c r="Q658" s="147"/>
      <c r="R658" s="102"/>
    </row>
    <row r="659" spans="11:18" ht="12.75" customHeight="1" x14ac:dyDescent="0.25">
      <c r="K659"/>
      <c r="M659" s="147"/>
      <c r="N659" s="147"/>
      <c r="O659" s="147"/>
      <c r="P659" s="147"/>
      <c r="Q659" s="147"/>
      <c r="R659" s="102"/>
    </row>
    <row r="660" spans="11:18" ht="12.75" customHeight="1" x14ac:dyDescent="0.25">
      <c r="K660"/>
      <c r="M660" s="147"/>
      <c r="N660" s="147"/>
      <c r="O660" s="147"/>
      <c r="P660" s="147"/>
      <c r="Q660" s="147"/>
      <c r="R660" s="102"/>
    </row>
    <row r="661" spans="11:18" ht="12.75" customHeight="1" x14ac:dyDescent="0.25">
      <c r="K661"/>
      <c r="M661" s="147"/>
      <c r="N661" s="147"/>
      <c r="O661" s="147"/>
      <c r="P661" s="147"/>
      <c r="Q661" s="147"/>
      <c r="R661" s="102"/>
    </row>
    <row r="662" spans="11:18" ht="12.75" customHeight="1" x14ac:dyDescent="0.25">
      <c r="K662"/>
      <c r="M662" s="147"/>
      <c r="N662" s="147"/>
      <c r="O662" s="147"/>
      <c r="P662" s="147"/>
      <c r="Q662" s="147"/>
      <c r="R662" s="102"/>
    </row>
    <row r="663" spans="11:18" ht="12.75" customHeight="1" x14ac:dyDescent="0.25">
      <c r="K663"/>
      <c r="M663" s="147"/>
      <c r="N663" s="147"/>
      <c r="O663" s="147"/>
      <c r="P663" s="147"/>
      <c r="Q663" s="147"/>
      <c r="R663" s="102"/>
    </row>
    <row r="664" spans="11:18" ht="12.75" customHeight="1" x14ac:dyDescent="0.25">
      <c r="K664"/>
      <c r="M664" s="147"/>
      <c r="N664" s="147"/>
      <c r="O664" s="147"/>
      <c r="P664" s="147"/>
      <c r="Q664" s="147"/>
      <c r="R664" s="102"/>
    </row>
    <row r="665" spans="11:18" ht="12.75" customHeight="1" x14ac:dyDescent="0.25">
      <c r="K665"/>
      <c r="M665" s="147"/>
      <c r="N665" s="147"/>
      <c r="O665" s="147"/>
      <c r="P665" s="147"/>
      <c r="Q665" s="147"/>
      <c r="R665" s="102"/>
    </row>
    <row r="666" spans="11:18" ht="12.75" customHeight="1" x14ac:dyDescent="0.25">
      <c r="K666"/>
      <c r="M666" s="147"/>
      <c r="N666" s="147"/>
      <c r="O666" s="147"/>
      <c r="P666" s="147"/>
      <c r="Q666" s="147"/>
      <c r="R666" s="102"/>
    </row>
    <row r="667" spans="11:18" ht="12.75" customHeight="1" x14ac:dyDescent="0.25">
      <c r="K667"/>
      <c r="M667" s="147"/>
      <c r="N667" s="147"/>
      <c r="O667" s="147"/>
      <c r="P667" s="147"/>
      <c r="Q667" s="147"/>
      <c r="R667" s="102"/>
    </row>
    <row r="668" spans="11:18" ht="12.75" customHeight="1" x14ac:dyDescent="0.25">
      <c r="K668"/>
      <c r="M668" s="147"/>
      <c r="N668" s="147"/>
      <c r="O668" s="147"/>
      <c r="P668" s="147"/>
      <c r="Q668" s="147"/>
      <c r="R668" s="102"/>
    </row>
    <row r="669" spans="11:18" ht="12.75" customHeight="1" x14ac:dyDescent="0.25">
      <c r="K669"/>
      <c r="M669" s="147"/>
      <c r="N669" s="147"/>
      <c r="O669" s="147"/>
      <c r="P669" s="147"/>
      <c r="Q669" s="147"/>
      <c r="R669" s="102"/>
    </row>
    <row r="670" spans="11:18" ht="12.75" customHeight="1" x14ac:dyDescent="0.25">
      <c r="K670"/>
      <c r="M670" s="147"/>
      <c r="N670" s="147"/>
      <c r="O670" s="147"/>
      <c r="P670" s="147"/>
      <c r="Q670" s="147"/>
      <c r="R670" s="102"/>
    </row>
    <row r="671" spans="11:18" ht="12.75" customHeight="1" x14ac:dyDescent="0.25">
      <c r="K671"/>
      <c r="M671" s="147"/>
      <c r="N671" s="147"/>
      <c r="O671" s="147"/>
      <c r="P671" s="147"/>
      <c r="Q671" s="147"/>
      <c r="R671" s="102"/>
    </row>
    <row r="672" spans="11:18" ht="12.75" customHeight="1" x14ac:dyDescent="0.25">
      <c r="K672"/>
      <c r="M672" s="147"/>
      <c r="N672" s="147"/>
      <c r="O672" s="147"/>
      <c r="P672" s="147"/>
      <c r="Q672" s="147"/>
      <c r="R672" s="102"/>
    </row>
    <row r="673" spans="11:18" ht="12.75" customHeight="1" x14ac:dyDescent="0.25">
      <c r="K673"/>
      <c r="M673" s="147"/>
      <c r="N673" s="147"/>
      <c r="O673" s="147"/>
      <c r="P673" s="147"/>
      <c r="Q673" s="147"/>
      <c r="R673" s="102"/>
    </row>
    <row r="674" spans="11:18" ht="12.75" customHeight="1" x14ac:dyDescent="0.25">
      <c r="K674"/>
      <c r="M674" s="147"/>
      <c r="N674" s="147"/>
      <c r="O674" s="147"/>
      <c r="P674" s="147"/>
      <c r="Q674" s="147"/>
      <c r="R674" s="102"/>
    </row>
    <row r="675" spans="11:18" ht="12.75" customHeight="1" x14ac:dyDescent="0.25">
      <c r="K675"/>
      <c r="M675" s="147"/>
      <c r="N675" s="147"/>
      <c r="O675" s="147"/>
      <c r="P675" s="147"/>
      <c r="Q675" s="147"/>
      <c r="R675" s="102"/>
    </row>
    <row r="676" spans="11:18" ht="12.75" customHeight="1" x14ac:dyDescent="0.25">
      <c r="K676"/>
      <c r="M676" s="147"/>
      <c r="N676" s="147"/>
      <c r="O676" s="147"/>
      <c r="P676" s="147"/>
      <c r="Q676" s="147"/>
      <c r="R676" s="102"/>
    </row>
    <row r="677" spans="11:18" ht="12.75" customHeight="1" x14ac:dyDescent="0.25">
      <c r="K677"/>
      <c r="M677" s="147"/>
      <c r="N677" s="147"/>
      <c r="O677" s="147"/>
      <c r="P677" s="147"/>
      <c r="Q677" s="147"/>
      <c r="R677" s="102"/>
    </row>
    <row r="678" spans="11:18" ht="12.75" customHeight="1" x14ac:dyDescent="0.25">
      <c r="K678"/>
      <c r="M678" s="147"/>
      <c r="N678" s="147"/>
      <c r="O678" s="147"/>
      <c r="P678" s="147"/>
      <c r="Q678" s="147"/>
      <c r="R678" s="102"/>
    </row>
    <row r="679" spans="11:18" ht="12.75" customHeight="1" x14ac:dyDescent="0.25">
      <c r="K679"/>
      <c r="M679" s="147"/>
      <c r="N679" s="147"/>
      <c r="O679" s="147"/>
      <c r="P679" s="147"/>
      <c r="Q679" s="147"/>
      <c r="R679" s="102"/>
    </row>
    <row r="680" spans="11:18" ht="12.75" customHeight="1" x14ac:dyDescent="0.25">
      <c r="K680"/>
      <c r="M680" s="147"/>
      <c r="N680" s="147"/>
      <c r="O680" s="147"/>
      <c r="P680" s="147"/>
      <c r="Q680" s="147"/>
      <c r="R680" s="102"/>
    </row>
    <row r="681" spans="11:18" ht="12.75" customHeight="1" x14ac:dyDescent="0.25">
      <c r="K681"/>
      <c r="M681" s="147"/>
      <c r="N681" s="147"/>
      <c r="O681" s="147"/>
      <c r="P681" s="147"/>
      <c r="Q681" s="147"/>
      <c r="R681" s="102"/>
    </row>
    <row r="682" spans="11:18" ht="12.75" customHeight="1" x14ac:dyDescent="0.25">
      <c r="K682"/>
      <c r="M682" s="147"/>
      <c r="N682" s="147"/>
      <c r="O682" s="147"/>
      <c r="P682" s="147"/>
      <c r="Q682" s="147"/>
      <c r="R682" s="102"/>
    </row>
    <row r="683" spans="11:18" ht="12.75" customHeight="1" x14ac:dyDescent="0.25">
      <c r="K683"/>
      <c r="M683" s="147"/>
      <c r="N683" s="147"/>
      <c r="O683" s="147"/>
      <c r="P683" s="147"/>
      <c r="Q683" s="147"/>
      <c r="R683" s="102"/>
    </row>
    <row r="684" spans="11:18" ht="12.75" customHeight="1" x14ac:dyDescent="0.25">
      <c r="K684"/>
      <c r="M684" s="147"/>
      <c r="N684" s="147"/>
      <c r="O684" s="147"/>
      <c r="P684" s="147"/>
      <c r="Q684" s="147"/>
      <c r="R684" s="102"/>
    </row>
    <row r="685" spans="11:18" ht="12.75" customHeight="1" x14ac:dyDescent="0.25">
      <c r="K685"/>
      <c r="M685" s="147"/>
      <c r="N685" s="147"/>
      <c r="O685" s="147"/>
      <c r="P685" s="147"/>
      <c r="Q685" s="147"/>
      <c r="R685" s="102"/>
    </row>
    <row r="686" spans="11:18" ht="12.75" customHeight="1" x14ac:dyDescent="0.25">
      <c r="K686"/>
      <c r="M686" s="147"/>
      <c r="N686" s="147"/>
      <c r="O686" s="147"/>
      <c r="P686" s="147"/>
      <c r="Q686" s="147"/>
      <c r="R686" s="102"/>
    </row>
    <row r="687" spans="11:18" ht="12.75" customHeight="1" x14ac:dyDescent="0.25">
      <c r="K687"/>
      <c r="M687" s="147"/>
      <c r="N687" s="147"/>
      <c r="O687" s="147"/>
      <c r="P687" s="147"/>
      <c r="Q687" s="147"/>
      <c r="R687" s="102"/>
    </row>
    <row r="688" spans="11:18" ht="12.75" customHeight="1" x14ac:dyDescent="0.25">
      <c r="K688"/>
      <c r="M688" s="147"/>
      <c r="N688" s="147"/>
      <c r="O688" s="147"/>
      <c r="P688" s="147"/>
      <c r="Q688" s="147"/>
      <c r="R688" s="102"/>
    </row>
    <row r="689" spans="11:18" ht="12.75" customHeight="1" x14ac:dyDescent="0.25">
      <c r="K689"/>
      <c r="M689" s="147"/>
      <c r="N689" s="147"/>
      <c r="O689" s="147"/>
      <c r="P689" s="147"/>
      <c r="Q689" s="147"/>
      <c r="R689" s="102"/>
    </row>
    <row r="690" spans="11:18" ht="12.75" customHeight="1" x14ac:dyDescent="0.25">
      <c r="K690"/>
      <c r="M690" s="147"/>
      <c r="N690" s="147"/>
      <c r="O690" s="147"/>
      <c r="P690" s="147"/>
      <c r="Q690" s="147"/>
      <c r="R690" s="102"/>
    </row>
    <row r="691" spans="11:18" ht="12.75" customHeight="1" x14ac:dyDescent="0.25">
      <c r="K691"/>
      <c r="M691" s="147"/>
      <c r="N691" s="147"/>
      <c r="O691" s="147"/>
      <c r="P691" s="147"/>
      <c r="Q691" s="147"/>
      <c r="R691" s="102"/>
    </row>
    <row r="692" spans="11:18" ht="12.75" customHeight="1" x14ac:dyDescent="0.25">
      <c r="K692"/>
      <c r="M692" s="147"/>
      <c r="N692" s="147"/>
      <c r="O692" s="147"/>
      <c r="P692" s="147"/>
      <c r="Q692" s="147"/>
      <c r="R692" s="102"/>
    </row>
    <row r="693" spans="11:18" ht="12.75" customHeight="1" x14ac:dyDescent="0.25">
      <c r="K693"/>
      <c r="M693" s="147"/>
      <c r="N693" s="147"/>
      <c r="O693" s="147"/>
      <c r="P693" s="147"/>
      <c r="Q693" s="147"/>
      <c r="R693" s="102"/>
    </row>
    <row r="694" spans="11:18" ht="12.75" customHeight="1" x14ac:dyDescent="0.25">
      <c r="K694"/>
      <c r="M694" s="147"/>
      <c r="N694" s="147"/>
      <c r="O694" s="147"/>
      <c r="P694" s="147"/>
      <c r="Q694" s="147"/>
      <c r="R694" s="102"/>
    </row>
    <row r="695" spans="11:18" ht="12.75" customHeight="1" x14ac:dyDescent="0.25">
      <c r="K695"/>
      <c r="M695" s="147"/>
      <c r="N695" s="147"/>
      <c r="O695" s="147"/>
      <c r="P695" s="147"/>
      <c r="Q695" s="147"/>
      <c r="R695" s="102"/>
    </row>
    <row r="696" spans="11:18" ht="12.75" customHeight="1" x14ac:dyDescent="0.25">
      <c r="K696"/>
      <c r="M696" s="147"/>
      <c r="N696" s="147"/>
      <c r="O696" s="147"/>
      <c r="P696" s="147"/>
      <c r="Q696" s="147"/>
      <c r="R696" s="102"/>
    </row>
    <row r="697" spans="11:18" ht="12.75" customHeight="1" x14ac:dyDescent="0.25">
      <c r="K697"/>
      <c r="M697" s="147"/>
      <c r="N697" s="147"/>
      <c r="O697" s="147"/>
      <c r="P697" s="147"/>
      <c r="Q697" s="147"/>
      <c r="R697" s="102"/>
    </row>
    <row r="698" spans="11:18" ht="12.75" customHeight="1" x14ac:dyDescent="0.25">
      <c r="K698"/>
      <c r="M698" s="147"/>
      <c r="N698" s="147"/>
      <c r="O698" s="147"/>
      <c r="P698" s="147"/>
      <c r="Q698" s="147"/>
      <c r="R698" s="102"/>
    </row>
    <row r="699" spans="11:18" ht="12.75" customHeight="1" x14ac:dyDescent="0.25">
      <c r="K699"/>
      <c r="M699" s="147"/>
      <c r="N699" s="147"/>
      <c r="O699" s="147"/>
      <c r="P699" s="147"/>
      <c r="Q699" s="147"/>
      <c r="R699" s="102"/>
    </row>
    <row r="700" spans="11:18" ht="12.75" customHeight="1" x14ac:dyDescent="0.25">
      <c r="K700"/>
      <c r="M700" s="147"/>
      <c r="N700" s="147"/>
      <c r="O700" s="147"/>
      <c r="P700" s="147"/>
      <c r="Q700" s="147"/>
      <c r="R700" s="102"/>
    </row>
    <row r="701" spans="11:18" ht="12.75" customHeight="1" x14ac:dyDescent="0.25">
      <c r="K701"/>
      <c r="M701" s="147"/>
      <c r="N701" s="147"/>
      <c r="O701" s="147"/>
      <c r="P701" s="147"/>
      <c r="Q701" s="147"/>
      <c r="R701" s="102"/>
    </row>
    <row r="702" spans="11:18" ht="12.75" customHeight="1" x14ac:dyDescent="0.25">
      <c r="K702"/>
      <c r="M702" s="147"/>
      <c r="N702" s="147"/>
      <c r="O702" s="147"/>
      <c r="P702" s="147"/>
      <c r="Q702" s="147"/>
      <c r="R702" s="102"/>
    </row>
    <row r="703" spans="11:18" ht="12.75" customHeight="1" x14ac:dyDescent="0.25">
      <c r="K703"/>
      <c r="M703" s="147"/>
      <c r="N703" s="147"/>
      <c r="O703" s="147"/>
      <c r="P703" s="147"/>
      <c r="Q703" s="147"/>
      <c r="R703" s="102"/>
    </row>
    <row r="704" spans="11:18" ht="12.75" customHeight="1" x14ac:dyDescent="0.25">
      <c r="K704"/>
      <c r="M704" s="147"/>
      <c r="N704" s="147"/>
      <c r="O704" s="147"/>
      <c r="P704" s="147"/>
      <c r="Q704" s="147"/>
      <c r="R704" s="102"/>
    </row>
    <row r="705" spans="11:18" ht="12.75" customHeight="1" x14ac:dyDescent="0.25">
      <c r="K705"/>
      <c r="M705" s="147"/>
      <c r="N705" s="147"/>
      <c r="O705" s="147"/>
      <c r="P705" s="147"/>
      <c r="Q705" s="147"/>
      <c r="R705" s="102"/>
    </row>
    <row r="706" spans="11:18" ht="12.75" customHeight="1" x14ac:dyDescent="0.25">
      <c r="K706"/>
      <c r="M706" s="147"/>
      <c r="N706" s="147"/>
      <c r="O706" s="147"/>
      <c r="P706" s="147"/>
      <c r="Q706" s="147"/>
      <c r="R706" s="102"/>
    </row>
    <row r="707" spans="11:18" ht="12.75" customHeight="1" x14ac:dyDescent="0.25">
      <c r="K707"/>
      <c r="M707" s="147"/>
      <c r="N707" s="147"/>
      <c r="O707" s="147"/>
      <c r="P707" s="147"/>
      <c r="Q707" s="147"/>
      <c r="R707" s="102"/>
    </row>
    <row r="708" spans="11:18" ht="12.75" customHeight="1" x14ac:dyDescent="0.25">
      <c r="K708"/>
      <c r="M708" s="147"/>
      <c r="N708" s="147"/>
      <c r="O708" s="147"/>
      <c r="P708" s="147"/>
      <c r="Q708" s="147"/>
      <c r="R708" s="102"/>
    </row>
    <row r="709" spans="11:18" ht="12.75" customHeight="1" x14ac:dyDescent="0.25">
      <c r="K709"/>
      <c r="M709" s="147"/>
      <c r="N709" s="147"/>
      <c r="O709" s="147"/>
      <c r="P709" s="147"/>
      <c r="Q709" s="147"/>
      <c r="R709" s="102"/>
    </row>
    <row r="710" spans="11:18" ht="12.75" customHeight="1" x14ac:dyDescent="0.25">
      <c r="K710"/>
      <c r="M710" s="147"/>
      <c r="N710" s="147"/>
      <c r="O710" s="147"/>
      <c r="P710" s="147"/>
      <c r="Q710" s="147"/>
      <c r="R710" s="102"/>
    </row>
    <row r="711" spans="11:18" ht="12.75" customHeight="1" x14ac:dyDescent="0.25">
      <c r="K711"/>
      <c r="M711" s="147"/>
      <c r="N711" s="147"/>
      <c r="O711" s="147"/>
      <c r="P711" s="147"/>
      <c r="Q711" s="147"/>
      <c r="R711" s="102"/>
    </row>
    <row r="712" spans="11:18" ht="12.75" customHeight="1" x14ac:dyDescent="0.25">
      <c r="K712"/>
      <c r="M712" s="147"/>
      <c r="N712" s="147"/>
      <c r="O712" s="147"/>
      <c r="P712" s="147"/>
      <c r="Q712" s="147"/>
      <c r="R712" s="102"/>
    </row>
    <row r="713" spans="11:18" ht="12.75" customHeight="1" x14ac:dyDescent="0.25">
      <c r="K713"/>
      <c r="M713" s="147"/>
      <c r="N713" s="147"/>
      <c r="O713" s="147"/>
      <c r="P713" s="147"/>
      <c r="Q713" s="147"/>
      <c r="R713" s="102"/>
    </row>
    <row r="714" spans="11:18" ht="12.75" customHeight="1" x14ac:dyDescent="0.25">
      <c r="K714"/>
      <c r="M714" s="147"/>
      <c r="N714" s="147"/>
      <c r="O714" s="147"/>
      <c r="P714" s="147"/>
      <c r="Q714" s="147"/>
      <c r="R714" s="102"/>
    </row>
    <row r="715" spans="11:18" ht="12.75" customHeight="1" x14ac:dyDescent="0.25">
      <c r="K715"/>
      <c r="M715" s="147"/>
      <c r="N715" s="147"/>
      <c r="O715" s="147"/>
      <c r="P715" s="147"/>
      <c r="Q715" s="147"/>
      <c r="R715" s="102"/>
    </row>
    <row r="716" spans="11:18" ht="12.75" customHeight="1" x14ac:dyDescent="0.25">
      <c r="K716"/>
      <c r="M716" s="147"/>
      <c r="N716" s="147"/>
      <c r="O716" s="147"/>
      <c r="P716" s="147"/>
      <c r="Q716" s="147"/>
      <c r="R716" s="102"/>
    </row>
    <row r="717" spans="11:18" ht="12.75" customHeight="1" x14ac:dyDescent="0.25">
      <c r="K717"/>
      <c r="M717" s="147"/>
      <c r="N717" s="147"/>
      <c r="O717" s="147"/>
      <c r="P717" s="147"/>
      <c r="Q717" s="147"/>
      <c r="R717" s="102"/>
    </row>
    <row r="718" spans="11:18" ht="12.75" customHeight="1" x14ac:dyDescent="0.25">
      <c r="K718"/>
      <c r="M718" s="147"/>
      <c r="N718" s="147"/>
      <c r="O718" s="147"/>
      <c r="P718" s="147"/>
      <c r="Q718" s="147"/>
      <c r="R718" s="102"/>
    </row>
    <row r="719" spans="11:18" ht="12.75" customHeight="1" x14ac:dyDescent="0.25">
      <c r="K719"/>
      <c r="M719" s="147"/>
      <c r="N719" s="147"/>
      <c r="O719" s="147"/>
      <c r="P719" s="147"/>
      <c r="Q719" s="147"/>
      <c r="R719" s="102"/>
    </row>
    <row r="720" spans="11:18" ht="12.75" customHeight="1" x14ac:dyDescent="0.25">
      <c r="K720"/>
      <c r="M720" s="147"/>
      <c r="N720" s="147"/>
      <c r="O720" s="147"/>
      <c r="P720" s="147"/>
      <c r="Q720" s="147"/>
      <c r="R720" s="102"/>
    </row>
    <row r="721" spans="11:18" ht="12.75" customHeight="1" x14ac:dyDescent="0.25">
      <c r="K721"/>
      <c r="M721" s="147"/>
      <c r="N721" s="147"/>
      <c r="O721" s="147"/>
      <c r="P721" s="147"/>
      <c r="Q721" s="147"/>
      <c r="R721" s="102"/>
    </row>
    <row r="722" spans="11:18" ht="12.75" customHeight="1" x14ac:dyDescent="0.25">
      <c r="K722"/>
      <c r="M722" s="147"/>
      <c r="N722" s="147"/>
      <c r="O722" s="147"/>
      <c r="P722" s="147"/>
      <c r="Q722" s="147"/>
      <c r="R722" s="102"/>
    </row>
    <row r="723" spans="11:18" ht="12.75" customHeight="1" x14ac:dyDescent="0.25">
      <c r="K723"/>
      <c r="M723" s="147"/>
      <c r="N723" s="147"/>
      <c r="O723" s="147"/>
      <c r="P723" s="147"/>
      <c r="Q723" s="147"/>
      <c r="R723" s="102"/>
    </row>
    <row r="724" spans="11:18" ht="12.75" customHeight="1" x14ac:dyDescent="0.25">
      <c r="K724"/>
      <c r="M724" s="147"/>
      <c r="N724" s="147"/>
      <c r="O724" s="147"/>
      <c r="P724" s="147"/>
      <c r="Q724" s="147"/>
      <c r="R724" s="102"/>
    </row>
    <row r="725" spans="11:18" ht="12.75" customHeight="1" x14ac:dyDescent="0.25">
      <c r="K725"/>
      <c r="M725" s="147"/>
      <c r="N725" s="147"/>
      <c r="O725" s="147"/>
      <c r="P725" s="147"/>
      <c r="Q725" s="147"/>
      <c r="R725" s="102"/>
    </row>
    <row r="726" spans="11:18" ht="12.75" customHeight="1" x14ac:dyDescent="0.25">
      <c r="K726"/>
      <c r="M726" s="147"/>
      <c r="N726" s="147"/>
      <c r="O726" s="147"/>
      <c r="P726" s="147"/>
      <c r="Q726" s="147"/>
      <c r="R726" s="102"/>
    </row>
    <row r="727" spans="11:18" ht="12.75" customHeight="1" x14ac:dyDescent="0.25">
      <c r="K727"/>
      <c r="M727" s="147"/>
      <c r="N727" s="147"/>
      <c r="O727" s="147"/>
      <c r="P727" s="147"/>
      <c r="Q727" s="147"/>
      <c r="R727" s="102"/>
    </row>
    <row r="728" spans="11:18" ht="12.75" customHeight="1" x14ac:dyDescent="0.25">
      <c r="K728"/>
      <c r="M728" s="147"/>
      <c r="N728" s="147"/>
      <c r="O728" s="147"/>
      <c r="P728" s="147"/>
      <c r="Q728" s="147"/>
      <c r="R728" s="102"/>
    </row>
    <row r="729" spans="11:18" ht="12.75" customHeight="1" x14ac:dyDescent="0.25">
      <c r="K729"/>
      <c r="M729" s="147"/>
      <c r="N729" s="147"/>
      <c r="O729" s="147"/>
      <c r="P729" s="147"/>
      <c r="Q729" s="147"/>
      <c r="R729" s="102"/>
    </row>
    <row r="730" spans="11:18" ht="12.75" customHeight="1" x14ac:dyDescent="0.25">
      <c r="K730"/>
      <c r="M730" s="147"/>
      <c r="N730" s="147"/>
      <c r="O730" s="147"/>
      <c r="P730" s="147"/>
      <c r="Q730" s="147"/>
      <c r="R730" s="102"/>
    </row>
    <row r="731" spans="11:18" ht="12.75" customHeight="1" x14ac:dyDescent="0.25">
      <c r="K731"/>
      <c r="M731" s="147"/>
      <c r="N731" s="147"/>
      <c r="O731" s="147"/>
      <c r="P731" s="147"/>
      <c r="Q731" s="147"/>
      <c r="R731" s="102"/>
    </row>
    <row r="732" spans="11:18" ht="12.75" customHeight="1" x14ac:dyDescent="0.25">
      <c r="K732"/>
      <c r="M732" s="147"/>
      <c r="N732" s="147"/>
      <c r="O732" s="147"/>
      <c r="P732" s="147"/>
      <c r="Q732" s="147"/>
      <c r="R732" s="102"/>
    </row>
    <row r="733" spans="11:18" ht="12.75" customHeight="1" x14ac:dyDescent="0.25">
      <c r="K733"/>
      <c r="M733" s="147"/>
      <c r="N733" s="147"/>
      <c r="O733" s="147"/>
      <c r="P733" s="147"/>
      <c r="Q733" s="147"/>
      <c r="R733" s="102"/>
    </row>
    <row r="734" spans="11:18" ht="12.75" customHeight="1" x14ac:dyDescent="0.25">
      <c r="K734"/>
      <c r="M734" s="147"/>
      <c r="N734" s="147"/>
      <c r="O734" s="147"/>
      <c r="P734" s="147"/>
      <c r="Q734" s="147"/>
      <c r="R734" s="102"/>
    </row>
    <row r="735" spans="11:18" ht="12.75" customHeight="1" x14ac:dyDescent="0.25">
      <c r="K735"/>
      <c r="M735" s="147"/>
      <c r="N735" s="147"/>
      <c r="O735" s="147"/>
      <c r="P735" s="147"/>
      <c r="Q735" s="147"/>
      <c r="R735" s="102"/>
    </row>
    <row r="736" spans="11:18" ht="12.75" customHeight="1" x14ac:dyDescent="0.25">
      <c r="K736"/>
      <c r="M736" s="147"/>
      <c r="N736" s="147"/>
      <c r="O736" s="147"/>
      <c r="P736" s="147"/>
      <c r="Q736" s="147"/>
      <c r="R736" s="102"/>
    </row>
    <row r="737" spans="11:18" ht="12.75" customHeight="1" x14ac:dyDescent="0.25">
      <c r="K737"/>
      <c r="M737" s="147"/>
      <c r="N737" s="147"/>
      <c r="O737" s="147"/>
      <c r="P737" s="147"/>
      <c r="Q737" s="147"/>
      <c r="R737" s="102"/>
    </row>
    <row r="738" spans="11:18" ht="12.75" customHeight="1" x14ac:dyDescent="0.25">
      <c r="K738"/>
      <c r="M738" s="147"/>
      <c r="N738" s="147"/>
      <c r="O738" s="147"/>
      <c r="P738" s="147"/>
      <c r="Q738" s="147"/>
      <c r="R738" s="102"/>
    </row>
    <row r="739" spans="11:18" ht="12.75" customHeight="1" x14ac:dyDescent="0.25">
      <c r="K739"/>
      <c r="M739" s="147"/>
      <c r="N739" s="147"/>
      <c r="O739" s="147"/>
      <c r="P739" s="147"/>
      <c r="Q739" s="147"/>
      <c r="R739" s="102"/>
    </row>
    <row r="740" spans="11:18" ht="12.75" customHeight="1" x14ac:dyDescent="0.25">
      <c r="K740"/>
      <c r="M740" s="147"/>
      <c r="N740" s="147"/>
      <c r="O740" s="147"/>
      <c r="P740" s="147"/>
      <c r="Q740" s="147"/>
      <c r="R740" s="102"/>
    </row>
    <row r="741" spans="11:18" ht="12.75" customHeight="1" x14ac:dyDescent="0.25">
      <c r="K741"/>
      <c r="M741" s="147"/>
      <c r="N741" s="147"/>
      <c r="O741" s="147"/>
      <c r="P741" s="147"/>
      <c r="Q741" s="147"/>
      <c r="R741" s="102"/>
    </row>
    <row r="742" spans="11:18" ht="12.75" customHeight="1" x14ac:dyDescent="0.25">
      <c r="K742"/>
      <c r="M742" s="147"/>
      <c r="N742" s="147"/>
      <c r="O742" s="147"/>
      <c r="P742" s="147"/>
      <c r="Q742" s="147"/>
      <c r="R742" s="102"/>
    </row>
    <row r="743" spans="11:18" ht="12.75" customHeight="1" x14ac:dyDescent="0.25">
      <c r="K743"/>
      <c r="M743" s="147"/>
      <c r="N743" s="147"/>
      <c r="O743" s="147"/>
      <c r="P743" s="147"/>
      <c r="Q743" s="147"/>
      <c r="R743" s="102"/>
    </row>
    <row r="744" spans="11:18" ht="12.75" customHeight="1" x14ac:dyDescent="0.25">
      <c r="K744"/>
      <c r="M744" s="147"/>
      <c r="N744" s="147"/>
      <c r="O744" s="147"/>
      <c r="P744" s="147"/>
      <c r="Q744" s="147"/>
      <c r="R744" s="102"/>
    </row>
    <row r="745" spans="11:18" ht="12.75" customHeight="1" x14ac:dyDescent="0.25">
      <c r="K745"/>
      <c r="M745" s="147"/>
      <c r="N745" s="147"/>
      <c r="O745" s="147"/>
      <c r="P745" s="147"/>
      <c r="Q745" s="147"/>
      <c r="R745" s="102"/>
    </row>
    <row r="746" spans="11:18" ht="12.75" customHeight="1" x14ac:dyDescent="0.25">
      <c r="K746"/>
      <c r="M746" s="147"/>
      <c r="N746" s="147"/>
      <c r="O746" s="147"/>
      <c r="P746" s="147"/>
      <c r="Q746" s="147"/>
      <c r="R746" s="102"/>
    </row>
    <row r="747" spans="11:18" ht="12.75" customHeight="1" x14ac:dyDescent="0.25">
      <c r="K747"/>
      <c r="M747" s="147"/>
      <c r="N747" s="147"/>
      <c r="O747" s="147"/>
      <c r="P747" s="147"/>
      <c r="Q747" s="147"/>
      <c r="R747" s="102"/>
    </row>
    <row r="748" spans="11:18" ht="12.75" customHeight="1" x14ac:dyDescent="0.25">
      <c r="K748"/>
      <c r="M748" s="147"/>
      <c r="N748" s="147"/>
      <c r="O748" s="147"/>
      <c r="P748" s="147"/>
      <c r="Q748" s="147"/>
      <c r="R748" s="102"/>
    </row>
    <row r="749" spans="11:18" ht="12.75" customHeight="1" x14ac:dyDescent="0.25">
      <c r="K749"/>
      <c r="M749" s="147"/>
      <c r="N749" s="147"/>
      <c r="O749" s="147"/>
      <c r="P749" s="147"/>
      <c r="Q749" s="147"/>
      <c r="R749" s="102"/>
    </row>
    <row r="750" spans="11:18" ht="12.75" customHeight="1" x14ac:dyDescent="0.25">
      <c r="K750"/>
      <c r="M750" s="147"/>
      <c r="N750" s="147"/>
      <c r="O750" s="147"/>
      <c r="P750" s="147"/>
      <c r="Q750" s="147"/>
      <c r="R750" s="102"/>
    </row>
    <row r="751" spans="11:18" ht="12.75" customHeight="1" x14ac:dyDescent="0.25">
      <c r="K751"/>
      <c r="M751" s="147"/>
      <c r="N751" s="147"/>
      <c r="O751" s="147"/>
      <c r="P751" s="147"/>
      <c r="Q751" s="147"/>
      <c r="R751" s="102"/>
    </row>
    <row r="752" spans="11:18" ht="12.75" customHeight="1" x14ac:dyDescent="0.25">
      <c r="K752"/>
      <c r="M752" s="147"/>
      <c r="N752" s="147"/>
      <c r="O752" s="147"/>
      <c r="P752" s="147"/>
      <c r="Q752" s="147"/>
      <c r="R752" s="102"/>
    </row>
    <row r="753" spans="11:18" ht="12.75" customHeight="1" x14ac:dyDescent="0.25">
      <c r="K753"/>
      <c r="M753" s="147"/>
      <c r="N753" s="147"/>
      <c r="O753" s="147"/>
      <c r="P753" s="147"/>
      <c r="Q753" s="147"/>
      <c r="R753" s="102"/>
    </row>
    <row r="754" spans="11:18" ht="12.75" customHeight="1" x14ac:dyDescent="0.25">
      <c r="K754"/>
      <c r="M754" s="147"/>
      <c r="N754" s="147"/>
      <c r="O754" s="147"/>
      <c r="P754" s="147"/>
      <c r="Q754" s="147"/>
      <c r="R754" s="102"/>
    </row>
    <row r="755" spans="11:18" ht="12.75" customHeight="1" x14ac:dyDescent="0.25">
      <c r="K755"/>
      <c r="M755" s="147"/>
      <c r="N755" s="147"/>
      <c r="O755" s="147"/>
      <c r="P755" s="147"/>
      <c r="Q755" s="147"/>
      <c r="R755" s="102"/>
    </row>
    <row r="756" spans="11:18" ht="12.75" customHeight="1" x14ac:dyDescent="0.25">
      <c r="K756"/>
      <c r="M756" s="147"/>
      <c r="N756" s="147"/>
      <c r="O756" s="147"/>
      <c r="P756" s="147"/>
      <c r="Q756" s="147"/>
      <c r="R756" s="102"/>
    </row>
    <row r="757" spans="11:18" ht="12.75" customHeight="1" x14ac:dyDescent="0.25">
      <c r="K757"/>
      <c r="M757" s="147"/>
      <c r="N757" s="147"/>
      <c r="O757" s="147"/>
      <c r="P757" s="147"/>
      <c r="Q757" s="147"/>
      <c r="R757" s="102"/>
    </row>
    <row r="758" spans="11:18" ht="12.75" customHeight="1" x14ac:dyDescent="0.25">
      <c r="K758"/>
      <c r="M758" s="147"/>
      <c r="N758" s="147"/>
      <c r="O758" s="147"/>
      <c r="P758" s="147"/>
      <c r="Q758" s="147"/>
      <c r="R758" s="102"/>
    </row>
    <row r="759" spans="11:18" ht="12.75" customHeight="1" x14ac:dyDescent="0.25">
      <c r="K759"/>
      <c r="M759" s="147"/>
      <c r="N759" s="147"/>
      <c r="O759" s="147"/>
      <c r="P759" s="147"/>
      <c r="Q759" s="147"/>
      <c r="R759" s="102"/>
    </row>
    <row r="760" spans="11:18" ht="12.75" customHeight="1" x14ac:dyDescent="0.25">
      <c r="K760"/>
      <c r="M760" s="147"/>
      <c r="N760" s="147"/>
      <c r="O760" s="147"/>
      <c r="P760" s="147"/>
      <c r="Q760" s="147"/>
      <c r="R760" s="102"/>
    </row>
    <row r="761" spans="11:18" ht="12.75" customHeight="1" x14ac:dyDescent="0.25">
      <c r="K761"/>
      <c r="M761" s="147"/>
      <c r="N761" s="147"/>
      <c r="O761" s="147"/>
      <c r="P761" s="147"/>
      <c r="Q761" s="147"/>
      <c r="R761" s="102"/>
    </row>
    <row r="762" spans="11:18" ht="12.75" customHeight="1" x14ac:dyDescent="0.25">
      <c r="K762"/>
      <c r="M762" s="147"/>
      <c r="N762" s="147"/>
      <c r="O762" s="147"/>
      <c r="P762" s="147"/>
      <c r="Q762" s="147"/>
      <c r="R762" s="102"/>
    </row>
    <row r="763" spans="11:18" ht="12.75" customHeight="1" x14ac:dyDescent="0.25">
      <c r="K763"/>
      <c r="M763" s="147"/>
      <c r="N763" s="147"/>
      <c r="O763" s="147"/>
      <c r="P763" s="147"/>
      <c r="Q763" s="147"/>
      <c r="R763" s="102"/>
    </row>
    <row r="764" spans="11:18" ht="12.75" customHeight="1" x14ac:dyDescent="0.25">
      <c r="K764"/>
      <c r="M764" s="147"/>
      <c r="N764" s="147"/>
      <c r="O764" s="147"/>
      <c r="P764" s="147"/>
      <c r="Q764" s="147"/>
      <c r="R764" s="102"/>
    </row>
    <row r="765" spans="11:18" ht="12.75" customHeight="1" x14ac:dyDescent="0.25">
      <c r="K765"/>
      <c r="M765" s="147"/>
      <c r="N765" s="147"/>
      <c r="O765" s="147"/>
      <c r="P765" s="147"/>
      <c r="Q765" s="147"/>
      <c r="R765" s="102"/>
    </row>
    <row r="766" spans="11:18" ht="12.75" customHeight="1" x14ac:dyDescent="0.25">
      <c r="K766"/>
      <c r="M766" s="147"/>
      <c r="N766" s="147"/>
      <c r="O766" s="147"/>
      <c r="P766" s="147"/>
      <c r="Q766" s="147"/>
      <c r="R766" s="102"/>
    </row>
    <row r="767" spans="11:18" ht="12.75" customHeight="1" x14ac:dyDescent="0.25">
      <c r="K767"/>
      <c r="M767" s="147"/>
      <c r="N767" s="147"/>
      <c r="O767" s="147"/>
      <c r="P767" s="147"/>
      <c r="Q767" s="147"/>
      <c r="R767" s="102"/>
    </row>
    <row r="768" spans="11:18" ht="12.75" customHeight="1" x14ac:dyDescent="0.25">
      <c r="K768"/>
      <c r="M768" s="147"/>
      <c r="N768" s="147"/>
      <c r="O768" s="147"/>
      <c r="P768" s="147"/>
      <c r="Q768" s="147"/>
      <c r="R768" s="102"/>
    </row>
    <row r="769" spans="11:18" ht="12.75" customHeight="1" x14ac:dyDescent="0.25">
      <c r="K769"/>
      <c r="M769" s="147"/>
      <c r="N769" s="147"/>
      <c r="O769" s="147"/>
      <c r="P769" s="147"/>
      <c r="Q769" s="147"/>
      <c r="R769" s="102"/>
    </row>
    <row r="770" spans="11:18" ht="12.75" customHeight="1" x14ac:dyDescent="0.25">
      <c r="K770"/>
      <c r="M770" s="147"/>
      <c r="N770" s="147"/>
      <c r="O770" s="147"/>
      <c r="P770" s="147"/>
      <c r="Q770" s="147"/>
      <c r="R770" s="102"/>
    </row>
    <row r="771" spans="11:18" ht="12.75" customHeight="1" x14ac:dyDescent="0.25">
      <c r="K771"/>
      <c r="M771" s="147"/>
      <c r="N771" s="147"/>
      <c r="O771" s="147"/>
      <c r="P771" s="147"/>
      <c r="Q771" s="147"/>
      <c r="R771" s="102"/>
    </row>
    <row r="772" spans="11:18" ht="12.75" customHeight="1" x14ac:dyDescent="0.25">
      <c r="K772"/>
      <c r="M772" s="147"/>
      <c r="N772" s="147"/>
      <c r="O772" s="147"/>
      <c r="P772" s="147"/>
      <c r="Q772" s="147"/>
      <c r="R772" s="102"/>
    </row>
    <row r="773" spans="11:18" ht="12.75" customHeight="1" x14ac:dyDescent="0.25">
      <c r="K773"/>
      <c r="M773" s="147"/>
      <c r="N773" s="147"/>
      <c r="O773" s="147"/>
      <c r="P773" s="147"/>
      <c r="Q773" s="147"/>
      <c r="R773" s="102"/>
    </row>
    <row r="774" spans="11:18" ht="12.75" customHeight="1" x14ac:dyDescent="0.25">
      <c r="K774"/>
      <c r="M774" s="147"/>
      <c r="N774" s="147"/>
      <c r="O774" s="147"/>
      <c r="P774" s="147"/>
      <c r="Q774" s="147"/>
      <c r="R774" s="102"/>
    </row>
    <row r="775" spans="11:18" ht="12.75" customHeight="1" x14ac:dyDescent="0.25">
      <c r="K775"/>
      <c r="M775" s="147"/>
      <c r="N775" s="147"/>
      <c r="O775" s="147"/>
      <c r="P775" s="147"/>
      <c r="Q775" s="147"/>
      <c r="R775" s="102"/>
    </row>
    <row r="776" spans="11:18" ht="12.75" customHeight="1" x14ac:dyDescent="0.25">
      <c r="K776"/>
      <c r="M776" s="147"/>
      <c r="N776" s="147"/>
      <c r="O776" s="147"/>
      <c r="P776" s="147"/>
      <c r="Q776" s="147"/>
      <c r="R776" s="102"/>
    </row>
    <row r="777" spans="11:18" ht="12.75" customHeight="1" x14ac:dyDescent="0.25">
      <c r="K777"/>
      <c r="M777" s="147"/>
      <c r="N777" s="147"/>
      <c r="O777" s="147"/>
      <c r="P777" s="147"/>
      <c r="Q777" s="147"/>
      <c r="R777" s="102"/>
    </row>
    <row r="778" spans="11:18" ht="12.75" customHeight="1" x14ac:dyDescent="0.25">
      <c r="K778"/>
      <c r="M778" s="147"/>
      <c r="N778" s="147"/>
      <c r="O778" s="147"/>
      <c r="P778" s="147"/>
      <c r="Q778" s="147"/>
      <c r="R778" s="102"/>
    </row>
    <row r="779" spans="11:18" ht="12.75" customHeight="1" x14ac:dyDescent="0.25">
      <c r="K779"/>
      <c r="M779" s="147"/>
      <c r="N779" s="147"/>
      <c r="O779" s="147"/>
      <c r="P779" s="147"/>
      <c r="Q779" s="147"/>
      <c r="R779" s="102"/>
    </row>
    <row r="780" spans="11:18" ht="12.75" customHeight="1" x14ac:dyDescent="0.25">
      <c r="K780"/>
      <c r="M780" s="147"/>
      <c r="N780" s="147"/>
      <c r="O780" s="147"/>
      <c r="P780" s="147"/>
      <c r="Q780" s="147"/>
      <c r="R780" s="102"/>
    </row>
    <row r="781" spans="11:18" ht="12.75" customHeight="1" x14ac:dyDescent="0.25">
      <c r="K781"/>
      <c r="M781" s="147"/>
      <c r="N781" s="147"/>
      <c r="O781" s="147"/>
      <c r="P781" s="147"/>
      <c r="Q781" s="147"/>
      <c r="R781" s="102"/>
    </row>
    <row r="782" spans="11:18" ht="12.75" customHeight="1" x14ac:dyDescent="0.25">
      <c r="K782"/>
      <c r="M782" s="147"/>
      <c r="N782" s="147"/>
      <c r="O782" s="147"/>
      <c r="P782" s="147"/>
      <c r="Q782" s="147"/>
      <c r="R782" s="102"/>
    </row>
    <row r="783" spans="11:18" ht="12.75" customHeight="1" x14ac:dyDescent="0.25">
      <c r="K783"/>
      <c r="M783" s="147"/>
      <c r="N783" s="147"/>
      <c r="O783" s="147"/>
      <c r="P783" s="147"/>
      <c r="Q783" s="147"/>
      <c r="R783" s="102"/>
    </row>
    <row r="784" spans="11:18" ht="12.75" customHeight="1" x14ac:dyDescent="0.25">
      <c r="K784"/>
      <c r="M784" s="147"/>
      <c r="N784" s="147"/>
      <c r="O784" s="147"/>
      <c r="P784" s="147"/>
      <c r="Q784" s="147"/>
      <c r="R784" s="102"/>
    </row>
    <row r="785" spans="11:18" ht="12.75" customHeight="1" x14ac:dyDescent="0.25">
      <c r="K785"/>
      <c r="M785" s="147"/>
      <c r="N785" s="147"/>
      <c r="O785" s="147"/>
      <c r="P785" s="147"/>
      <c r="Q785" s="147"/>
      <c r="R785" s="102"/>
    </row>
    <row r="786" spans="11:18" ht="12.75" customHeight="1" x14ac:dyDescent="0.25">
      <c r="K786"/>
      <c r="M786" s="147"/>
      <c r="N786" s="147"/>
      <c r="O786" s="147"/>
      <c r="P786" s="147"/>
      <c r="Q786" s="147"/>
      <c r="R786" s="102"/>
    </row>
    <row r="787" spans="11:18" ht="12.75" customHeight="1" x14ac:dyDescent="0.25">
      <c r="K787"/>
      <c r="M787" s="147"/>
      <c r="N787" s="147"/>
      <c r="O787" s="147"/>
      <c r="P787" s="147"/>
      <c r="Q787" s="147"/>
      <c r="R787" s="102"/>
    </row>
    <row r="788" spans="11:18" ht="12.75" customHeight="1" x14ac:dyDescent="0.25">
      <c r="K788"/>
      <c r="M788" s="147"/>
      <c r="N788" s="147"/>
      <c r="O788" s="147"/>
      <c r="P788" s="147"/>
      <c r="Q788" s="147"/>
      <c r="R788" s="102"/>
    </row>
    <row r="789" spans="11:18" ht="12.75" customHeight="1" x14ac:dyDescent="0.25">
      <c r="K789"/>
      <c r="M789" s="147"/>
      <c r="N789" s="147"/>
      <c r="O789" s="147"/>
      <c r="P789" s="147"/>
      <c r="Q789" s="147"/>
      <c r="R789" s="102"/>
    </row>
    <row r="790" spans="11:18" ht="12.75" customHeight="1" x14ac:dyDescent="0.25">
      <c r="K790"/>
      <c r="M790" s="147"/>
      <c r="N790" s="147"/>
      <c r="O790" s="147"/>
      <c r="P790" s="147"/>
      <c r="Q790" s="147"/>
      <c r="R790" s="102"/>
    </row>
    <row r="791" spans="11:18" ht="12.75" customHeight="1" x14ac:dyDescent="0.25">
      <c r="K791"/>
      <c r="M791" s="147"/>
      <c r="N791" s="147"/>
      <c r="O791" s="147"/>
      <c r="P791" s="147"/>
      <c r="Q791" s="147"/>
      <c r="R791" s="102"/>
    </row>
    <row r="792" spans="11:18" ht="12.75" customHeight="1" x14ac:dyDescent="0.25">
      <c r="K792"/>
      <c r="M792" s="147"/>
      <c r="N792" s="147"/>
      <c r="O792" s="147"/>
      <c r="P792" s="147"/>
      <c r="Q792" s="147"/>
      <c r="R792" s="102"/>
    </row>
    <row r="793" spans="11:18" ht="12.75" customHeight="1" x14ac:dyDescent="0.25">
      <c r="K793"/>
      <c r="M793" s="147"/>
      <c r="N793" s="147"/>
      <c r="O793" s="147"/>
      <c r="P793" s="147"/>
      <c r="Q793" s="147"/>
      <c r="R793" s="102"/>
    </row>
    <row r="794" spans="11:18" ht="12.75" customHeight="1" x14ac:dyDescent="0.25">
      <c r="K794"/>
      <c r="M794" s="147"/>
      <c r="N794" s="147"/>
      <c r="O794" s="147"/>
      <c r="P794" s="147"/>
      <c r="Q794" s="147"/>
      <c r="R794" s="102"/>
    </row>
    <row r="795" spans="11:18" ht="12.75" customHeight="1" x14ac:dyDescent="0.25">
      <c r="K795"/>
      <c r="M795" s="147"/>
      <c r="N795" s="147"/>
      <c r="O795" s="147"/>
      <c r="P795" s="147"/>
      <c r="Q795" s="147"/>
      <c r="R795" s="102"/>
    </row>
    <row r="796" spans="11:18" ht="12.75" customHeight="1" x14ac:dyDescent="0.25">
      <c r="K796"/>
      <c r="M796" s="147"/>
      <c r="N796" s="147"/>
      <c r="O796" s="147"/>
      <c r="P796" s="147"/>
      <c r="Q796" s="147"/>
      <c r="R796" s="102"/>
    </row>
    <row r="797" spans="11:18" ht="12.75" customHeight="1" x14ac:dyDescent="0.25">
      <c r="K797"/>
      <c r="M797" s="147"/>
      <c r="N797" s="147"/>
      <c r="O797" s="147"/>
      <c r="P797" s="147"/>
      <c r="Q797" s="147"/>
      <c r="R797" s="102"/>
    </row>
    <row r="798" spans="11:18" ht="12.75" customHeight="1" x14ac:dyDescent="0.25">
      <c r="K798"/>
      <c r="M798" s="147"/>
      <c r="N798" s="147"/>
      <c r="O798" s="147"/>
      <c r="P798" s="147"/>
      <c r="Q798" s="147"/>
      <c r="R798" s="102"/>
    </row>
    <row r="799" spans="11:18" ht="12.75" customHeight="1" x14ac:dyDescent="0.25">
      <c r="K799"/>
      <c r="M799" s="147"/>
      <c r="N799" s="147"/>
      <c r="O799" s="147"/>
      <c r="P799" s="147"/>
      <c r="Q799" s="147"/>
      <c r="R799" s="102"/>
    </row>
    <row r="800" spans="11:18" ht="12.75" customHeight="1" x14ac:dyDescent="0.25">
      <c r="K800"/>
      <c r="M800" s="147"/>
      <c r="N800" s="147"/>
      <c r="O800" s="147"/>
      <c r="P800" s="147"/>
      <c r="Q800" s="147"/>
      <c r="R800" s="102"/>
    </row>
    <row r="801" spans="11:18" ht="12.75" customHeight="1" x14ac:dyDescent="0.25">
      <c r="K801"/>
      <c r="M801" s="147"/>
      <c r="N801" s="147"/>
      <c r="O801" s="147"/>
      <c r="P801" s="147"/>
      <c r="Q801" s="147"/>
      <c r="R801" s="102"/>
    </row>
    <row r="802" spans="11:18" ht="12.75" customHeight="1" x14ac:dyDescent="0.25">
      <c r="K802"/>
      <c r="M802" s="147"/>
      <c r="N802" s="147"/>
      <c r="O802" s="147"/>
      <c r="P802" s="147"/>
      <c r="Q802" s="147"/>
      <c r="R802" s="102"/>
    </row>
    <row r="803" spans="11:18" ht="12.75" customHeight="1" x14ac:dyDescent="0.25">
      <c r="K803"/>
      <c r="M803" s="147"/>
      <c r="N803" s="147"/>
      <c r="O803" s="147"/>
      <c r="P803" s="147"/>
      <c r="Q803" s="147"/>
      <c r="R803" s="102"/>
    </row>
    <row r="804" spans="11:18" ht="12.75" customHeight="1" x14ac:dyDescent="0.25">
      <c r="K804"/>
      <c r="M804" s="147"/>
      <c r="N804" s="147"/>
      <c r="O804" s="147"/>
      <c r="P804" s="147"/>
      <c r="Q804" s="147"/>
      <c r="R804" s="102"/>
    </row>
    <row r="805" spans="11:18" ht="12.75" customHeight="1" x14ac:dyDescent="0.25">
      <c r="K805"/>
      <c r="M805" s="147"/>
      <c r="N805" s="147"/>
      <c r="O805" s="147"/>
      <c r="P805" s="147"/>
      <c r="Q805" s="147"/>
      <c r="R805" s="102"/>
    </row>
    <row r="806" spans="11:18" ht="12.75" customHeight="1" x14ac:dyDescent="0.25">
      <c r="K806"/>
      <c r="M806" s="147"/>
      <c r="N806" s="147"/>
      <c r="O806" s="147"/>
      <c r="P806" s="147"/>
      <c r="Q806" s="147"/>
      <c r="R806" s="102"/>
    </row>
    <row r="807" spans="11:18" ht="12.75" customHeight="1" x14ac:dyDescent="0.25">
      <c r="K807"/>
      <c r="M807" s="147"/>
      <c r="N807" s="147"/>
      <c r="O807" s="147"/>
      <c r="P807" s="147"/>
      <c r="Q807" s="147"/>
      <c r="R807" s="102"/>
    </row>
    <row r="808" spans="11:18" ht="12.75" customHeight="1" x14ac:dyDescent="0.25">
      <c r="K808"/>
      <c r="M808" s="147"/>
      <c r="N808" s="147"/>
      <c r="O808" s="147"/>
      <c r="P808" s="147"/>
      <c r="Q808" s="147"/>
      <c r="R808" s="102"/>
    </row>
    <row r="809" spans="11:18" ht="12.75" customHeight="1" x14ac:dyDescent="0.25">
      <c r="K809"/>
      <c r="M809" s="147"/>
      <c r="N809" s="147"/>
      <c r="O809" s="147"/>
      <c r="P809" s="147"/>
      <c r="Q809" s="147"/>
      <c r="R809" s="102"/>
    </row>
    <row r="810" spans="11:18" ht="12.75" customHeight="1" x14ac:dyDescent="0.25">
      <c r="K810"/>
      <c r="M810" s="147"/>
      <c r="N810" s="147"/>
      <c r="O810" s="147"/>
      <c r="P810" s="147"/>
      <c r="Q810" s="147"/>
      <c r="R810" s="102"/>
    </row>
    <row r="811" spans="11:18" ht="12.75" customHeight="1" x14ac:dyDescent="0.25">
      <c r="K811"/>
      <c r="M811" s="147"/>
      <c r="N811" s="147"/>
      <c r="O811" s="147"/>
      <c r="P811" s="147"/>
      <c r="Q811" s="147"/>
      <c r="R811" s="102"/>
    </row>
    <row r="812" spans="11:18" ht="12.75" customHeight="1" x14ac:dyDescent="0.25">
      <c r="K812"/>
      <c r="M812" s="147"/>
      <c r="N812" s="147"/>
      <c r="O812" s="147"/>
      <c r="P812" s="147"/>
      <c r="Q812" s="147"/>
      <c r="R812" s="102"/>
    </row>
    <row r="813" spans="11:18" ht="12.75" customHeight="1" x14ac:dyDescent="0.25">
      <c r="K813"/>
      <c r="M813" s="147"/>
      <c r="N813" s="147"/>
      <c r="O813" s="147"/>
      <c r="P813" s="147"/>
      <c r="Q813" s="147"/>
      <c r="R813" s="102"/>
    </row>
    <row r="814" spans="11:18" ht="12.75" customHeight="1" x14ac:dyDescent="0.25">
      <c r="K814"/>
      <c r="M814" s="147"/>
      <c r="N814" s="147"/>
      <c r="O814" s="147"/>
      <c r="P814" s="147"/>
      <c r="Q814" s="147"/>
      <c r="R814" s="102"/>
    </row>
    <row r="815" spans="11:18" ht="12.75" customHeight="1" x14ac:dyDescent="0.25">
      <c r="K815"/>
      <c r="M815" s="147"/>
      <c r="N815" s="147"/>
      <c r="O815" s="147"/>
      <c r="P815" s="147"/>
      <c r="Q815" s="147"/>
      <c r="R815" s="102"/>
    </row>
    <row r="816" spans="11:18" ht="12.75" customHeight="1" x14ac:dyDescent="0.25">
      <c r="K816"/>
      <c r="M816" s="147"/>
      <c r="N816" s="147"/>
      <c r="O816" s="147"/>
      <c r="P816" s="147"/>
      <c r="Q816" s="147"/>
      <c r="R816" s="102"/>
    </row>
    <row r="817" spans="11:18" ht="12.75" customHeight="1" x14ac:dyDescent="0.25">
      <c r="K817"/>
      <c r="M817" s="147"/>
      <c r="N817" s="147"/>
      <c r="O817" s="147"/>
      <c r="P817" s="147"/>
      <c r="Q817" s="147"/>
      <c r="R817" s="102"/>
    </row>
    <row r="818" spans="11:18" ht="12.75" customHeight="1" x14ac:dyDescent="0.25">
      <c r="K818"/>
      <c r="M818" s="147"/>
      <c r="N818" s="147"/>
      <c r="O818" s="147"/>
      <c r="P818" s="147"/>
      <c r="Q818" s="147"/>
      <c r="R818" s="102"/>
    </row>
    <row r="819" spans="11:18" ht="12.75" customHeight="1" x14ac:dyDescent="0.25">
      <c r="K819"/>
      <c r="M819" s="147"/>
      <c r="N819" s="147"/>
      <c r="O819" s="147"/>
      <c r="P819" s="147"/>
      <c r="Q819" s="147"/>
      <c r="R819" s="102"/>
    </row>
    <row r="820" spans="11:18" ht="12.75" customHeight="1" x14ac:dyDescent="0.25">
      <c r="K820"/>
      <c r="M820" s="147"/>
      <c r="N820" s="147"/>
      <c r="O820" s="147"/>
      <c r="P820" s="147"/>
      <c r="Q820" s="147"/>
      <c r="R820" s="102"/>
    </row>
    <row r="821" spans="11:18" ht="12.75" customHeight="1" x14ac:dyDescent="0.25">
      <c r="K821"/>
      <c r="M821" s="147"/>
      <c r="N821" s="147"/>
      <c r="O821" s="147"/>
      <c r="P821" s="147"/>
      <c r="Q821" s="147"/>
      <c r="R821" s="102"/>
    </row>
    <row r="822" spans="11:18" ht="12.75" customHeight="1" x14ac:dyDescent="0.25">
      <c r="K822"/>
      <c r="M822" s="147"/>
      <c r="N822" s="147"/>
      <c r="O822" s="147"/>
      <c r="P822" s="147"/>
      <c r="Q822" s="147"/>
      <c r="R822" s="102"/>
    </row>
    <row r="823" spans="11:18" ht="12.75" customHeight="1" x14ac:dyDescent="0.25">
      <c r="K823"/>
      <c r="M823" s="147"/>
      <c r="N823" s="147"/>
      <c r="O823" s="147"/>
      <c r="P823" s="147"/>
      <c r="Q823" s="147"/>
      <c r="R823" s="102"/>
    </row>
    <row r="824" spans="11:18" ht="12.75" customHeight="1" x14ac:dyDescent="0.25">
      <c r="K824"/>
      <c r="M824" s="147"/>
      <c r="N824" s="147"/>
      <c r="O824" s="147"/>
      <c r="P824" s="147"/>
      <c r="Q824" s="147"/>
      <c r="R824" s="102"/>
    </row>
    <row r="825" spans="11:18" ht="12.75" customHeight="1" x14ac:dyDescent="0.25">
      <c r="K825"/>
      <c r="M825" s="147"/>
      <c r="N825" s="147"/>
      <c r="O825" s="147"/>
      <c r="P825" s="147"/>
      <c r="Q825" s="147"/>
      <c r="R825" s="102"/>
    </row>
    <row r="826" spans="11:18" ht="12.75" customHeight="1" x14ac:dyDescent="0.25">
      <c r="K826"/>
      <c r="M826" s="147"/>
      <c r="N826" s="147"/>
      <c r="O826" s="147"/>
      <c r="P826" s="147"/>
      <c r="Q826" s="147"/>
      <c r="R826" s="102"/>
    </row>
    <row r="827" spans="11:18" ht="12.75" customHeight="1" x14ac:dyDescent="0.25">
      <c r="K827"/>
      <c r="M827" s="147"/>
      <c r="N827" s="147"/>
      <c r="O827" s="147"/>
      <c r="P827" s="147"/>
      <c r="Q827" s="147"/>
      <c r="R827" s="102"/>
    </row>
    <row r="828" spans="11:18" ht="12.75" customHeight="1" x14ac:dyDescent="0.25">
      <c r="K828"/>
      <c r="M828" s="147"/>
      <c r="N828" s="147"/>
      <c r="O828" s="147"/>
      <c r="P828" s="147"/>
      <c r="Q828" s="147"/>
      <c r="R828" s="102"/>
    </row>
    <row r="829" spans="11:18" ht="12.75" customHeight="1" x14ac:dyDescent="0.25">
      <c r="K829"/>
      <c r="M829" s="147"/>
      <c r="N829" s="147"/>
      <c r="O829" s="147"/>
      <c r="P829" s="147"/>
      <c r="Q829" s="147"/>
      <c r="R829" s="102"/>
    </row>
    <row r="830" spans="11:18" ht="12.75" customHeight="1" x14ac:dyDescent="0.25">
      <c r="K830"/>
      <c r="M830" s="147"/>
      <c r="N830" s="147"/>
      <c r="O830" s="147"/>
      <c r="P830" s="147"/>
      <c r="Q830" s="147"/>
      <c r="R830" s="102"/>
    </row>
    <row r="831" spans="11:18" ht="12.75" customHeight="1" x14ac:dyDescent="0.25">
      <c r="K831"/>
      <c r="M831" s="147"/>
      <c r="N831" s="147"/>
      <c r="O831" s="147"/>
      <c r="P831" s="147"/>
      <c r="Q831" s="147"/>
      <c r="R831" s="102"/>
    </row>
    <row r="832" spans="11:18" ht="12.75" customHeight="1" x14ac:dyDescent="0.25">
      <c r="K832"/>
      <c r="M832" s="147"/>
      <c r="N832" s="147"/>
      <c r="O832" s="147"/>
      <c r="P832" s="147"/>
      <c r="Q832" s="147"/>
      <c r="R832" s="102"/>
    </row>
    <row r="833" spans="11:18" ht="12.75" customHeight="1" x14ac:dyDescent="0.25">
      <c r="K833"/>
      <c r="M833" s="147"/>
      <c r="N833" s="147"/>
      <c r="O833" s="147"/>
      <c r="P833" s="147"/>
      <c r="Q833" s="147"/>
      <c r="R833" s="102"/>
    </row>
    <row r="834" spans="11:18" ht="12.75" customHeight="1" x14ac:dyDescent="0.25">
      <c r="K834"/>
      <c r="M834" s="147"/>
      <c r="N834" s="147"/>
      <c r="O834" s="147"/>
      <c r="P834" s="147"/>
      <c r="Q834" s="147"/>
      <c r="R834" s="102"/>
    </row>
    <row r="835" spans="11:18" ht="12.75" customHeight="1" x14ac:dyDescent="0.25">
      <c r="K835"/>
      <c r="M835" s="147"/>
      <c r="N835" s="147"/>
      <c r="O835" s="147"/>
      <c r="P835" s="147"/>
      <c r="Q835" s="147"/>
      <c r="R835" s="102"/>
    </row>
    <row r="836" spans="11:18" ht="12.75" customHeight="1" x14ac:dyDescent="0.25">
      <c r="K836"/>
      <c r="M836" s="147"/>
      <c r="N836" s="147"/>
      <c r="O836" s="147"/>
      <c r="P836" s="147"/>
      <c r="Q836" s="147"/>
      <c r="R836" s="102"/>
    </row>
    <row r="837" spans="11:18" ht="12.75" customHeight="1" x14ac:dyDescent="0.25">
      <c r="K837"/>
      <c r="M837" s="147"/>
      <c r="N837" s="147"/>
      <c r="O837" s="147"/>
      <c r="P837" s="147"/>
      <c r="Q837" s="147"/>
      <c r="R837" s="102"/>
    </row>
    <row r="838" spans="11:18" ht="12.75" customHeight="1" x14ac:dyDescent="0.25">
      <c r="K838"/>
      <c r="M838" s="147"/>
      <c r="N838" s="147"/>
      <c r="O838" s="147"/>
      <c r="P838" s="147"/>
      <c r="Q838" s="147"/>
      <c r="R838" s="102"/>
    </row>
    <row r="839" spans="11:18" ht="12.75" customHeight="1" x14ac:dyDescent="0.25">
      <c r="K839"/>
      <c r="M839" s="147"/>
      <c r="N839" s="147"/>
      <c r="O839" s="147"/>
      <c r="P839" s="147"/>
      <c r="Q839" s="147"/>
      <c r="R839" s="102"/>
    </row>
    <row r="840" spans="11:18" ht="12.75" customHeight="1" x14ac:dyDescent="0.25">
      <c r="K840"/>
      <c r="M840" s="147"/>
      <c r="N840" s="147"/>
      <c r="O840" s="147"/>
      <c r="P840" s="147"/>
      <c r="Q840" s="147"/>
      <c r="R840" s="102"/>
    </row>
    <row r="841" spans="11:18" ht="12.75" customHeight="1" x14ac:dyDescent="0.25">
      <c r="K841"/>
      <c r="M841" s="147"/>
      <c r="N841" s="147"/>
      <c r="O841" s="147"/>
      <c r="P841" s="147"/>
      <c r="Q841" s="147"/>
      <c r="R841" s="102"/>
    </row>
    <row r="842" spans="11:18" ht="12.75" customHeight="1" x14ac:dyDescent="0.25">
      <c r="K842"/>
      <c r="M842" s="147"/>
      <c r="N842" s="147"/>
      <c r="O842" s="147"/>
      <c r="P842" s="147"/>
      <c r="Q842" s="147"/>
      <c r="R842" s="102"/>
    </row>
    <row r="843" spans="11:18" ht="12.75" customHeight="1" x14ac:dyDescent="0.25">
      <c r="K843"/>
      <c r="M843" s="147"/>
      <c r="N843" s="147"/>
      <c r="O843" s="147"/>
      <c r="P843" s="147"/>
      <c r="Q843" s="147"/>
      <c r="R843" s="102"/>
    </row>
    <row r="844" spans="11:18" ht="12.75" customHeight="1" x14ac:dyDescent="0.25">
      <c r="K844"/>
      <c r="M844" s="147"/>
      <c r="N844" s="147"/>
      <c r="O844" s="147"/>
      <c r="P844" s="147"/>
      <c r="Q844" s="147"/>
      <c r="R844" s="102"/>
    </row>
    <row r="845" spans="11:18" ht="12.75" customHeight="1" x14ac:dyDescent="0.25">
      <c r="K845"/>
      <c r="M845" s="147"/>
      <c r="N845" s="147"/>
      <c r="O845" s="147"/>
      <c r="P845" s="147"/>
      <c r="Q845" s="147"/>
      <c r="R845" s="102"/>
    </row>
    <row r="846" spans="11:18" ht="12.75" customHeight="1" x14ac:dyDescent="0.25">
      <c r="K846"/>
      <c r="M846" s="147"/>
      <c r="N846" s="147"/>
      <c r="O846" s="147"/>
      <c r="P846" s="147"/>
      <c r="Q846" s="147"/>
      <c r="R846" s="102"/>
    </row>
    <row r="847" spans="11:18" ht="12.75" customHeight="1" x14ac:dyDescent="0.25">
      <c r="K847"/>
      <c r="M847" s="147"/>
      <c r="N847" s="147"/>
      <c r="O847" s="147"/>
      <c r="P847" s="147"/>
      <c r="Q847" s="147"/>
      <c r="R847" s="102"/>
    </row>
    <row r="848" spans="11:18" ht="12.75" customHeight="1" x14ac:dyDescent="0.25">
      <c r="K848"/>
      <c r="M848" s="147"/>
      <c r="N848" s="147"/>
      <c r="O848" s="147"/>
      <c r="P848" s="147"/>
      <c r="Q848" s="147"/>
      <c r="R848" s="102"/>
    </row>
    <row r="849" spans="11:18" ht="12.75" customHeight="1" x14ac:dyDescent="0.25">
      <c r="K849"/>
      <c r="M849" s="147"/>
      <c r="N849" s="147"/>
      <c r="O849" s="147"/>
      <c r="P849" s="147"/>
      <c r="Q849" s="147"/>
      <c r="R849" s="102"/>
    </row>
    <row r="850" spans="11:18" ht="12.75" customHeight="1" x14ac:dyDescent="0.25">
      <c r="K850"/>
      <c r="M850" s="147"/>
      <c r="N850" s="147"/>
      <c r="O850" s="147"/>
      <c r="P850" s="147"/>
      <c r="Q850" s="147"/>
      <c r="R850" s="102"/>
    </row>
    <row r="851" spans="11:18" ht="12.75" customHeight="1" x14ac:dyDescent="0.25">
      <c r="K851"/>
      <c r="M851" s="147"/>
      <c r="N851" s="147"/>
      <c r="O851" s="147"/>
      <c r="P851" s="147"/>
      <c r="Q851" s="147"/>
      <c r="R851" s="102"/>
    </row>
    <row r="852" spans="11:18" ht="12.75" customHeight="1" x14ac:dyDescent="0.25">
      <c r="K852"/>
      <c r="M852" s="147"/>
      <c r="N852" s="147"/>
      <c r="O852" s="147"/>
      <c r="P852" s="147"/>
      <c r="Q852" s="147"/>
      <c r="R852" s="102"/>
    </row>
    <row r="853" spans="11:18" ht="12.75" customHeight="1" x14ac:dyDescent="0.25">
      <c r="K853"/>
      <c r="M853" s="147"/>
      <c r="N853" s="147"/>
      <c r="O853" s="147"/>
      <c r="P853" s="147"/>
      <c r="Q853" s="147"/>
      <c r="R853" s="102"/>
    </row>
    <row r="854" spans="11:18" ht="12.75" customHeight="1" x14ac:dyDescent="0.25">
      <c r="K854"/>
      <c r="M854" s="147"/>
      <c r="N854" s="147"/>
      <c r="O854" s="147"/>
      <c r="P854" s="147"/>
      <c r="Q854" s="147"/>
      <c r="R854" s="102"/>
    </row>
    <row r="855" spans="11:18" ht="12.75" customHeight="1" x14ac:dyDescent="0.25">
      <c r="K855"/>
      <c r="M855" s="147"/>
      <c r="N855" s="147"/>
      <c r="O855" s="147"/>
      <c r="P855" s="147"/>
      <c r="Q855" s="147"/>
      <c r="R855" s="102"/>
    </row>
    <row r="856" spans="11:18" ht="12.75" customHeight="1" x14ac:dyDescent="0.25">
      <c r="K856"/>
      <c r="M856" s="147"/>
      <c r="N856" s="147"/>
      <c r="O856" s="147"/>
      <c r="P856" s="147"/>
      <c r="Q856" s="147"/>
      <c r="R856" s="102"/>
    </row>
    <row r="857" spans="11:18" ht="12.75" customHeight="1" x14ac:dyDescent="0.25">
      <c r="K857"/>
      <c r="M857" s="147"/>
      <c r="N857" s="147"/>
      <c r="O857" s="147"/>
      <c r="P857" s="147"/>
      <c r="Q857" s="147"/>
      <c r="R857" s="102"/>
    </row>
    <row r="858" spans="11:18" ht="12.75" customHeight="1" x14ac:dyDescent="0.25">
      <c r="K858"/>
      <c r="M858" s="147"/>
      <c r="N858" s="147"/>
      <c r="O858" s="147"/>
      <c r="P858" s="147"/>
      <c r="Q858" s="147"/>
      <c r="R858" s="102"/>
    </row>
    <row r="859" spans="11:18" ht="12.75" customHeight="1" x14ac:dyDescent="0.25">
      <c r="K859"/>
      <c r="M859" s="147"/>
      <c r="N859" s="147"/>
      <c r="O859" s="147"/>
      <c r="P859" s="147"/>
      <c r="Q859" s="147"/>
      <c r="R859" s="102"/>
    </row>
    <row r="860" spans="11:18" ht="12.75" customHeight="1" x14ac:dyDescent="0.25">
      <c r="K860"/>
      <c r="M860" s="147"/>
      <c r="N860" s="147"/>
      <c r="O860" s="147"/>
      <c r="P860" s="147"/>
      <c r="Q860" s="147"/>
      <c r="R860" s="102"/>
    </row>
    <row r="861" spans="11:18" ht="12.75" customHeight="1" x14ac:dyDescent="0.25">
      <c r="K861"/>
      <c r="M861" s="147"/>
      <c r="N861" s="147"/>
      <c r="O861" s="147"/>
      <c r="P861" s="147"/>
      <c r="Q861" s="147"/>
      <c r="R861" s="102"/>
    </row>
    <row r="862" spans="11:18" ht="12.75" customHeight="1" x14ac:dyDescent="0.25">
      <c r="K862"/>
      <c r="M862" s="147"/>
      <c r="N862" s="147"/>
      <c r="O862" s="147"/>
      <c r="P862" s="147"/>
      <c r="Q862" s="147"/>
      <c r="R862" s="102"/>
    </row>
    <row r="863" spans="11:18" ht="12.75" customHeight="1" x14ac:dyDescent="0.25">
      <c r="K863"/>
      <c r="M863" s="147"/>
      <c r="N863" s="147"/>
      <c r="O863" s="147"/>
      <c r="P863" s="147"/>
      <c r="Q863" s="147"/>
      <c r="R863" s="102"/>
    </row>
    <row r="864" spans="11:18" ht="12.75" customHeight="1" x14ac:dyDescent="0.25">
      <c r="K864"/>
      <c r="M864" s="147"/>
      <c r="N864" s="147"/>
      <c r="O864" s="147"/>
      <c r="P864" s="147"/>
      <c r="Q864" s="147"/>
      <c r="R864" s="102"/>
    </row>
    <row r="865" spans="11:18" ht="12.75" customHeight="1" x14ac:dyDescent="0.25">
      <c r="K865"/>
      <c r="M865" s="147"/>
      <c r="N865" s="147"/>
      <c r="O865" s="147"/>
      <c r="P865" s="147"/>
      <c r="Q865" s="147"/>
      <c r="R865" s="102"/>
    </row>
    <row r="866" spans="11:18" ht="12.75" customHeight="1" x14ac:dyDescent="0.25">
      <c r="K866"/>
      <c r="M866" s="147"/>
      <c r="N866" s="147"/>
      <c r="O866" s="147"/>
      <c r="P866" s="147"/>
      <c r="Q866" s="147"/>
      <c r="R866" s="102"/>
    </row>
    <row r="867" spans="11:18" ht="12.75" customHeight="1" x14ac:dyDescent="0.25">
      <c r="K867"/>
      <c r="M867" s="147"/>
      <c r="N867" s="147"/>
      <c r="O867" s="147"/>
      <c r="P867" s="147"/>
      <c r="Q867" s="147"/>
      <c r="R867" s="102"/>
    </row>
    <row r="868" spans="11:18" ht="12.75" customHeight="1" x14ac:dyDescent="0.25">
      <c r="K868"/>
      <c r="M868" s="147"/>
      <c r="N868" s="147"/>
      <c r="O868" s="147"/>
      <c r="P868" s="147"/>
      <c r="Q868" s="147"/>
      <c r="R868" s="102"/>
    </row>
    <row r="869" spans="11:18" ht="12.75" customHeight="1" x14ac:dyDescent="0.25">
      <c r="K869"/>
      <c r="M869" s="147"/>
      <c r="N869" s="147"/>
      <c r="O869" s="147"/>
      <c r="P869" s="147"/>
      <c r="Q869" s="147"/>
      <c r="R869" s="102"/>
    </row>
    <row r="870" spans="11:18" ht="12.75" customHeight="1" x14ac:dyDescent="0.25">
      <c r="K870"/>
      <c r="M870" s="147"/>
      <c r="N870" s="147"/>
      <c r="O870" s="147"/>
      <c r="P870" s="147"/>
      <c r="Q870" s="147"/>
      <c r="R870" s="102"/>
    </row>
    <row r="871" spans="11:18" ht="12.75" customHeight="1" x14ac:dyDescent="0.25">
      <c r="K871"/>
      <c r="M871" s="147"/>
      <c r="N871" s="147"/>
      <c r="O871" s="147"/>
      <c r="P871" s="147"/>
      <c r="Q871" s="147"/>
      <c r="R871" s="102"/>
    </row>
    <row r="872" spans="11:18" ht="12.75" customHeight="1" x14ac:dyDescent="0.25">
      <c r="K872"/>
      <c r="M872" s="147"/>
      <c r="N872" s="147"/>
      <c r="O872" s="147"/>
      <c r="P872" s="147"/>
      <c r="Q872" s="147"/>
      <c r="R872" s="102"/>
    </row>
    <row r="873" spans="11:18" ht="12.75" customHeight="1" x14ac:dyDescent="0.25">
      <c r="K873"/>
      <c r="M873" s="147"/>
      <c r="N873" s="147"/>
      <c r="O873" s="147"/>
      <c r="P873" s="147"/>
      <c r="Q873" s="147"/>
      <c r="R873" s="102"/>
    </row>
    <row r="874" spans="11:18" ht="12.75" customHeight="1" x14ac:dyDescent="0.25">
      <c r="K874"/>
      <c r="M874" s="147"/>
      <c r="N874" s="147"/>
      <c r="O874" s="147"/>
      <c r="P874" s="147"/>
      <c r="Q874" s="147"/>
      <c r="R874" s="102"/>
    </row>
    <row r="875" spans="11:18" ht="12.75" customHeight="1" x14ac:dyDescent="0.25">
      <c r="K875"/>
      <c r="M875" s="147"/>
      <c r="N875" s="147"/>
      <c r="O875" s="147"/>
      <c r="P875" s="147"/>
      <c r="Q875" s="147"/>
      <c r="R875" s="102"/>
    </row>
    <row r="876" spans="11:18" ht="12.75" customHeight="1" x14ac:dyDescent="0.25">
      <c r="K876"/>
      <c r="M876" s="147"/>
      <c r="N876" s="147"/>
      <c r="O876" s="147"/>
      <c r="P876" s="147"/>
      <c r="Q876" s="147"/>
      <c r="R876" s="102"/>
    </row>
    <row r="877" spans="11:18" ht="12.75" customHeight="1" x14ac:dyDescent="0.25">
      <c r="K877"/>
      <c r="M877" s="147"/>
      <c r="N877" s="147"/>
      <c r="O877" s="147"/>
      <c r="P877" s="147"/>
      <c r="Q877" s="147"/>
      <c r="R877" s="102"/>
    </row>
    <row r="878" spans="11:18" ht="12.75" customHeight="1" x14ac:dyDescent="0.25">
      <c r="K878"/>
      <c r="M878" s="147"/>
      <c r="N878" s="147"/>
      <c r="O878" s="147"/>
      <c r="P878" s="147"/>
      <c r="Q878" s="147"/>
      <c r="R878" s="102"/>
    </row>
    <row r="879" spans="11:18" ht="12.75" customHeight="1" x14ac:dyDescent="0.25">
      <c r="K879"/>
      <c r="M879" s="147"/>
      <c r="N879" s="147"/>
      <c r="O879" s="147"/>
      <c r="P879" s="147"/>
      <c r="Q879" s="147"/>
      <c r="R879" s="102"/>
    </row>
    <row r="880" spans="11:18" ht="12.75" customHeight="1" x14ac:dyDescent="0.25">
      <c r="K880"/>
      <c r="M880" s="147"/>
      <c r="N880" s="147"/>
      <c r="O880" s="147"/>
      <c r="P880" s="147"/>
      <c r="Q880" s="147"/>
      <c r="R880" s="102"/>
    </row>
    <row r="881" spans="11:18" ht="12.75" customHeight="1" x14ac:dyDescent="0.25">
      <c r="K881"/>
      <c r="M881" s="147"/>
      <c r="N881" s="147"/>
      <c r="O881" s="147"/>
      <c r="P881" s="147"/>
      <c r="Q881" s="147"/>
      <c r="R881" s="102"/>
    </row>
    <row r="882" spans="11:18" ht="12.75" customHeight="1" x14ac:dyDescent="0.25">
      <c r="K882"/>
      <c r="M882" s="147"/>
      <c r="N882" s="147"/>
      <c r="O882" s="147"/>
      <c r="P882" s="147"/>
      <c r="Q882" s="147"/>
      <c r="R882" s="102"/>
    </row>
    <row r="883" spans="11:18" ht="12.75" customHeight="1" x14ac:dyDescent="0.25">
      <c r="K883"/>
      <c r="M883" s="147"/>
      <c r="N883" s="147"/>
      <c r="O883" s="147"/>
      <c r="P883" s="147"/>
      <c r="Q883" s="147"/>
      <c r="R883" s="102"/>
    </row>
    <row r="884" spans="11:18" ht="12.75" customHeight="1" x14ac:dyDescent="0.25">
      <c r="K884"/>
      <c r="M884" s="147"/>
      <c r="N884" s="147"/>
      <c r="O884" s="147"/>
      <c r="P884" s="147"/>
      <c r="Q884" s="147"/>
      <c r="R884" s="102"/>
    </row>
    <row r="885" spans="11:18" ht="12.75" customHeight="1" x14ac:dyDescent="0.25">
      <c r="K885"/>
      <c r="M885" s="147"/>
      <c r="N885" s="147"/>
      <c r="O885" s="147"/>
      <c r="P885" s="147"/>
      <c r="Q885" s="147"/>
      <c r="R885" s="102"/>
    </row>
    <row r="886" spans="11:18" ht="12.75" customHeight="1" x14ac:dyDescent="0.25">
      <c r="K886"/>
      <c r="M886" s="147"/>
      <c r="N886" s="147"/>
      <c r="O886" s="147"/>
      <c r="P886" s="147"/>
      <c r="Q886" s="147"/>
      <c r="R886" s="102"/>
    </row>
    <row r="887" spans="11:18" ht="12.75" customHeight="1" x14ac:dyDescent="0.25">
      <c r="K887"/>
      <c r="M887" s="147"/>
      <c r="N887" s="147"/>
      <c r="O887" s="147"/>
      <c r="P887" s="147"/>
      <c r="Q887" s="147"/>
      <c r="R887" s="102"/>
    </row>
    <row r="888" spans="11:18" ht="12.75" customHeight="1" x14ac:dyDescent="0.25">
      <c r="K888"/>
      <c r="M888" s="147"/>
      <c r="N888" s="147"/>
      <c r="O888" s="147"/>
      <c r="P888" s="147"/>
      <c r="Q888" s="147"/>
      <c r="R888" s="102"/>
    </row>
    <row r="889" spans="11:18" ht="12.75" customHeight="1" x14ac:dyDescent="0.25">
      <c r="K889"/>
      <c r="M889" s="147"/>
      <c r="N889" s="147"/>
      <c r="O889" s="147"/>
      <c r="P889" s="147"/>
      <c r="Q889" s="147"/>
      <c r="R889" s="102"/>
    </row>
    <row r="890" spans="11:18" ht="12.75" customHeight="1" x14ac:dyDescent="0.25">
      <c r="K890"/>
      <c r="M890" s="147"/>
      <c r="N890" s="147"/>
      <c r="O890" s="147"/>
      <c r="P890" s="147"/>
      <c r="Q890" s="147"/>
      <c r="R890" s="102"/>
    </row>
    <row r="891" spans="11:18" ht="12.75" customHeight="1" x14ac:dyDescent="0.25">
      <c r="K891"/>
      <c r="M891" s="147"/>
      <c r="N891" s="147"/>
      <c r="O891" s="147"/>
      <c r="P891" s="147"/>
      <c r="Q891" s="147"/>
      <c r="R891" s="102"/>
    </row>
    <row r="892" spans="11:18" ht="12.75" customHeight="1" x14ac:dyDescent="0.25">
      <c r="K892"/>
      <c r="M892" s="147"/>
      <c r="N892" s="147"/>
      <c r="O892" s="147"/>
      <c r="P892" s="147"/>
      <c r="Q892" s="147"/>
      <c r="R892" s="102"/>
    </row>
    <row r="893" spans="11:18" ht="12.75" customHeight="1" x14ac:dyDescent="0.25">
      <c r="K893"/>
      <c r="M893" s="147"/>
      <c r="N893" s="147"/>
      <c r="O893" s="147"/>
      <c r="P893" s="147"/>
      <c r="Q893" s="147"/>
      <c r="R893" s="102"/>
    </row>
    <row r="894" spans="11:18" ht="12.75" customHeight="1" x14ac:dyDescent="0.25">
      <c r="K894"/>
      <c r="M894" s="147"/>
      <c r="N894" s="147"/>
      <c r="O894" s="147"/>
      <c r="P894" s="147"/>
      <c r="Q894" s="147"/>
      <c r="R894" s="102"/>
    </row>
    <row r="895" spans="11:18" ht="12.75" customHeight="1" x14ac:dyDescent="0.25">
      <c r="K895"/>
      <c r="M895" s="147"/>
      <c r="N895" s="147"/>
      <c r="O895" s="147"/>
      <c r="P895" s="147"/>
      <c r="Q895" s="147"/>
      <c r="R895" s="102"/>
    </row>
    <row r="896" spans="11:18" ht="12.75" customHeight="1" x14ac:dyDescent="0.25">
      <c r="K896"/>
      <c r="M896" s="147"/>
      <c r="N896" s="147"/>
      <c r="O896" s="147"/>
      <c r="P896" s="147"/>
      <c r="Q896" s="147"/>
      <c r="R896" s="102"/>
    </row>
    <row r="897" spans="11:18" ht="12.75" customHeight="1" x14ac:dyDescent="0.25">
      <c r="K897"/>
      <c r="M897" s="147"/>
      <c r="N897" s="147"/>
      <c r="O897" s="147"/>
      <c r="P897" s="147"/>
      <c r="Q897" s="147"/>
      <c r="R897" s="102"/>
    </row>
    <row r="898" spans="11:18" ht="12.75" customHeight="1" x14ac:dyDescent="0.25">
      <c r="K898"/>
      <c r="M898" s="147"/>
      <c r="N898" s="147"/>
      <c r="O898" s="147"/>
      <c r="P898" s="147"/>
      <c r="Q898" s="147"/>
      <c r="R898" s="102"/>
    </row>
    <row r="899" spans="11:18" ht="12.75" customHeight="1" x14ac:dyDescent="0.25">
      <c r="K899"/>
      <c r="M899" s="147"/>
      <c r="N899" s="147"/>
      <c r="O899" s="147"/>
      <c r="P899" s="147"/>
      <c r="Q899" s="147"/>
      <c r="R899" s="102"/>
    </row>
    <row r="900" spans="11:18" ht="12.75" customHeight="1" x14ac:dyDescent="0.25">
      <c r="K900"/>
      <c r="M900" s="147"/>
      <c r="N900" s="147"/>
      <c r="O900" s="147"/>
      <c r="P900" s="147"/>
      <c r="Q900" s="147"/>
      <c r="R900" s="102"/>
    </row>
    <row r="901" spans="11:18" ht="12.75" customHeight="1" x14ac:dyDescent="0.25">
      <c r="K901"/>
      <c r="M901" s="147"/>
      <c r="N901" s="147"/>
      <c r="O901" s="147"/>
      <c r="P901" s="147"/>
      <c r="Q901" s="147"/>
      <c r="R901" s="102"/>
    </row>
    <row r="902" spans="11:18" ht="12.75" customHeight="1" x14ac:dyDescent="0.25">
      <c r="K902"/>
      <c r="M902" s="147"/>
      <c r="N902" s="147"/>
      <c r="O902" s="147"/>
      <c r="P902" s="147"/>
      <c r="Q902" s="147"/>
      <c r="R902" s="102"/>
    </row>
    <row r="903" spans="11:18" ht="12.75" customHeight="1" x14ac:dyDescent="0.25">
      <c r="K903"/>
      <c r="M903" s="147"/>
      <c r="N903" s="147"/>
      <c r="O903" s="147"/>
      <c r="P903" s="147"/>
      <c r="Q903" s="147"/>
      <c r="R903" s="102"/>
    </row>
    <row r="904" spans="11:18" ht="12.75" customHeight="1" x14ac:dyDescent="0.25">
      <c r="K904"/>
      <c r="M904" s="147"/>
      <c r="N904" s="147"/>
      <c r="O904" s="147"/>
      <c r="P904" s="147"/>
      <c r="Q904" s="147"/>
      <c r="R904" s="102"/>
    </row>
    <row r="905" spans="11:18" ht="12.75" customHeight="1" x14ac:dyDescent="0.25">
      <c r="K905"/>
      <c r="M905" s="147"/>
      <c r="N905" s="147"/>
      <c r="O905" s="147"/>
      <c r="P905" s="147"/>
      <c r="Q905" s="147"/>
      <c r="R905" s="102"/>
    </row>
    <row r="906" spans="11:18" ht="12.75" customHeight="1" x14ac:dyDescent="0.25">
      <c r="K906"/>
      <c r="M906" s="147"/>
      <c r="N906" s="147"/>
      <c r="O906" s="147"/>
      <c r="P906" s="147"/>
      <c r="Q906" s="147"/>
      <c r="R906" s="102"/>
    </row>
    <row r="907" spans="11:18" ht="12.75" customHeight="1" x14ac:dyDescent="0.25">
      <c r="K907"/>
      <c r="M907" s="147"/>
      <c r="N907" s="147"/>
      <c r="O907" s="147"/>
      <c r="P907" s="147"/>
      <c r="Q907" s="147"/>
      <c r="R907" s="102"/>
    </row>
    <row r="908" spans="11:18" ht="12.75" customHeight="1" x14ac:dyDescent="0.25">
      <c r="K908"/>
      <c r="M908" s="147"/>
      <c r="N908" s="147"/>
      <c r="O908" s="147"/>
      <c r="P908" s="147"/>
      <c r="Q908" s="147"/>
      <c r="R908" s="102"/>
    </row>
    <row r="909" spans="11:18" ht="12.75" customHeight="1" x14ac:dyDescent="0.25">
      <c r="K909"/>
      <c r="M909" s="147"/>
      <c r="N909" s="147"/>
      <c r="O909" s="147"/>
      <c r="P909" s="147"/>
      <c r="Q909" s="147"/>
      <c r="R909" s="102"/>
    </row>
    <row r="910" spans="11:18" ht="12.75" customHeight="1" x14ac:dyDescent="0.25">
      <c r="K910"/>
      <c r="M910" s="147"/>
      <c r="N910" s="147"/>
      <c r="O910" s="147"/>
      <c r="P910" s="147"/>
      <c r="Q910" s="147"/>
      <c r="R910" s="102"/>
    </row>
    <row r="911" spans="11:18" ht="12.75" customHeight="1" x14ac:dyDescent="0.25">
      <c r="K911"/>
      <c r="M911" s="147"/>
      <c r="N911" s="147"/>
      <c r="O911" s="147"/>
      <c r="P911" s="147"/>
      <c r="Q911" s="147"/>
      <c r="R911" s="102"/>
    </row>
    <row r="912" spans="11:18" ht="12.75" customHeight="1" x14ac:dyDescent="0.25">
      <c r="K912"/>
      <c r="M912" s="147"/>
      <c r="N912" s="147"/>
      <c r="O912" s="147"/>
      <c r="P912" s="147"/>
      <c r="Q912" s="147"/>
      <c r="R912" s="102"/>
    </row>
    <row r="913" spans="11:18" ht="12.75" customHeight="1" x14ac:dyDescent="0.25">
      <c r="K913"/>
      <c r="M913" s="147"/>
      <c r="N913" s="147"/>
      <c r="O913" s="147"/>
      <c r="P913" s="147"/>
      <c r="Q913" s="147"/>
      <c r="R913" s="102"/>
    </row>
    <row r="914" spans="11:18" ht="12.75" customHeight="1" x14ac:dyDescent="0.25">
      <c r="K914"/>
      <c r="M914" s="147"/>
      <c r="N914" s="147"/>
      <c r="O914" s="147"/>
      <c r="P914" s="147"/>
      <c r="Q914" s="147"/>
      <c r="R914" s="102"/>
    </row>
    <row r="915" spans="11:18" ht="12.75" customHeight="1" x14ac:dyDescent="0.25">
      <c r="K915"/>
      <c r="M915" s="147"/>
      <c r="N915" s="147"/>
      <c r="O915" s="147"/>
      <c r="P915" s="147"/>
      <c r="Q915" s="147"/>
      <c r="R915" s="102"/>
    </row>
    <row r="916" spans="11:18" ht="12.75" customHeight="1" x14ac:dyDescent="0.25">
      <c r="K916"/>
      <c r="M916" s="147"/>
      <c r="N916" s="147"/>
      <c r="O916" s="147"/>
      <c r="P916" s="147"/>
      <c r="Q916" s="147"/>
      <c r="R916" s="102"/>
    </row>
    <row r="917" spans="11:18" ht="12.75" customHeight="1" x14ac:dyDescent="0.25">
      <c r="K917"/>
      <c r="M917" s="147"/>
      <c r="N917" s="147"/>
      <c r="O917" s="147"/>
      <c r="P917" s="147"/>
      <c r="Q917" s="147"/>
      <c r="R917" s="102"/>
    </row>
    <row r="918" spans="11:18" ht="12.75" customHeight="1" x14ac:dyDescent="0.25">
      <c r="K918"/>
      <c r="M918" s="147"/>
      <c r="N918" s="147"/>
      <c r="O918" s="147"/>
      <c r="P918" s="147"/>
      <c r="Q918" s="147"/>
      <c r="R918" s="102"/>
    </row>
    <row r="919" spans="11:18" ht="12.75" customHeight="1" x14ac:dyDescent="0.25">
      <c r="K919"/>
      <c r="M919" s="147"/>
      <c r="N919" s="147"/>
      <c r="O919" s="147"/>
      <c r="P919" s="147"/>
      <c r="Q919" s="147"/>
      <c r="R919" s="102"/>
    </row>
    <row r="920" spans="11:18" ht="12.75" customHeight="1" x14ac:dyDescent="0.25">
      <c r="K920"/>
      <c r="M920" s="147"/>
      <c r="N920" s="147"/>
      <c r="O920" s="147"/>
      <c r="P920" s="147"/>
      <c r="Q920" s="147"/>
      <c r="R920" s="102"/>
    </row>
    <row r="921" spans="11:18" ht="12.75" customHeight="1" x14ac:dyDescent="0.25">
      <c r="K921"/>
      <c r="M921" s="147"/>
      <c r="N921" s="147"/>
      <c r="O921" s="147"/>
      <c r="P921" s="147"/>
      <c r="Q921" s="147"/>
      <c r="R921" s="102"/>
    </row>
    <row r="922" spans="11:18" ht="12.75" customHeight="1" x14ac:dyDescent="0.25">
      <c r="K922"/>
      <c r="M922" s="147"/>
      <c r="N922" s="147"/>
      <c r="O922" s="147"/>
      <c r="P922" s="147"/>
      <c r="Q922" s="147"/>
      <c r="R922" s="102"/>
    </row>
    <row r="923" spans="11:18" ht="12.75" customHeight="1" x14ac:dyDescent="0.25">
      <c r="K923"/>
      <c r="M923" s="147"/>
      <c r="N923" s="147"/>
      <c r="O923" s="147"/>
      <c r="P923" s="147"/>
      <c r="Q923" s="147"/>
      <c r="R923" s="102"/>
    </row>
    <row r="924" spans="11:18" ht="12.75" customHeight="1" x14ac:dyDescent="0.25">
      <c r="K924"/>
      <c r="M924" s="147"/>
      <c r="N924" s="147"/>
      <c r="O924" s="147"/>
      <c r="P924" s="147"/>
      <c r="Q924" s="147"/>
      <c r="R924" s="102"/>
    </row>
    <row r="925" spans="11:18" ht="12.75" customHeight="1" x14ac:dyDescent="0.25">
      <c r="K925"/>
      <c r="M925" s="147"/>
      <c r="N925" s="147"/>
      <c r="O925" s="147"/>
      <c r="P925" s="147"/>
      <c r="Q925" s="147"/>
      <c r="R925" s="102"/>
    </row>
    <row r="926" spans="11:18" ht="12.75" customHeight="1" x14ac:dyDescent="0.25">
      <c r="K926"/>
      <c r="M926" s="147"/>
      <c r="N926" s="147"/>
      <c r="O926" s="147"/>
      <c r="P926" s="147"/>
      <c r="Q926" s="147"/>
      <c r="R926" s="102"/>
    </row>
    <row r="927" spans="11:18" ht="12.75" customHeight="1" x14ac:dyDescent="0.25">
      <c r="K927"/>
      <c r="M927" s="147"/>
      <c r="N927" s="147"/>
      <c r="O927" s="147"/>
      <c r="P927" s="147"/>
      <c r="Q927" s="147"/>
      <c r="R927" s="102"/>
    </row>
    <row r="928" spans="11:18" ht="12.75" customHeight="1" x14ac:dyDescent="0.25">
      <c r="K928"/>
      <c r="M928" s="147"/>
      <c r="N928" s="147"/>
      <c r="O928" s="147"/>
      <c r="P928" s="147"/>
      <c r="Q928" s="147"/>
      <c r="R928" s="102"/>
    </row>
    <row r="929" spans="11:18" ht="12.75" customHeight="1" x14ac:dyDescent="0.25">
      <c r="K929"/>
      <c r="M929" s="147"/>
      <c r="N929" s="147"/>
      <c r="O929" s="147"/>
      <c r="P929" s="147"/>
      <c r="Q929" s="147"/>
      <c r="R929" s="102"/>
    </row>
    <row r="930" spans="11:18" ht="12.75" customHeight="1" x14ac:dyDescent="0.25">
      <c r="K930"/>
      <c r="M930" s="147"/>
      <c r="N930" s="147"/>
      <c r="O930" s="147"/>
      <c r="P930" s="147"/>
      <c r="Q930" s="147"/>
      <c r="R930" s="102"/>
    </row>
    <row r="931" spans="11:18" ht="12.75" customHeight="1" x14ac:dyDescent="0.25">
      <c r="K931"/>
      <c r="M931" s="147"/>
      <c r="N931" s="147"/>
      <c r="O931" s="147"/>
      <c r="P931" s="147"/>
      <c r="Q931" s="147"/>
      <c r="R931" s="102"/>
    </row>
    <row r="932" spans="11:18" ht="12.75" customHeight="1" x14ac:dyDescent="0.25">
      <c r="K932"/>
      <c r="M932" s="147"/>
      <c r="N932" s="147"/>
      <c r="O932" s="147"/>
      <c r="P932" s="147"/>
      <c r="Q932" s="147"/>
      <c r="R932" s="102"/>
    </row>
    <row r="933" spans="11:18" ht="12.75" customHeight="1" x14ac:dyDescent="0.25">
      <c r="K933"/>
      <c r="M933" s="147"/>
      <c r="N933" s="147"/>
      <c r="O933" s="147"/>
      <c r="P933" s="147"/>
      <c r="Q933" s="147"/>
      <c r="R933" s="102"/>
    </row>
    <row r="934" spans="11:18" ht="12.75" customHeight="1" x14ac:dyDescent="0.25">
      <c r="K934"/>
      <c r="M934" s="147"/>
      <c r="N934" s="147"/>
      <c r="O934" s="147"/>
      <c r="P934" s="147"/>
      <c r="Q934" s="147"/>
      <c r="R934" s="102"/>
    </row>
    <row r="935" spans="11:18" ht="12.75" customHeight="1" x14ac:dyDescent="0.25">
      <c r="K935"/>
      <c r="M935" s="147"/>
      <c r="N935" s="147"/>
      <c r="O935" s="147"/>
      <c r="P935" s="147"/>
      <c r="Q935" s="147"/>
      <c r="R935" s="102"/>
    </row>
    <row r="936" spans="11:18" ht="12.75" customHeight="1" x14ac:dyDescent="0.25">
      <c r="K936"/>
      <c r="M936" s="147"/>
      <c r="N936" s="147"/>
      <c r="O936" s="147"/>
      <c r="P936" s="147"/>
      <c r="Q936" s="147"/>
      <c r="R936" s="102"/>
    </row>
    <row r="937" spans="11:18" ht="12.75" customHeight="1" x14ac:dyDescent="0.25">
      <c r="K937"/>
      <c r="M937" s="147"/>
      <c r="N937" s="147"/>
      <c r="O937" s="147"/>
      <c r="P937" s="147"/>
      <c r="Q937" s="147"/>
      <c r="R937" s="102"/>
    </row>
    <row r="938" spans="11:18" ht="12.75" customHeight="1" x14ac:dyDescent="0.25">
      <c r="K938"/>
      <c r="M938" s="147"/>
      <c r="N938" s="147"/>
      <c r="O938" s="147"/>
      <c r="P938" s="147"/>
      <c r="Q938" s="147"/>
      <c r="R938" s="102"/>
    </row>
    <row r="939" spans="11:18" ht="12.75" customHeight="1" x14ac:dyDescent="0.25">
      <c r="K939"/>
      <c r="M939" s="147"/>
      <c r="N939" s="147"/>
      <c r="O939" s="147"/>
      <c r="P939" s="147"/>
      <c r="Q939" s="147"/>
      <c r="R939" s="102"/>
    </row>
    <row r="940" spans="11:18" ht="12.75" customHeight="1" x14ac:dyDescent="0.25">
      <c r="K940"/>
      <c r="M940" s="147"/>
      <c r="N940" s="147"/>
      <c r="O940" s="147"/>
      <c r="P940" s="147"/>
      <c r="Q940" s="147"/>
      <c r="R940" s="102"/>
    </row>
    <row r="941" spans="11:18" ht="12.75" customHeight="1" x14ac:dyDescent="0.25">
      <c r="K941"/>
      <c r="M941" s="147"/>
      <c r="N941" s="147"/>
      <c r="O941" s="147"/>
      <c r="P941" s="147"/>
      <c r="Q941" s="147"/>
      <c r="R941" s="102"/>
    </row>
    <row r="942" spans="11:18" ht="12.75" customHeight="1" x14ac:dyDescent="0.25">
      <c r="K942"/>
      <c r="M942" s="147"/>
      <c r="N942" s="147"/>
      <c r="O942" s="147"/>
      <c r="P942" s="147"/>
      <c r="Q942" s="147"/>
      <c r="R942" s="102"/>
    </row>
    <row r="943" spans="11:18" ht="12.75" customHeight="1" x14ac:dyDescent="0.25">
      <c r="K943"/>
      <c r="M943" s="147"/>
      <c r="N943" s="147"/>
      <c r="O943" s="147"/>
      <c r="P943" s="147"/>
      <c r="Q943" s="147"/>
      <c r="R943" s="102"/>
    </row>
    <row r="944" spans="11:18" ht="12.75" customHeight="1" x14ac:dyDescent="0.25">
      <c r="K944"/>
      <c r="M944" s="147"/>
      <c r="N944" s="147"/>
      <c r="O944" s="147"/>
      <c r="P944" s="147"/>
      <c r="Q944" s="147"/>
      <c r="R944" s="102"/>
    </row>
    <row r="945" spans="11:18" ht="12.75" customHeight="1" x14ac:dyDescent="0.25">
      <c r="K945"/>
      <c r="M945" s="147"/>
      <c r="N945" s="147"/>
      <c r="O945" s="147"/>
      <c r="P945" s="147"/>
      <c r="Q945" s="147"/>
      <c r="R945" s="102"/>
    </row>
    <row r="946" spans="11:18" ht="12.75" customHeight="1" x14ac:dyDescent="0.25">
      <c r="K946"/>
      <c r="M946" s="147"/>
      <c r="N946" s="147"/>
      <c r="O946" s="147"/>
      <c r="P946" s="147"/>
      <c r="Q946" s="147"/>
      <c r="R946" s="102"/>
    </row>
    <row r="947" spans="11:18" ht="12.75" customHeight="1" x14ac:dyDescent="0.25">
      <c r="K947"/>
      <c r="M947" s="147"/>
      <c r="N947" s="147"/>
      <c r="O947" s="147"/>
      <c r="P947" s="147"/>
      <c r="Q947" s="147"/>
      <c r="R947" s="102"/>
    </row>
    <row r="948" spans="11:18" ht="12.75" customHeight="1" x14ac:dyDescent="0.25">
      <c r="K948"/>
      <c r="M948" s="147"/>
      <c r="N948" s="147"/>
      <c r="O948" s="147"/>
      <c r="P948" s="147"/>
      <c r="Q948" s="147"/>
      <c r="R948" s="102"/>
    </row>
    <row r="949" spans="11:18" ht="12.75" customHeight="1" x14ac:dyDescent="0.25">
      <c r="K949"/>
      <c r="M949" s="147"/>
      <c r="N949" s="147"/>
      <c r="O949" s="147"/>
      <c r="P949" s="147"/>
      <c r="Q949" s="147"/>
      <c r="R949" s="102"/>
    </row>
    <row r="950" spans="11:18" ht="12.75" customHeight="1" x14ac:dyDescent="0.25">
      <c r="K950"/>
      <c r="M950" s="147"/>
      <c r="N950" s="147"/>
      <c r="O950" s="147"/>
      <c r="P950" s="147"/>
      <c r="Q950" s="147"/>
      <c r="R950" s="102"/>
    </row>
    <row r="951" spans="11:18" ht="12.75" customHeight="1" x14ac:dyDescent="0.25">
      <c r="K951"/>
      <c r="M951" s="147"/>
      <c r="N951" s="147"/>
      <c r="O951" s="147"/>
      <c r="P951" s="147"/>
      <c r="Q951" s="147"/>
      <c r="R951" s="102"/>
    </row>
    <row r="952" spans="11:18" ht="12.75" customHeight="1" x14ac:dyDescent="0.25">
      <c r="K952"/>
      <c r="M952" s="147"/>
      <c r="N952" s="147"/>
      <c r="O952" s="147"/>
      <c r="P952" s="147"/>
      <c r="Q952" s="147"/>
      <c r="R952" s="102"/>
    </row>
    <row r="953" spans="11:18" ht="12.75" customHeight="1" x14ac:dyDescent="0.25">
      <c r="K953"/>
      <c r="M953" s="147"/>
      <c r="N953" s="147"/>
      <c r="O953" s="147"/>
      <c r="P953" s="147"/>
      <c r="Q953" s="147"/>
      <c r="R953" s="102"/>
    </row>
    <row r="954" spans="11:18" ht="12.75" customHeight="1" x14ac:dyDescent="0.25">
      <c r="K954"/>
      <c r="M954" s="147"/>
      <c r="N954" s="147"/>
      <c r="O954" s="147"/>
      <c r="P954" s="147"/>
      <c r="Q954" s="147"/>
      <c r="R954" s="102"/>
    </row>
    <row r="955" spans="11:18" ht="12.75" customHeight="1" x14ac:dyDescent="0.25">
      <c r="K955"/>
      <c r="M955" s="147"/>
      <c r="N955" s="147"/>
      <c r="O955" s="147"/>
      <c r="P955" s="147"/>
      <c r="Q955" s="147"/>
      <c r="R955" s="102"/>
    </row>
    <row r="956" spans="11:18" ht="12.75" customHeight="1" x14ac:dyDescent="0.25">
      <c r="K956"/>
      <c r="M956" s="147"/>
      <c r="N956" s="147"/>
      <c r="O956" s="147"/>
      <c r="P956" s="147"/>
      <c r="Q956" s="147"/>
      <c r="R956" s="102"/>
    </row>
    <row r="957" spans="11:18" ht="12.75" customHeight="1" x14ac:dyDescent="0.25">
      <c r="K957"/>
      <c r="M957" s="147"/>
      <c r="N957" s="147"/>
      <c r="O957" s="147"/>
      <c r="P957" s="147"/>
      <c r="Q957" s="147"/>
      <c r="R957" s="102"/>
    </row>
    <row r="958" spans="11:18" ht="12.75" customHeight="1" x14ac:dyDescent="0.25">
      <c r="K958"/>
      <c r="M958" s="147"/>
      <c r="N958" s="147"/>
      <c r="O958" s="147"/>
      <c r="P958" s="147"/>
      <c r="Q958" s="147"/>
      <c r="R958" s="102"/>
    </row>
    <row r="959" spans="11:18" ht="12.75" customHeight="1" x14ac:dyDescent="0.25">
      <c r="K959"/>
      <c r="M959" s="147"/>
      <c r="N959" s="147"/>
      <c r="O959" s="147"/>
      <c r="P959" s="147"/>
      <c r="Q959" s="147"/>
      <c r="R959" s="102"/>
    </row>
    <row r="960" spans="11:18" ht="12.75" customHeight="1" x14ac:dyDescent="0.25">
      <c r="K960"/>
      <c r="M960" s="147"/>
      <c r="N960" s="147"/>
      <c r="O960" s="147"/>
      <c r="P960" s="147"/>
      <c r="Q960" s="147"/>
      <c r="R960" s="102"/>
    </row>
    <row r="961" spans="11:18" ht="12.75" customHeight="1" x14ac:dyDescent="0.25">
      <c r="K961"/>
      <c r="M961" s="147"/>
      <c r="N961" s="147"/>
      <c r="O961" s="147"/>
      <c r="P961" s="147"/>
      <c r="Q961" s="147"/>
      <c r="R961" s="102"/>
    </row>
    <row r="962" spans="11:18" ht="12.75" customHeight="1" x14ac:dyDescent="0.25">
      <c r="K962"/>
      <c r="M962" s="147"/>
      <c r="N962" s="147"/>
      <c r="O962" s="147"/>
      <c r="P962" s="147"/>
      <c r="Q962" s="147"/>
      <c r="R962" s="102"/>
    </row>
    <row r="963" spans="11:18" ht="12.75" customHeight="1" x14ac:dyDescent="0.25">
      <c r="K963"/>
      <c r="M963" s="147"/>
      <c r="N963" s="147"/>
      <c r="O963" s="147"/>
      <c r="P963" s="147"/>
      <c r="Q963" s="147"/>
      <c r="R963" s="102"/>
    </row>
    <row r="964" spans="11:18" ht="12.75" customHeight="1" x14ac:dyDescent="0.25">
      <c r="K964"/>
      <c r="M964" s="147"/>
      <c r="N964" s="147"/>
      <c r="O964" s="147"/>
      <c r="P964" s="147"/>
      <c r="Q964" s="147"/>
      <c r="R964" s="102"/>
    </row>
    <row r="965" spans="11:18" ht="12.75" customHeight="1" x14ac:dyDescent="0.25">
      <c r="K965"/>
      <c r="M965" s="147"/>
      <c r="N965" s="147"/>
      <c r="O965" s="147"/>
      <c r="P965" s="147"/>
      <c r="Q965" s="147"/>
      <c r="R965" s="102"/>
    </row>
    <row r="966" spans="11:18" ht="12.75" customHeight="1" x14ac:dyDescent="0.25">
      <c r="K966"/>
      <c r="M966" s="147"/>
      <c r="N966" s="147"/>
      <c r="O966" s="147"/>
      <c r="P966" s="147"/>
      <c r="Q966" s="147"/>
      <c r="R966" s="102"/>
    </row>
    <row r="967" spans="11:18" ht="12.75" customHeight="1" x14ac:dyDescent="0.25">
      <c r="K967"/>
      <c r="M967" s="147"/>
      <c r="N967" s="147"/>
      <c r="O967" s="147"/>
      <c r="P967" s="147"/>
      <c r="Q967" s="147"/>
      <c r="R967" s="102"/>
    </row>
    <row r="968" spans="11:18" ht="12.75" customHeight="1" x14ac:dyDescent="0.25">
      <c r="K968"/>
      <c r="M968" s="147"/>
      <c r="N968" s="147"/>
      <c r="O968" s="147"/>
      <c r="P968" s="147"/>
      <c r="Q968" s="147"/>
      <c r="R968" s="102"/>
    </row>
    <row r="969" spans="11:18" ht="12.75" customHeight="1" x14ac:dyDescent="0.25">
      <c r="K969"/>
      <c r="M969" s="147"/>
      <c r="N969" s="147"/>
      <c r="O969" s="147"/>
      <c r="P969" s="147"/>
      <c r="Q969" s="147"/>
      <c r="R969" s="102"/>
    </row>
    <row r="970" spans="11:18" ht="12.75" customHeight="1" x14ac:dyDescent="0.25">
      <c r="K970"/>
      <c r="M970" s="147"/>
      <c r="N970" s="147"/>
      <c r="O970" s="147"/>
      <c r="P970" s="147"/>
      <c r="Q970" s="147"/>
      <c r="R970" s="102"/>
    </row>
    <row r="971" spans="11:18" ht="12.75" customHeight="1" x14ac:dyDescent="0.25">
      <c r="K971"/>
      <c r="M971" s="147"/>
      <c r="N971" s="147"/>
      <c r="O971" s="147"/>
      <c r="P971" s="147"/>
      <c r="Q971" s="147"/>
      <c r="R971" s="102"/>
    </row>
    <row r="972" spans="11:18" ht="12.75" customHeight="1" x14ac:dyDescent="0.25">
      <c r="K972"/>
      <c r="M972" s="147"/>
      <c r="N972" s="147"/>
      <c r="O972" s="147"/>
      <c r="P972" s="147"/>
      <c r="Q972" s="147"/>
      <c r="R972" s="102"/>
    </row>
    <row r="973" spans="11:18" ht="12.75" customHeight="1" x14ac:dyDescent="0.25">
      <c r="K973"/>
      <c r="M973" s="147"/>
      <c r="N973" s="147"/>
      <c r="O973" s="147"/>
      <c r="P973" s="147"/>
      <c r="Q973" s="147"/>
      <c r="R973" s="102"/>
    </row>
    <row r="974" spans="11:18" ht="12.75" customHeight="1" x14ac:dyDescent="0.25">
      <c r="K974"/>
      <c r="M974" s="147"/>
      <c r="N974" s="147"/>
      <c r="O974" s="147"/>
      <c r="P974" s="147"/>
      <c r="Q974" s="147"/>
      <c r="R974" s="102"/>
    </row>
    <row r="975" spans="11:18" ht="12.75" customHeight="1" x14ac:dyDescent="0.25">
      <c r="K975"/>
      <c r="M975" s="147"/>
      <c r="N975" s="147"/>
      <c r="O975" s="147"/>
      <c r="P975" s="147"/>
      <c r="Q975" s="147"/>
      <c r="R975" s="102"/>
    </row>
    <row r="976" spans="11:18" ht="12.75" customHeight="1" x14ac:dyDescent="0.25">
      <c r="K976"/>
      <c r="M976" s="147"/>
      <c r="N976" s="147"/>
      <c r="O976" s="147"/>
      <c r="P976" s="147"/>
      <c r="Q976" s="147"/>
      <c r="R976" s="102"/>
    </row>
    <row r="977" spans="11:18" ht="12.75" customHeight="1" x14ac:dyDescent="0.25">
      <c r="K977"/>
      <c r="M977" s="147"/>
      <c r="N977" s="147"/>
      <c r="O977" s="147"/>
      <c r="P977" s="147"/>
      <c r="Q977" s="147"/>
      <c r="R977" s="102"/>
    </row>
    <row r="978" spans="11:18" ht="12.75" customHeight="1" x14ac:dyDescent="0.25">
      <c r="K978"/>
      <c r="M978" s="147"/>
      <c r="N978" s="147"/>
      <c r="O978" s="147"/>
      <c r="P978" s="147"/>
      <c r="Q978" s="147"/>
      <c r="R978" s="102"/>
    </row>
    <row r="979" spans="11:18" ht="12.75" customHeight="1" x14ac:dyDescent="0.25">
      <c r="K979"/>
      <c r="M979" s="147"/>
      <c r="N979" s="147"/>
      <c r="O979" s="147"/>
      <c r="P979" s="147"/>
      <c r="Q979" s="147"/>
      <c r="R979" s="102"/>
    </row>
    <row r="980" spans="11:18" ht="12.75" customHeight="1" x14ac:dyDescent="0.25">
      <c r="K980"/>
      <c r="M980" s="147"/>
      <c r="N980" s="147"/>
      <c r="O980" s="147"/>
      <c r="P980" s="147"/>
      <c r="Q980" s="147"/>
      <c r="R980" s="102"/>
    </row>
    <row r="981" spans="11:18" ht="12.75" customHeight="1" x14ac:dyDescent="0.25">
      <c r="K981"/>
      <c r="M981" s="147"/>
      <c r="N981" s="147"/>
      <c r="O981" s="147"/>
      <c r="P981" s="147"/>
      <c r="Q981" s="147"/>
      <c r="R981" s="102"/>
    </row>
    <row r="982" spans="11:18" ht="12.75" customHeight="1" x14ac:dyDescent="0.25">
      <c r="K982"/>
      <c r="M982" s="147"/>
      <c r="N982" s="147"/>
      <c r="O982" s="147"/>
      <c r="P982" s="147"/>
      <c r="Q982" s="147"/>
      <c r="R982" s="102"/>
    </row>
    <row r="983" spans="11:18" ht="12.75" customHeight="1" x14ac:dyDescent="0.25">
      <c r="K983"/>
      <c r="M983" s="147"/>
      <c r="N983" s="147"/>
      <c r="O983" s="147"/>
      <c r="P983" s="147"/>
      <c r="Q983" s="147"/>
      <c r="R983" s="102"/>
    </row>
    <row r="984" spans="11:18" ht="12.75" customHeight="1" x14ac:dyDescent="0.25">
      <c r="K984"/>
      <c r="M984" s="147"/>
      <c r="N984" s="147"/>
      <c r="O984" s="147"/>
      <c r="P984" s="147"/>
      <c r="Q984" s="147"/>
      <c r="R984" s="102"/>
    </row>
    <row r="985" spans="11:18" ht="12.75" customHeight="1" x14ac:dyDescent="0.25">
      <c r="K985"/>
      <c r="M985" s="147"/>
      <c r="N985" s="147"/>
      <c r="O985" s="147"/>
      <c r="P985" s="147"/>
      <c r="Q985" s="147"/>
      <c r="R985" s="102"/>
    </row>
    <row r="986" spans="11:18" ht="12.75" customHeight="1" x14ac:dyDescent="0.25">
      <c r="K986"/>
      <c r="M986" s="147"/>
      <c r="N986" s="147"/>
      <c r="O986" s="147"/>
      <c r="P986" s="147"/>
      <c r="Q986" s="147"/>
      <c r="R986" s="102"/>
    </row>
    <row r="987" spans="11:18" ht="12.75" customHeight="1" x14ac:dyDescent="0.25">
      <c r="K987"/>
      <c r="M987" s="147"/>
      <c r="N987" s="147"/>
      <c r="O987" s="147"/>
      <c r="P987" s="147"/>
      <c r="Q987" s="147"/>
      <c r="R987" s="102"/>
    </row>
    <row r="988" spans="11:18" ht="12.75" customHeight="1" x14ac:dyDescent="0.25">
      <c r="K988"/>
      <c r="M988" s="147"/>
      <c r="N988" s="147"/>
      <c r="O988" s="147"/>
      <c r="P988" s="147"/>
      <c r="Q988" s="147"/>
      <c r="R988" s="102"/>
    </row>
    <row r="989" spans="11:18" ht="12.75" customHeight="1" x14ac:dyDescent="0.25">
      <c r="K989"/>
      <c r="M989" s="147"/>
      <c r="N989" s="147"/>
      <c r="O989" s="147"/>
      <c r="P989" s="147"/>
      <c r="Q989" s="147"/>
      <c r="R989" s="102"/>
    </row>
    <row r="990" spans="11:18" ht="12.75" customHeight="1" x14ac:dyDescent="0.25">
      <c r="K990"/>
      <c r="M990" s="147"/>
      <c r="N990" s="147"/>
      <c r="O990" s="147"/>
      <c r="P990" s="147"/>
      <c r="Q990" s="147"/>
      <c r="R990" s="102"/>
    </row>
    <row r="991" spans="11:18" ht="12.75" customHeight="1" x14ac:dyDescent="0.25">
      <c r="K991"/>
      <c r="M991" s="147"/>
      <c r="N991" s="147"/>
      <c r="O991" s="147"/>
      <c r="P991" s="147"/>
      <c r="Q991" s="147"/>
      <c r="R991" s="102"/>
    </row>
    <row r="992" spans="11:18" ht="12.75" customHeight="1" x14ac:dyDescent="0.25">
      <c r="K992"/>
      <c r="M992" s="147"/>
      <c r="N992" s="147"/>
      <c r="O992" s="147"/>
      <c r="P992" s="147"/>
      <c r="Q992" s="147"/>
      <c r="R992" s="102"/>
    </row>
    <row r="993" spans="11:18" ht="12.75" customHeight="1" x14ac:dyDescent="0.25">
      <c r="K993"/>
      <c r="M993" s="147"/>
      <c r="N993" s="147"/>
      <c r="O993" s="147"/>
      <c r="P993" s="147"/>
      <c r="Q993" s="147"/>
      <c r="R993" s="102"/>
    </row>
    <row r="994" spans="11:18" ht="12.75" customHeight="1" x14ac:dyDescent="0.25">
      <c r="K994"/>
      <c r="M994" s="147"/>
      <c r="N994" s="147"/>
      <c r="O994" s="147"/>
      <c r="P994" s="147"/>
      <c r="Q994" s="147"/>
      <c r="R994" s="102"/>
    </row>
    <row r="995" spans="11:18" ht="12.75" customHeight="1" x14ac:dyDescent="0.25">
      <c r="K995"/>
      <c r="M995" s="147"/>
      <c r="N995" s="147"/>
      <c r="O995" s="147"/>
      <c r="P995" s="147"/>
      <c r="Q995" s="147"/>
      <c r="R995" s="102"/>
    </row>
    <row r="996" spans="11:18" ht="12.75" customHeight="1" x14ac:dyDescent="0.25">
      <c r="K996"/>
      <c r="M996" s="147"/>
      <c r="N996" s="147"/>
      <c r="O996" s="147"/>
      <c r="P996" s="147"/>
      <c r="Q996" s="147"/>
      <c r="R996" s="102"/>
    </row>
    <row r="997" spans="11:18" ht="12.75" customHeight="1" x14ac:dyDescent="0.25">
      <c r="K997"/>
      <c r="M997" s="147"/>
      <c r="N997" s="147"/>
      <c r="O997" s="147"/>
      <c r="P997" s="147"/>
      <c r="Q997" s="147"/>
      <c r="R997" s="102"/>
    </row>
    <row r="998" spans="11:18" ht="12.75" customHeight="1" x14ac:dyDescent="0.25">
      <c r="K998"/>
      <c r="M998" s="147"/>
      <c r="N998" s="147"/>
      <c r="O998" s="147"/>
      <c r="P998" s="147"/>
      <c r="Q998" s="147"/>
      <c r="R998" s="102"/>
    </row>
    <row r="999" spans="11:18" ht="12.75" customHeight="1" x14ac:dyDescent="0.25">
      <c r="K999"/>
      <c r="M999" s="147"/>
      <c r="N999" s="147"/>
      <c r="O999" s="147"/>
      <c r="P999" s="147"/>
      <c r="Q999" s="147"/>
      <c r="R999" s="102"/>
    </row>
    <row r="1000" spans="11:18" ht="12.75" customHeight="1" x14ac:dyDescent="0.25">
      <c r="K1000"/>
      <c r="M1000" s="147"/>
      <c r="N1000" s="147"/>
      <c r="O1000" s="147"/>
      <c r="P1000" s="147"/>
      <c r="Q1000" s="147"/>
      <c r="R1000" s="102"/>
    </row>
    <row r="1001" spans="11:18" ht="12.75" customHeight="1" x14ac:dyDescent="0.25">
      <c r="K1001"/>
      <c r="M1001" s="147"/>
      <c r="N1001" s="147"/>
      <c r="O1001" s="147"/>
      <c r="P1001" s="147"/>
      <c r="Q1001" s="147"/>
      <c r="R1001" s="102"/>
    </row>
    <row r="1002" spans="11:18" ht="12.75" customHeight="1" x14ac:dyDescent="0.25">
      <c r="K1002"/>
      <c r="M1002" s="147"/>
      <c r="N1002" s="147"/>
      <c r="O1002" s="147"/>
      <c r="P1002" s="147"/>
      <c r="Q1002" s="147"/>
      <c r="R1002" s="102"/>
    </row>
    <row r="1003" spans="11:18" ht="12.75" customHeight="1" x14ac:dyDescent="0.25">
      <c r="K1003"/>
      <c r="M1003" s="147"/>
      <c r="N1003" s="147"/>
      <c r="O1003" s="147"/>
      <c r="P1003" s="147"/>
      <c r="Q1003" s="147"/>
      <c r="R1003" s="102"/>
    </row>
    <row r="1004" spans="11:18" ht="12.75" customHeight="1" x14ac:dyDescent="0.25">
      <c r="K1004"/>
      <c r="M1004" s="147"/>
      <c r="N1004" s="147"/>
      <c r="O1004" s="147"/>
      <c r="P1004" s="147"/>
      <c r="Q1004" s="147"/>
      <c r="R1004" s="102"/>
    </row>
    <row r="1005" spans="11:18" ht="12.75" customHeight="1" x14ac:dyDescent="0.25">
      <c r="K1005"/>
      <c r="M1005" s="147"/>
      <c r="N1005" s="147"/>
      <c r="O1005" s="147"/>
      <c r="P1005" s="147"/>
      <c r="Q1005" s="147"/>
      <c r="R1005" s="102"/>
    </row>
    <row r="1006" spans="11:18" ht="12.75" customHeight="1" x14ac:dyDescent="0.25">
      <c r="K1006"/>
      <c r="M1006" s="147"/>
      <c r="N1006" s="147"/>
      <c r="O1006" s="147"/>
      <c r="P1006" s="147"/>
      <c r="Q1006" s="147"/>
      <c r="R1006" s="102"/>
    </row>
    <row r="1007" spans="11:18" ht="12.75" customHeight="1" x14ac:dyDescent="0.25">
      <c r="K1007"/>
      <c r="M1007" s="147"/>
      <c r="N1007" s="147"/>
      <c r="O1007" s="147"/>
      <c r="P1007" s="147"/>
      <c r="Q1007" s="147"/>
      <c r="R1007" s="102"/>
    </row>
    <row r="1008" spans="11:18" ht="12.75" customHeight="1" x14ac:dyDescent="0.25">
      <c r="K1008"/>
      <c r="M1008" s="147"/>
      <c r="N1008" s="147"/>
      <c r="O1008" s="147"/>
      <c r="P1008" s="147"/>
      <c r="Q1008" s="147"/>
      <c r="R1008" s="102"/>
    </row>
    <row r="1009" spans="11:18" ht="12.75" customHeight="1" x14ac:dyDescent="0.25">
      <c r="K1009"/>
      <c r="M1009" s="147"/>
      <c r="N1009" s="147"/>
      <c r="O1009" s="147"/>
      <c r="P1009" s="147"/>
      <c r="Q1009" s="147"/>
      <c r="R1009" s="102"/>
    </row>
    <row r="1010" spans="11:18" ht="12.75" customHeight="1" x14ac:dyDescent="0.25">
      <c r="K1010"/>
      <c r="M1010" s="147"/>
      <c r="N1010" s="147"/>
      <c r="O1010" s="147"/>
      <c r="P1010" s="147"/>
      <c r="Q1010" s="147"/>
      <c r="R1010" s="102"/>
    </row>
    <row r="1011" spans="11:18" ht="12.75" customHeight="1" x14ac:dyDescent="0.25">
      <c r="K1011"/>
      <c r="M1011" s="147"/>
      <c r="N1011" s="147"/>
      <c r="O1011" s="147"/>
      <c r="P1011" s="147"/>
      <c r="Q1011" s="147"/>
      <c r="R1011" s="102"/>
    </row>
    <row r="1012" spans="11:18" ht="12.75" customHeight="1" x14ac:dyDescent="0.25">
      <c r="K1012"/>
      <c r="M1012" s="147"/>
      <c r="N1012" s="147"/>
      <c r="O1012" s="147"/>
      <c r="P1012" s="147"/>
      <c r="Q1012" s="147"/>
      <c r="R1012" s="102"/>
    </row>
    <row r="1013" spans="11:18" ht="12.75" customHeight="1" x14ac:dyDescent="0.25">
      <c r="K1013"/>
      <c r="M1013" s="147"/>
      <c r="N1013" s="147"/>
      <c r="O1013" s="147"/>
      <c r="P1013" s="147"/>
      <c r="Q1013" s="147"/>
      <c r="R1013" s="102"/>
    </row>
    <row r="1014" spans="11:18" ht="12.75" customHeight="1" x14ac:dyDescent="0.25">
      <c r="K1014"/>
      <c r="M1014" s="147"/>
      <c r="N1014" s="147"/>
      <c r="O1014" s="147"/>
      <c r="P1014" s="147"/>
      <c r="Q1014" s="147"/>
      <c r="R1014" s="102"/>
    </row>
    <row r="1015" spans="11:18" ht="12.75" customHeight="1" x14ac:dyDescent="0.25">
      <c r="K1015"/>
      <c r="M1015" s="147"/>
      <c r="N1015" s="147"/>
      <c r="O1015" s="147"/>
      <c r="P1015" s="147"/>
      <c r="Q1015" s="147"/>
      <c r="R1015" s="102"/>
    </row>
    <row r="1016" spans="11:18" ht="12.75" customHeight="1" x14ac:dyDescent="0.25">
      <c r="K1016"/>
      <c r="M1016" s="147"/>
      <c r="N1016" s="147"/>
      <c r="O1016" s="147"/>
      <c r="P1016" s="147"/>
      <c r="Q1016" s="147"/>
      <c r="R1016" s="102"/>
    </row>
    <row r="1017" spans="11:18" ht="12.75" customHeight="1" x14ac:dyDescent="0.25">
      <c r="K1017"/>
      <c r="M1017" s="147"/>
      <c r="N1017" s="147"/>
      <c r="O1017" s="147"/>
      <c r="P1017" s="147"/>
      <c r="Q1017" s="147"/>
      <c r="R1017" s="102"/>
    </row>
    <row r="1018" spans="11:18" ht="12.75" customHeight="1" x14ac:dyDescent="0.25">
      <c r="K1018"/>
      <c r="M1018" s="147"/>
      <c r="N1018" s="147"/>
      <c r="O1018" s="147"/>
      <c r="P1018" s="147"/>
      <c r="Q1018" s="147"/>
      <c r="R1018" s="102"/>
    </row>
    <row r="1019" spans="11:18" ht="12.75" customHeight="1" x14ac:dyDescent="0.25">
      <c r="K1019"/>
      <c r="M1019" s="147"/>
      <c r="N1019" s="147"/>
      <c r="O1019" s="147"/>
      <c r="P1019" s="147"/>
      <c r="Q1019" s="147"/>
      <c r="R1019" s="102"/>
    </row>
    <row r="1020" spans="11:18" ht="12.75" customHeight="1" x14ac:dyDescent="0.25">
      <c r="K1020"/>
      <c r="M1020" s="147"/>
      <c r="N1020" s="147"/>
      <c r="O1020" s="147"/>
      <c r="P1020" s="147"/>
      <c r="Q1020" s="147"/>
      <c r="R1020" s="102"/>
    </row>
    <row r="1021" spans="11:18" ht="12.75" customHeight="1" x14ac:dyDescent="0.25">
      <c r="K1021"/>
      <c r="M1021" s="147"/>
      <c r="N1021" s="147"/>
      <c r="O1021" s="147"/>
      <c r="P1021" s="147"/>
      <c r="Q1021" s="147"/>
      <c r="R1021" s="102"/>
    </row>
    <row r="1022" spans="11:18" ht="12.75" customHeight="1" x14ac:dyDescent="0.25">
      <c r="K1022"/>
      <c r="M1022" s="147"/>
      <c r="N1022" s="147"/>
      <c r="O1022" s="147"/>
      <c r="P1022" s="147"/>
      <c r="Q1022" s="147"/>
      <c r="R1022" s="102"/>
    </row>
    <row r="1023" spans="11:18" ht="12.75" customHeight="1" x14ac:dyDescent="0.25">
      <c r="K1023"/>
      <c r="M1023" s="147"/>
      <c r="N1023" s="147"/>
      <c r="O1023" s="147"/>
      <c r="P1023" s="147"/>
      <c r="Q1023" s="147"/>
      <c r="R1023" s="102"/>
    </row>
    <row r="1024" spans="11:18" ht="12.75" customHeight="1" x14ac:dyDescent="0.25">
      <c r="K1024"/>
      <c r="M1024" s="147"/>
      <c r="N1024" s="147"/>
      <c r="O1024" s="147"/>
      <c r="P1024" s="147"/>
      <c r="Q1024" s="147"/>
      <c r="R1024" s="102"/>
    </row>
    <row r="1025" spans="11:18" ht="12.75" customHeight="1" x14ac:dyDescent="0.25">
      <c r="K1025"/>
      <c r="M1025" s="147"/>
      <c r="N1025" s="147"/>
      <c r="O1025" s="147"/>
      <c r="P1025" s="147"/>
      <c r="Q1025" s="147"/>
      <c r="R1025" s="102"/>
    </row>
    <row r="1026" spans="11:18" ht="12.75" customHeight="1" x14ac:dyDescent="0.25">
      <c r="K1026"/>
      <c r="M1026" s="147"/>
      <c r="N1026" s="147"/>
      <c r="O1026" s="147"/>
      <c r="P1026" s="147"/>
      <c r="Q1026" s="147"/>
      <c r="R1026" s="102"/>
    </row>
    <row r="1027" spans="11:18" ht="12.75" customHeight="1" x14ac:dyDescent="0.25">
      <c r="K1027"/>
      <c r="M1027" s="147"/>
      <c r="N1027" s="147"/>
      <c r="O1027" s="147"/>
      <c r="P1027" s="147"/>
      <c r="Q1027" s="147"/>
      <c r="R1027" s="102"/>
    </row>
    <row r="1028" spans="11:18" ht="12.75" customHeight="1" x14ac:dyDescent="0.25">
      <c r="K1028"/>
      <c r="M1028" s="147"/>
      <c r="N1028" s="147"/>
      <c r="O1028" s="147"/>
      <c r="P1028" s="147"/>
      <c r="Q1028" s="147"/>
      <c r="R1028" s="102"/>
    </row>
    <row r="1029" spans="11:18" ht="12.75" customHeight="1" x14ac:dyDescent="0.25">
      <c r="K1029"/>
      <c r="M1029" s="147"/>
      <c r="N1029" s="147"/>
      <c r="O1029" s="147"/>
      <c r="P1029" s="147"/>
      <c r="Q1029" s="147"/>
      <c r="R1029" s="102"/>
    </row>
    <row r="1030" spans="11:18" ht="12.75" customHeight="1" x14ac:dyDescent="0.25">
      <c r="K1030"/>
      <c r="M1030" s="147"/>
      <c r="N1030" s="147"/>
      <c r="O1030" s="147"/>
      <c r="P1030" s="147"/>
      <c r="Q1030" s="147"/>
      <c r="R1030" s="102"/>
    </row>
    <row r="1031" spans="11:18" ht="12.75" customHeight="1" x14ac:dyDescent="0.25">
      <c r="K1031"/>
      <c r="M1031" s="147"/>
      <c r="N1031" s="147"/>
      <c r="O1031" s="147"/>
      <c r="P1031" s="147"/>
      <c r="Q1031" s="147"/>
      <c r="R1031" s="102"/>
    </row>
    <row r="1032" spans="11:18" ht="12.75" customHeight="1" x14ac:dyDescent="0.25">
      <c r="K1032"/>
      <c r="M1032" s="147"/>
      <c r="N1032" s="147"/>
      <c r="O1032" s="147"/>
      <c r="P1032" s="147"/>
      <c r="Q1032" s="147"/>
      <c r="R1032" s="102"/>
    </row>
    <row r="1033" spans="11:18" ht="12.75" customHeight="1" x14ac:dyDescent="0.25">
      <c r="K1033"/>
      <c r="M1033" s="147"/>
      <c r="N1033" s="147"/>
      <c r="O1033" s="147"/>
      <c r="P1033" s="147"/>
      <c r="Q1033" s="147"/>
      <c r="R1033" s="102"/>
    </row>
    <row r="1034" spans="11:18" ht="12.75" customHeight="1" x14ac:dyDescent="0.25">
      <c r="K1034"/>
      <c r="M1034" s="147"/>
      <c r="N1034" s="147"/>
      <c r="O1034" s="147"/>
      <c r="P1034" s="147"/>
      <c r="Q1034" s="147"/>
      <c r="R1034" s="102"/>
    </row>
    <row r="1035" spans="11:18" ht="12.75" customHeight="1" x14ac:dyDescent="0.25">
      <c r="K1035"/>
      <c r="M1035" s="147"/>
      <c r="N1035" s="147"/>
      <c r="O1035" s="147"/>
      <c r="P1035" s="147"/>
      <c r="Q1035" s="147"/>
      <c r="R1035" s="102"/>
    </row>
    <row r="1036" spans="11:18" ht="12.75" customHeight="1" x14ac:dyDescent="0.25">
      <c r="K1036"/>
      <c r="M1036" s="147"/>
      <c r="N1036" s="147"/>
      <c r="O1036" s="147"/>
      <c r="P1036" s="147"/>
      <c r="Q1036" s="147"/>
      <c r="R1036" s="102"/>
    </row>
    <row r="1037" spans="11:18" ht="12.75" customHeight="1" x14ac:dyDescent="0.25">
      <c r="K1037"/>
      <c r="M1037" s="147"/>
      <c r="N1037" s="147"/>
      <c r="O1037" s="147"/>
      <c r="P1037" s="147"/>
      <c r="Q1037" s="147"/>
      <c r="R1037" s="102"/>
    </row>
    <row r="1038" spans="11:18" ht="12.75" customHeight="1" x14ac:dyDescent="0.25">
      <c r="K1038"/>
      <c r="M1038" s="147"/>
      <c r="N1038" s="147"/>
      <c r="O1038" s="147"/>
      <c r="P1038" s="147"/>
      <c r="Q1038" s="147"/>
      <c r="R1038" s="102"/>
    </row>
    <row r="1039" spans="11:18" ht="12.75" customHeight="1" x14ac:dyDescent="0.25">
      <c r="K1039"/>
      <c r="M1039" s="147"/>
      <c r="N1039" s="147"/>
      <c r="O1039" s="147"/>
      <c r="P1039" s="147"/>
      <c r="Q1039" s="147"/>
      <c r="R1039" s="102"/>
    </row>
    <row r="1040" spans="11:18" ht="12.75" customHeight="1" x14ac:dyDescent="0.25">
      <c r="K1040"/>
      <c r="M1040" s="147"/>
      <c r="N1040" s="147"/>
      <c r="O1040" s="147"/>
      <c r="P1040" s="147"/>
      <c r="Q1040" s="147"/>
      <c r="R1040" s="102"/>
    </row>
    <row r="1041" spans="11:18" ht="12.75" customHeight="1" x14ac:dyDescent="0.25">
      <c r="K1041"/>
      <c r="M1041" s="147"/>
      <c r="N1041" s="147"/>
      <c r="O1041" s="147"/>
      <c r="P1041" s="147"/>
      <c r="Q1041" s="147"/>
      <c r="R1041" s="102"/>
    </row>
    <row r="1042" spans="11:18" ht="12.75" customHeight="1" x14ac:dyDescent="0.25">
      <c r="K1042"/>
      <c r="M1042" s="147"/>
      <c r="N1042" s="147"/>
      <c r="O1042" s="147"/>
      <c r="P1042" s="147"/>
      <c r="Q1042" s="147"/>
      <c r="R1042" s="102"/>
    </row>
    <row r="1043" spans="11:18" ht="12.75" customHeight="1" x14ac:dyDescent="0.25">
      <c r="K1043"/>
      <c r="M1043" s="147"/>
      <c r="N1043" s="147"/>
      <c r="O1043" s="147"/>
      <c r="P1043" s="147"/>
      <c r="Q1043" s="147"/>
      <c r="R1043" s="102"/>
    </row>
    <row r="1044" spans="11:18" ht="12.75" customHeight="1" x14ac:dyDescent="0.25">
      <c r="K1044"/>
      <c r="M1044" s="147"/>
      <c r="N1044" s="147"/>
      <c r="O1044" s="147"/>
      <c r="P1044" s="147"/>
      <c r="Q1044" s="147"/>
      <c r="R1044" s="102"/>
    </row>
    <row r="1045" spans="11:18" ht="12.75" customHeight="1" x14ac:dyDescent="0.25">
      <c r="K1045"/>
      <c r="M1045" s="147"/>
      <c r="N1045" s="147"/>
      <c r="O1045" s="147"/>
      <c r="P1045" s="147"/>
      <c r="Q1045" s="147"/>
      <c r="R1045" s="102"/>
    </row>
    <row r="1046" spans="11:18" ht="12.75" customHeight="1" x14ac:dyDescent="0.25">
      <c r="K1046"/>
      <c r="M1046" s="147"/>
      <c r="N1046" s="147"/>
      <c r="O1046" s="147"/>
      <c r="P1046" s="147"/>
      <c r="Q1046" s="147"/>
      <c r="R1046" s="102"/>
    </row>
    <row r="1047" spans="11:18" ht="12.75" customHeight="1" x14ac:dyDescent="0.25">
      <c r="K1047"/>
      <c r="M1047" s="147"/>
      <c r="N1047" s="147"/>
      <c r="O1047" s="147"/>
      <c r="P1047" s="147"/>
      <c r="Q1047" s="147"/>
      <c r="R1047" s="102"/>
    </row>
    <row r="1048" spans="11:18" ht="12.75" customHeight="1" x14ac:dyDescent="0.25">
      <c r="K1048"/>
      <c r="M1048" s="147"/>
      <c r="N1048" s="147"/>
      <c r="O1048" s="147"/>
      <c r="P1048" s="147"/>
      <c r="Q1048" s="147"/>
      <c r="R1048" s="102"/>
    </row>
    <row r="1049" spans="11:18" ht="12.75" customHeight="1" x14ac:dyDescent="0.25">
      <c r="K1049"/>
      <c r="M1049" s="147"/>
      <c r="N1049" s="147"/>
      <c r="O1049" s="147"/>
      <c r="P1049" s="147"/>
      <c r="Q1049" s="147"/>
      <c r="R1049" s="102"/>
    </row>
    <row r="1050" spans="11:18" ht="12.75" customHeight="1" x14ac:dyDescent="0.25">
      <c r="K1050"/>
      <c r="M1050" s="147"/>
      <c r="N1050" s="147"/>
      <c r="O1050" s="147"/>
      <c r="P1050" s="147"/>
      <c r="Q1050" s="147"/>
      <c r="R1050" s="102"/>
    </row>
    <row r="1051" spans="11:18" ht="12.75" customHeight="1" x14ac:dyDescent="0.25">
      <c r="K1051"/>
      <c r="M1051" s="147"/>
      <c r="N1051" s="147"/>
      <c r="O1051" s="147"/>
      <c r="P1051" s="147"/>
      <c r="Q1051" s="147"/>
      <c r="R1051" s="102"/>
    </row>
    <row r="1052" spans="11:18" ht="12.75" customHeight="1" x14ac:dyDescent="0.25">
      <c r="K1052"/>
      <c r="M1052" s="147"/>
      <c r="N1052" s="147"/>
      <c r="O1052" s="147"/>
      <c r="P1052" s="147"/>
      <c r="Q1052" s="147"/>
      <c r="R1052" s="102"/>
    </row>
    <row r="1053" spans="11:18" ht="12.75" customHeight="1" x14ac:dyDescent="0.25">
      <c r="K1053"/>
      <c r="M1053" s="147"/>
      <c r="N1053" s="147"/>
      <c r="O1053" s="147"/>
      <c r="P1053" s="147"/>
      <c r="Q1053" s="147"/>
      <c r="R1053" s="102"/>
    </row>
    <row r="1054" spans="11:18" ht="12.75" customHeight="1" x14ac:dyDescent="0.25">
      <c r="K1054"/>
      <c r="M1054" s="147"/>
      <c r="N1054" s="147"/>
      <c r="O1054" s="147"/>
      <c r="P1054" s="147"/>
      <c r="Q1054" s="147"/>
      <c r="R1054" s="102"/>
    </row>
    <row r="1055" spans="11:18" ht="12.75" customHeight="1" x14ac:dyDescent="0.25">
      <c r="K1055"/>
      <c r="M1055" s="147"/>
      <c r="N1055" s="147"/>
      <c r="O1055" s="147"/>
      <c r="P1055" s="147"/>
      <c r="Q1055" s="147"/>
      <c r="R1055" s="102"/>
    </row>
    <row r="1056" spans="11:18" ht="12.75" customHeight="1" x14ac:dyDescent="0.25">
      <c r="K1056"/>
      <c r="M1056" s="147"/>
      <c r="N1056" s="147"/>
      <c r="O1056" s="147"/>
      <c r="P1056" s="147"/>
      <c r="Q1056" s="147"/>
      <c r="R1056" s="102"/>
    </row>
    <row r="1057" spans="11:18" ht="12.75" customHeight="1" x14ac:dyDescent="0.25">
      <c r="K1057"/>
      <c r="M1057" s="147"/>
      <c r="N1057" s="147"/>
      <c r="O1057" s="147"/>
      <c r="P1057" s="147"/>
      <c r="Q1057" s="147"/>
      <c r="R1057" s="102"/>
    </row>
    <row r="1058" spans="11:18" ht="12.75" customHeight="1" x14ac:dyDescent="0.25">
      <c r="K1058"/>
      <c r="M1058" s="147"/>
      <c r="N1058" s="147"/>
      <c r="O1058" s="147"/>
      <c r="P1058" s="147"/>
      <c r="Q1058" s="147"/>
      <c r="R1058" s="102"/>
    </row>
    <row r="1059" spans="11:18" ht="12.75" customHeight="1" x14ac:dyDescent="0.25">
      <c r="K1059"/>
      <c r="M1059" s="147"/>
      <c r="N1059" s="147"/>
      <c r="O1059" s="147"/>
      <c r="P1059" s="147"/>
      <c r="Q1059" s="147"/>
      <c r="R1059" s="102"/>
    </row>
    <row r="1060" spans="11:18" ht="12.75" customHeight="1" x14ac:dyDescent="0.25">
      <c r="K1060"/>
      <c r="M1060" s="147"/>
      <c r="N1060" s="147"/>
      <c r="O1060" s="147"/>
      <c r="P1060" s="147"/>
      <c r="Q1060" s="147"/>
      <c r="R1060" s="102"/>
    </row>
    <row r="1061" spans="11:18" ht="12.75" customHeight="1" x14ac:dyDescent="0.25">
      <c r="K1061"/>
      <c r="M1061" s="147"/>
      <c r="N1061" s="147"/>
      <c r="O1061" s="147"/>
      <c r="P1061" s="147"/>
      <c r="Q1061" s="147"/>
      <c r="R1061" s="102"/>
    </row>
    <row r="1062" spans="11:18" ht="12.75" customHeight="1" x14ac:dyDescent="0.25">
      <c r="K1062"/>
      <c r="M1062" s="147"/>
      <c r="N1062" s="147"/>
      <c r="O1062" s="147"/>
      <c r="P1062" s="147"/>
      <c r="Q1062" s="147"/>
      <c r="R1062" s="102"/>
    </row>
    <row r="1063" spans="11:18" ht="12.75" customHeight="1" x14ac:dyDescent="0.25">
      <c r="K1063"/>
      <c r="M1063" s="147"/>
      <c r="N1063" s="147"/>
      <c r="O1063" s="147"/>
      <c r="P1063" s="147"/>
      <c r="Q1063" s="147"/>
      <c r="R1063" s="102"/>
    </row>
    <row r="1064" spans="11:18" ht="12.75" customHeight="1" x14ac:dyDescent="0.25">
      <c r="K1064"/>
      <c r="M1064" s="147"/>
      <c r="N1064" s="147"/>
      <c r="O1064" s="147"/>
      <c r="P1064" s="147"/>
      <c r="Q1064" s="147"/>
      <c r="R1064" s="102"/>
    </row>
    <row r="1065" spans="11:18" ht="12.75" customHeight="1" x14ac:dyDescent="0.25">
      <c r="K1065"/>
      <c r="M1065" s="147"/>
      <c r="N1065" s="147"/>
      <c r="O1065" s="147"/>
      <c r="P1065" s="147"/>
      <c r="Q1065" s="147"/>
      <c r="R1065" s="102"/>
    </row>
    <row r="1066" spans="11:18" ht="12.75" customHeight="1" x14ac:dyDescent="0.25">
      <c r="K1066"/>
      <c r="M1066" s="147"/>
      <c r="N1066" s="147"/>
      <c r="O1066" s="147"/>
      <c r="P1066" s="147"/>
      <c r="Q1066" s="147"/>
      <c r="R1066" s="102"/>
    </row>
    <row r="1067" spans="11:18" ht="12.75" customHeight="1" x14ac:dyDescent="0.25">
      <c r="K1067"/>
      <c r="M1067" s="147"/>
      <c r="N1067" s="147"/>
      <c r="O1067" s="147"/>
      <c r="P1067" s="147"/>
      <c r="Q1067" s="147"/>
      <c r="R1067" s="102"/>
    </row>
    <row r="1068" spans="11:18" ht="12.75" customHeight="1" x14ac:dyDescent="0.25">
      <c r="K1068"/>
      <c r="M1068" s="147"/>
      <c r="N1068" s="147"/>
      <c r="O1068" s="147"/>
      <c r="P1068" s="147"/>
      <c r="Q1068" s="147"/>
      <c r="R1068" s="102"/>
    </row>
    <row r="1069" spans="11:18" ht="12.75" customHeight="1" x14ac:dyDescent="0.25">
      <c r="K1069"/>
      <c r="M1069" s="147"/>
      <c r="N1069" s="147"/>
      <c r="O1069" s="147"/>
      <c r="P1069" s="147"/>
      <c r="Q1069" s="147"/>
      <c r="R1069" s="102"/>
    </row>
    <row r="1070" spans="11:18" ht="12.75" customHeight="1" x14ac:dyDescent="0.25">
      <c r="K1070"/>
      <c r="M1070" s="147"/>
      <c r="N1070" s="147"/>
      <c r="O1070" s="147"/>
      <c r="P1070" s="147"/>
      <c r="Q1070" s="147"/>
      <c r="R1070" s="102"/>
    </row>
    <row r="1071" spans="11:18" ht="12.75" customHeight="1" x14ac:dyDescent="0.25">
      <c r="K1071"/>
      <c r="M1071" s="147"/>
      <c r="N1071" s="147"/>
      <c r="O1071" s="147"/>
      <c r="P1071" s="147"/>
      <c r="Q1071" s="147"/>
      <c r="R1071" s="102"/>
    </row>
    <row r="1072" spans="11:18" ht="12.75" customHeight="1" x14ac:dyDescent="0.25">
      <c r="K1072"/>
      <c r="M1072" s="147"/>
      <c r="N1072" s="147"/>
      <c r="O1072" s="147"/>
      <c r="P1072" s="147"/>
      <c r="Q1072" s="147"/>
      <c r="R1072" s="102"/>
    </row>
    <row r="1073" spans="11:18" ht="12.75" customHeight="1" x14ac:dyDescent="0.25">
      <c r="K1073"/>
      <c r="M1073" s="147"/>
      <c r="N1073" s="147"/>
      <c r="O1073" s="147"/>
      <c r="P1073" s="147"/>
      <c r="Q1073" s="147"/>
      <c r="R1073" s="102"/>
    </row>
    <row r="1074" spans="11:18" ht="12.75" customHeight="1" x14ac:dyDescent="0.25">
      <c r="K1074"/>
      <c r="M1074" s="147"/>
      <c r="N1074" s="147"/>
      <c r="O1074" s="147"/>
      <c r="P1074" s="147"/>
      <c r="Q1074" s="147"/>
      <c r="R1074" s="102"/>
    </row>
    <row r="1075" spans="11:18" ht="12.75" customHeight="1" x14ac:dyDescent="0.25">
      <c r="K1075"/>
      <c r="M1075" s="147"/>
      <c r="N1075" s="147"/>
      <c r="O1075" s="147"/>
      <c r="P1075" s="147"/>
      <c r="Q1075" s="147"/>
      <c r="R1075" s="102"/>
    </row>
    <row r="1076" spans="11:18" ht="12.75" customHeight="1" x14ac:dyDescent="0.25">
      <c r="K1076"/>
      <c r="M1076" s="147"/>
      <c r="N1076" s="147"/>
      <c r="O1076" s="147"/>
      <c r="P1076" s="147"/>
      <c r="Q1076" s="147"/>
      <c r="R1076" s="102"/>
    </row>
    <row r="1077" spans="11:18" ht="12.75" customHeight="1" x14ac:dyDescent="0.25">
      <c r="K1077"/>
      <c r="M1077" s="147"/>
      <c r="N1077" s="147"/>
      <c r="O1077" s="147"/>
      <c r="P1077" s="147"/>
      <c r="Q1077" s="147"/>
      <c r="R1077" s="102"/>
    </row>
    <row r="1078" spans="11:18" ht="12.75" customHeight="1" x14ac:dyDescent="0.25">
      <c r="K1078"/>
      <c r="M1078" s="147"/>
      <c r="N1078" s="147"/>
      <c r="O1078" s="147"/>
      <c r="P1078" s="147"/>
      <c r="Q1078" s="147"/>
      <c r="R1078" s="102"/>
    </row>
    <row r="1079" spans="11:18" ht="12.75" customHeight="1" x14ac:dyDescent="0.25">
      <c r="K1079"/>
      <c r="M1079" s="147"/>
      <c r="N1079" s="147"/>
      <c r="O1079" s="147"/>
      <c r="P1079" s="147"/>
      <c r="Q1079" s="147"/>
      <c r="R1079" s="102"/>
    </row>
    <row r="1080" spans="11:18" ht="12.75" customHeight="1" x14ac:dyDescent="0.25">
      <c r="K1080"/>
      <c r="M1080" s="147"/>
      <c r="N1080" s="147"/>
      <c r="O1080" s="147"/>
      <c r="P1080" s="147"/>
      <c r="Q1080" s="147"/>
      <c r="R1080" s="102"/>
    </row>
    <row r="1081" spans="11:18" ht="12.75" customHeight="1" x14ac:dyDescent="0.25">
      <c r="K1081"/>
      <c r="M1081" s="147"/>
      <c r="N1081" s="147"/>
      <c r="O1081" s="147"/>
      <c r="P1081" s="147"/>
      <c r="Q1081" s="147"/>
      <c r="R1081" s="102"/>
    </row>
    <row r="1082" spans="11:18" ht="12.75" customHeight="1" x14ac:dyDescent="0.25">
      <c r="K1082"/>
      <c r="M1082" s="147"/>
      <c r="N1082" s="147"/>
      <c r="O1082" s="147"/>
      <c r="P1082" s="147"/>
      <c r="Q1082" s="147"/>
      <c r="R1082" s="102"/>
    </row>
    <row r="1083" spans="11:18" ht="12.75" customHeight="1" x14ac:dyDescent="0.25">
      <c r="K1083"/>
      <c r="M1083" s="147"/>
      <c r="N1083" s="147"/>
      <c r="O1083" s="147"/>
      <c r="P1083" s="147"/>
      <c r="Q1083" s="147"/>
      <c r="R1083" s="102"/>
    </row>
    <row r="1084" spans="11:18" ht="12.75" customHeight="1" x14ac:dyDescent="0.25">
      <c r="K1084"/>
      <c r="M1084" s="147"/>
      <c r="N1084" s="147"/>
      <c r="O1084" s="147"/>
      <c r="P1084" s="147"/>
      <c r="Q1084" s="147"/>
      <c r="R1084" s="102"/>
    </row>
    <row r="1085" spans="11:18" ht="12.75" customHeight="1" x14ac:dyDescent="0.25">
      <c r="K1085"/>
      <c r="M1085" s="147"/>
      <c r="N1085" s="147"/>
      <c r="O1085" s="147"/>
      <c r="P1085" s="147"/>
      <c r="Q1085" s="147"/>
      <c r="R1085" s="102"/>
    </row>
    <row r="1086" spans="11:18" ht="12.75" customHeight="1" x14ac:dyDescent="0.25">
      <c r="K1086"/>
      <c r="M1086" s="147"/>
      <c r="N1086" s="147"/>
      <c r="O1086" s="147"/>
      <c r="P1086" s="147"/>
      <c r="Q1086" s="147"/>
      <c r="R1086" s="102"/>
    </row>
    <row r="1087" spans="11:18" ht="12.75" customHeight="1" x14ac:dyDescent="0.25">
      <c r="K1087"/>
      <c r="M1087" s="147"/>
      <c r="N1087" s="147"/>
      <c r="O1087" s="147"/>
      <c r="P1087" s="147"/>
      <c r="Q1087" s="147"/>
      <c r="R1087" s="102"/>
    </row>
    <row r="1088" spans="11:18" ht="12.75" customHeight="1" x14ac:dyDescent="0.25">
      <c r="K1088"/>
      <c r="M1088" s="147"/>
      <c r="N1088" s="147"/>
      <c r="O1088" s="147"/>
      <c r="P1088" s="147"/>
      <c r="Q1088" s="147"/>
      <c r="R1088" s="102"/>
    </row>
    <row r="1089" spans="1:18" ht="12.75" customHeight="1" x14ac:dyDescent="0.25">
      <c r="K1089"/>
      <c r="M1089" s="147"/>
      <c r="N1089" s="147"/>
      <c r="O1089" s="147"/>
      <c r="P1089" s="147"/>
      <c r="Q1089" s="147"/>
      <c r="R1089" s="102"/>
    </row>
    <row r="1090" spans="1:18" ht="12.75" customHeight="1" x14ac:dyDescent="0.25">
      <c r="K1090"/>
      <c r="M1090" s="147"/>
      <c r="N1090" s="147"/>
      <c r="O1090" s="147"/>
      <c r="P1090" s="147"/>
      <c r="Q1090" s="147"/>
      <c r="R1090" s="102"/>
    </row>
    <row r="1091" spans="1:18" ht="12.75" customHeight="1" x14ac:dyDescent="0.25">
      <c r="K1091"/>
      <c r="M1091" s="147"/>
      <c r="N1091" s="147"/>
      <c r="O1091" s="147"/>
      <c r="P1091" s="147"/>
      <c r="Q1091" s="147"/>
      <c r="R1091" s="102"/>
    </row>
    <row r="1092" spans="1:18" ht="12.75" customHeight="1" x14ac:dyDescent="0.25">
      <c r="K1092"/>
      <c r="M1092" s="147"/>
      <c r="N1092" s="147"/>
      <c r="O1092" s="147"/>
      <c r="P1092" s="147"/>
      <c r="Q1092" s="147"/>
      <c r="R1092" s="102"/>
    </row>
    <row r="1093" spans="1:18" ht="12.75" customHeight="1" x14ac:dyDescent="0.25">
      <c r="K1093"/>
      <c r="M1093" s="147"/>
      <c r="N1093" s="147"/>
      <c r="O1093" s="147"/>
      <c r="P1093" s="147"/>
      <c r="Q1093" s="147"/>
      <c r="R1093" s="102"/>
    </row>
    <row r="1094" spans="1:18" ht="12.75" customHeight="1" x14ac:dyDescent="0.25">
      <c r="K1094"/>
      <c r="M1094" s="147"/>
      <c r="N1094" s="147"/>
      <c r="O1094" s="147"/>
      <c r="P1094" s="147"/>
      <c r="Q1094" s="147"/>
      <c r="R1094" s="102"/>
    </row>
    <row r="1095" spans="1:18" ht="12.75" customHeight="1" x14ac:dyDescent="0.25">
      <c r="K1095"/>
      <c r="M1095" s="147"/>
      <c r="N1095" s="147"/>
      <c r="O1095" s="147"/>
      <c r="P1095" s="147"/>
      <c r="Q1095" s="147"/>
      <c r="R1095" s="102"/>
    </row>
    <row r="1096" spans="1:18" ht="12.75" customHeight="1" x14ac:dyDescent="0.25">
      <c r="K1096"/>
      <c r="M1096" s="147"/>
      <c r="N1096" s="147"/>
      <c r="O1096" s="147"/>
      <c r="P1096" s="147"/>
      <c r="Q1096" s="147"/>
      <c r="R1096" s="102"/>
    </row>
    <row r="1097" spans="1:18" ht="12.75" customHeight="1" x14ac:dyDescent="0.25">
      <c r="K1097"/>
      <c r="M1097" s="147"/>
      <c r="N1097" s="147"/>
      <c r="O1097" s="147"/>
      <c r="P1097" s="147"/>
      <c r="Q1097" s="147"/>
      <c r="R1097" s="102"/>
    </row>
    <row r="1098" spans="1:18" ht="12.75" customHeight="1" x14ac:dyDescent="0.25">
      <c r="K1098"/>
      <c r="M1098" s="147"/>
      <c r="N1098" s="147"/>
      <c r="O1098" s="147"/>
      <c r="P1098" s="147"/>
      <c r="Q1098" s="147"/>
      <c r="R1098" s="102"/>
    </row>
    <row r="1099" spans="1:18" ht="12.75" customHeight="1" x14ac:dyDescent="0.25">
      <c r="K1099"/>
      <c r="M1099" s="147"/>
      <c r="N1099" s="147"/>
      <c r="O1099" s="147"/>
      <c r="P1099" s="147"/>
      <c r="Q1099" s="147"/>
      <c r="R1099" s="102"/>
    </row>
    <row r="1100" spans="1:18" ht="12.75" customHeight="1" x14ac:dyDescent="0.25">
      <c r="K1100"/>
      <c r="M1100" s="147"/>
      <c r="N1100" s="147"/>
      <c r="O1100" s="147"/>
      <c r="P1100" s="147"/>
      <c r="Q1100" s="147"/>
      <c r="R1100" s="102"/>
    </row>
    <row r="1101" spans="1:18" ht="12.75" customHeight="1" x14ac:dyDescent="0.25">
      <c r="K1101"/>
      <c r="M1101" s="147"/>
      <c r="N1101" s="147"/>
      <c r="O1101" s="147"/>
      <c r="P1101" s="147"/>
      <c r="Q1101" s="147"/>
      <c r="R1101" s="102"/>
    </row>
    <row r="1102" spans="1:18" ht="12.75" customHeight="1" x14ac:dyDescent="0.25">
      <c r="K1102"/>
      <c r="M1102" s="147"/>
      <c r="N1102" s="147"/>
      <c r="O1102" s="147"/>
      <c r="P1102" s="147"/>
      <c r="Q1102" s="147"/>
      <c r="R1102" s="102"/>
    </row>
    <row r="1103" spans="1:18" ht="12.75" customHeight="1" x14ac:dyDescent="0.25">
      <c r="A1103" s="3" t="s">
        <v>150</v>
      </c>
      <c r="B1103" s="3"/>
      <c r="C1103" s="1"/>
      <c r="D1103" s="1"/>
      <c r="E1103" s="1"/>
      <c r="F1103" s="1"/>
      <c r="G1103" s="1"/>
      <c r="H1103" s="2"/>
      <c r="I1103" s="1"/>
      <c r="J1103" s="1"/>
      <c r="K1103" s="1"/>
      <c r="L1103" s="1"/>
      <c r="M1103" s="1"/>
      <c r="N1103" s="1"/>
      <c r="O1103" s="1"/>
      <c r="P1103" s="1"/>
      <c r="Q1103" s="1"/>
      <c r="R1103" s="1"/>
    </row>
    <row r="1104" spans="1:18" ht="12.75" customHeight="1" x14ac:dyDescent="0.25">
      <c r="K1104"/>
      <c r="M1104" s="147"/>
      <c r="N1104" s="147"/>
      <c r="O1104" s="147"/>
      <c r="P1104" s="147"/>
      <c r="Q1104" s="147"/>
      <c r="R1104" s="102"/>
    </row>
    <row r="1105" spans="11:18" ht="12.75" customHeight="1" x14ac:dyDescent="0.25">
      <c r="K1105"/>
      <c r="M1105" s="147"/>
      <c r="N1105" s="147"/>
      <c r="O1105" s="147"/>
      <c r="P1105" s="147"/>
      <c r="Q1105" s="147"/>
      <c r="R1105" s="102"/>
    </row>
    <row r="1106" spans="11:18" ht="12.75" customHeight="1" x14ac:dyDescent="0.25">
      <c r="K1106"/>
      <c r="M1106" s="147"/>
      <c r="N1106" s="147"/>
      <c r="O1106" s="147"/>
      <c r="P1106" s="147"/>
      <c r="Q1106" s="147"/>
      <c r="R1106" s="102"/>
    </row>
    <row r="1107" spans="11:18" ht="12.75" customHeight="1" x14ac:dyDescent="0.25">
      <c r="K1107"/>
      <c r="M1107" s="147"/>
      <c r="N1107" s="147"/>
      <c r="O1107" s="147"/>
      <c r="P1107" s="147"/>
      <c r="Q1107" s="147"/>
      <c r="R1107" s="102"/>
    </row>
    <row r="1108" spans="11:18" ht="12.75" customHeight="1" x14ac:dyDescent="0.25">
      <c r="K1108"/>
      <c r="M1108" s="147"/>
      <c r="N1108" s="147"/>
      <c r="O1108" s="147"/>
      <c r="P1108" s="147"/>
      <c r="Q1108" s="147"/>
      <c r="R1108" s="102"/>
    </row>
    <row r="1109" spans="11:18" ht="12.75" customHeight="1" x14ac:dyDescent="0.25">
      <c r="K1109"/>
      <c r="M1109" s="147"/>
      <c r="N1109" s="147"/>
      <c r="O1109" s="147"/>
      <c r="P1109" s="147"/>
      <c r="Q1109" s="147"/>
      <c r="R1109" s="102"/>
    </row>
    <row r="1110" spans="11:18" ht="12.75" customHeight="1" x14ac:dyDescent="0.25">
      <c r="K1110"/>
      <c r="M1110" s="147"/>
      <c r="N1110" s="147"/>
      <c r="O1110" s="147"/>
      <c r="P1110" s="147"/>
      <c r="Q1110" s="147"/>
      <c r="R1110" s="102"/>
    </row>
    <row r="1111" spans="11:18" ht="12.75" customHeight="1" x14ac:dyDescent="0.25">
      <c r="K1111"/>
      <c r="M1111" s="147"/>
      <c r="N1111" s="147"/>
      <c r="O1111" s="147"/>
      <c r="P1111" s="147"/>
      <c r="Q1111" s="147"/>
      <c r="R1111" s="102"/>
    </row>
    <row r="1112" spans="11:18" ht="12.75" customHeight="1" x14ac:dyDescent="0.25">
      <c r="K1112"/>
      <c r="M1112" s="147"/>
      <c r="N1112" s="147"/>
      <c r="O1112" s="147"/>
      <c r="P1112" s="147"/>
      <c r="Q1112" s="147"/>
      <c r="R1112" s="102"/>
    </row>
    <row r="1113" spans="11:18" ht="12.75" customHeight="1" x14ac:dyDescent="0.25">
      <c r="K1113"/>
      <c r="M1113" s="147"/>
      <c r="N1113" s="147"/>
      <c r="O1113" s="147"/>
      <c r="P1113" s="147"/>
      <c r="Q1113" s="147"/>
      <c r="R1113" s="102"/>
    </row>
    <row r="1114" spans="11:18" ht="12.75" customHeight="1" x14ac:dyDescent="0.25">
      <c r="K1114"/>
      <c r="M1114" s="147"/>
      <c r="N1114" s="147"/>
      <c r="O1114" s="147"/>
      <c r="P1114" s="147"/>
      <c r="Q1114" s="147"/>
      <c r="R1114" s="102"/>
    </row>
    <row r="1115" spans="11:18" ht="12.75" customHeight="1" x14ac:dyDescent="0.25">
      <c r="K1115"/>
      <c r="M1115" s="147"/>
      <c r="N1115" s="147"/>
      <c r="O1115" s="147"/>
      <c r="P1115" s="147"/>
      <c r="Q1115" s="147"/>
      <c r="R1115" s="102"/>
    </row>
    <row r="1116" spans="11:18" ht="12.75" customHeight="1" x14ac:dyDescent="0.25">
      <c r="K1116"/>
      <c r="M1116" s="147"/>
      <c r="N1116" s="147"/>
      <c r="O1116" s="147"/>
      <c r="P1116" s="147"/>
      <c r="Q1116" s="147"/>
      <c r="R1116" s="102"/>
    </row>
    <row r="1117" spans="11:18" ht="12.75" customHeight="1" x14ac:dyDescent="0.25">
      <c r="K1117"/>
      <c r="M1117" s="147"/>
      <c r="N1117" s="147"/>
      <c r="O1117" s="147"/>
      <c r="P1117" s="147"/>
      <c r="Q1117" s="147"/>
      <c r="R1117" s="102"/>
    </row>
    <row r="1118" spans="11:18" ht="12.75" customHeight="1" x14ac:dyDescent="0.25">
      <c r="K1118"/>
      <c r="M1118" s="147"/>
      <c r="N1118" s="147"/>
      <c r="O1118" s="147"/>
      <c r="P1118" s="147"/>
      <c r="Q1118" s="147"/>
      <c r="R1118" s="102"/>
    </row>
    <row r="1119" spans="11:18" ht="12.75" customHeight="1" x14ac:dyDescent="0.25">
      <c r="K1119"/>
      <c r="M1119" s="147"/>
      <c r="N1119" s="147"/>
      <c r="O1119" s="147"/>
      <c r="P1119" s="147"/>
      <c r="Q1119" s="147"/>
      <c r="R1119" s="102"/>
    </row>
    <row r="1120" spans="11:18" ht="12.75" customHeight="1" x14ac:dyDescent="0.25">
      <c r="K1120"/>
      <c r="M1120" s="147"/>
      <c r="N1120" s="147"/>
      <c r="O1120" s="147"/>
      <c r="P1120" s="147"/>
      <c r="Q1120" s="147"/>
      <c r="R1120" s="102"/>
    </row>
    <row r="1121" spans="11:18" ht="12.75" customHeight="1" x14ac:dyDescent="0.25">
      <c r="K1121"/>
      <c r="M1121" s="147"/>
      <c r="N1121" s="147"/>
      <c r="O1121" s="147"/>
      <c r="P1121" s="147"/>
      <c r="Q1121" s="147"/>
      <c r="R1121" s="102"/>
    </row>
    <row r="1122" spans="11:18" ht="12.75" customHeight="1" x14ac:dyDescent="0.25">
      <c r="K1122"/>
      <c r="M1122" s="147"/>
      <c r="N1122" s="147"/>
      <c r="O1122" s="147"/>
      <c r="P1122" s="147"/>
      <c r="Q1122" s="147"/>
      <c r="R1122" s="102"/>
    </row>
    <row r="1123" spans="11:18" ht="12.75" customHeight="1" x14ac:dyDescent="0.25">
      <c r="K1123"/>
      <c r="M1123" s="147"/>
      <c r="N1123" s="147"/>
      <c r="O1123" s="147"/>
      <c r="P1123" s="147"/>
      <c r="Q1123" s="147"/>
      <c r="R1123" s="102"/>
    </row>
    <row r="1124" spans="11:18" ht="12.75" customHeight="1" x14ac:dyDescent="0.25">
      <c r="K1124"/>
      <c r="M1124" s="147"/>
      <c r="N1124" s="147"/>
      <c r="O1124" s="147"/>
      <c r="P1124" s="147"/>
      <c r="Q1124" s="147"/>
      <c r="R1124" s="102"/>
    </row>
    <row r="1125" spans="11:18" ht="12.75" customHeight="1" x14ac:dyDescent="0.25">
      <c r="K1125"/>
      <c r="M1125" s="147"/>
      <c r="N1125" s="147"/>
      <c r="O1125" s="147"/>
      <c r="P1125" s="147"/>
      <c r="Q1125" s="147"/>
      <c r="R1125" s="102"/>
    </row>
    <row r="1126" spans="11:18" ht="12.75" customHeight="1" x14ac:dyDescent="0.25">
      <c r="K1126"/>
      <c r="M1126" s="147"/>
      <c r="N1126" s="147"/>
      <c r="O1126" s="147"/>
      <c r="P1126" s="147"/>
      <c r="Q1126" s="147"/>
      <c r="R1126" s="102"/>
    </row>
    <row r="1127" spans="11:18" ht="12.75" customHeight="1" x14ac:dyDescent="0.25">
      <c r="K1127"/>
      <c r="M1127" s="147"/>
      <c r="N1127" s="147"/>
      <c r="O1127" s="147"/>
      <c r="P1127" s="147"/>
      <c r="Q1127" s="147"/>
      <c r="R1127" s="102"/>
    </row>
    <row r="1128" spans="11:18" ht="12.75" customHeight="1" x14ac:dyDescent="0.25">
      <c r="K1128"/>
      <c r="M1128" s="147"/>
      <c r="N1128" s="147"/>
      <c r="O1128" s="147"/>
      <c r="P1128" s="147"/>
      <c r="Q1128" s="147"/>
      <c r="R1128" s="102"/>
    </row>
    <row r="1129" spans="11:18" ht="12.75" customHeight="1" x14ac:dyDescent="0.25">
      <c r="K1129"/>
      <c r="M1129" s="147"/>
      <c r="N1129" s="147"/>
      <c r="O1129" s="147"/>
      <c r="P1129" s="147"/>
      <c r="Q1129" s="147"/>
      <c r="R1129" s="102"/>
    </row>
    <row r="1130" spans="11:18" ht="12.75" customHeight="1" x14ac:dyDescent="0.25">
      <c r="K1130"/>
      <c r="M1130" s="147"/>
      <c r="N1130" s="147"/>
      <c r="O1130" s="147"/>
      <c r="P1130" s="147"/>
      <c r="Q1130" s="147"/>
      <c r="R1130" s="102"/>
    </row>
    <row r="1131" spans="11:18" ht="12.75" customHeight="1" x14ac:dyDescent="0.25">
      <c r="K1131"/>
      <c r="M1131" s="147"/>
      <c r="N1131" s="147"/>
      <c r="O1131" s="147"/>
      <c r="P1131" s="147"/>
      <c r="Q1131" s="147"/>
      <c r="R1131" s="102"/>
    </row>
    <row r="1132" spans="11:18" ht="12.75" customHeight="1" x14ac:dyDescent="0.25">
      <c r="K1132"/>
      <c r="M1132" s="147"/>
      <c r="N1132" s="147"/>
      <c r="O1132" s="147"/>
      <c r="P1132" s="147"/>
      <c r="Q1132" s="147"/>
      <c r="R1132" s="102"/>
    </row>
    <row r="1133" spans="11:18" ht="12.75" customHeight="1" x14ac:dyDescent="0.25">
      <c r="K1133"/>
      <c r="M1133" s="147"/>
      <c r="N1133" s="147"/>
      <c r="O1133" s="147"/>
      <c r="P1133" s="147"/>
      <c r="Q1133" s="147"/>
      <c r="R1133" s="102"/>
    </row>
    <row r="1134" spans="11:18" ht="12.75" customHeight="1" x14ac:dyDescent="0.25">
      <c r="K1134"/>
      <c r="M1134" s="147"/>
      <c r="N1134" s="147"/>
      <c r="O1134" s="147"/>
      <c r="P1134" s="147"/>
      <c r="Q1134" s="147"/>
      <c r="R1134" s="102"/>
    </row>
    <row r="1135" spans="11:18" ht="12.75" customHeight="1" x14ac:dyDescent="0.25">
      <c r="K1135"/>
      <c r="M1135" s="147"/>
      <c r="N1135" s="147"/>
      <c r="O1135" s="147"/>
      <c r="P1135" s="147"/>
      <c r="Q1135" s="147"/>
      <c r="R1135" s="102"/>
    </row>
    <row r="1136" spans="11:18" ht="12.75" customHeight="1" x14ac:dyDescent="0.25">
      <c r="K1136"/>
      <c r="M1136" s="147"/>
      <c r="N1136" s="147"/>
      <c r="O1136" s="147"/>
      <c r="P1136" s="147"/>
      <c r="Q1136" s="147"/>
      <c r="R1136" s="102"/>
    </row>
    <row r="1137" spans="11:18" ht="12.75" customHeight="1" x14ac:dyDescent="0.25">
      <c r="K1137"/>
      <c r="M1137" s="147"/>
      <c r="N1137" s="147"/>
      <c r="O1137" s="147"/>
      <c r="P1137" s="147"/>
      <c r="Q1137" s="147"/>
      <c r="R1137" s="102"/>
    </row>
    <row r="1138" spans="11:18" ht="12.75" customHeight="1" x14ac:dyDescent="0.25">
      <c r="K1138"/>
      <c r="M1138" s="147"/>
      <c r="N1138" s="147"/>
      <c r="O1138" s="147"/>
      <c r="P1138" s="147"/>
      <c r="Q1138" s="147"/>
      <c r="R1138" s="102"/>
    </row>
    <row r="1139" spans="11:18" ht="12.75" customHeight="1" x14ac:dyDescent="0.25">
      <c r="K1139"/>
      <c r="M1139" s="147"/>
      <c r="N1139" s="147"/>
      <c r="O1139" s="147"/>
      <c r="P1139" s="147"/>
      <c r="Q1139" s="147"/>
      <c r="R1139" s="102"/>
    </row>
    <row r="1140" spans="11:18" ht="12.75" customHeight="1" x14ac:dyDescent="0.25">
      <c r="K1140"/>
      <c r="M1140" s="147"/>
      <c r="N1140" s="147"/>
      <c r="O1140" s="147"/>
      <c r="P1140" s="147"/>
      <c r="Q1140" s="147"/>
      <c r="R1140" s="102"/>
    </row>
    <row r="1141" spans="11:18" ht="12.75" customHeight="1" x14ac:dyDescent="0.25">
      <c r="K1141"/>
      <c r="M1141" s="147"/>
      <c r="N1141" s="147"/>
      <c r="O1141" s="147"/>
      <c r="P1141" s="147"/>
      <c r="Q1141" s="147"/>
      <c r="R1141" s="102"/>
    </row>
    <row r="1142" spans="11:18" ht="12.75" customHeight="1" x14ac:dyDescent="0.25">
      <c r="K1142"/>
      <c r="M1142" s="147"/>
      <c r="N1142" s="147"/>
      <c r="O1142" s="147"/>
      <c r="P1142" s="147"/>
      <c r="Q1142" s="147"/>
      <c r="R1142" s="102"/>
    </row>
    <row r="1143" spans="11:18" ht="12.75" customHeight="1" x14ac:dyDescent="0.25">
      <c r="K1143"/>
      <c r="M1143" s="147"/>
      <c r="N1143" s="147"/>
      <c r="O1143" s="147"/>
      <c r="P1143" s="147"/>
      <c r="Q1143" s="147"/>
      <c r="R1143" s="102"/>
    </row>
    <row r="1144" spans="11:18" ht="12.75" customHeight="1" x14ac:dyDescent="0.25">
      <c r="K1144"/>
      <c r="M1144" s="147"/>
      <c r="N1144" s="147"/>
      <c r="O1144" s="147"/>
      <c r="P1144" s="147"/>
      <c r="Q1144" s="147"/>
      <c r="R1144" s="102"/>
    </row>
    <row r="1145" spans="11:18" ht="12.75" customHeight="1" x14ac:dyDescent="0.25">
      <c r="K1145"/>
      <c r="M1145" s="147"/>
      <c r="N1145" s="147"/>
      <c r="O1145" s="147"/>
      <c r="P1145" s="147"/>
      <c r="Q1145" s="147"/>
      <c r="R1145" s="102"/>
    </row>
    <row r="1146" spans="11:18" ht="12.75" customHeight="1" x14ac:dyDescent="0.25">
      <c r="K1146"/>
      <c r="M1146" s="147"/>
      <c r="N1146" s="147"/>
      <c r="O1146" s="147"/>
      <c r="P1146" s="147"/>
      <c r="Q1146" s="147"/>
      <c r="R1146" s="102"/>
    </row>
    <row r="1147" spans="11:18" ht="12.75" customHeight="1" x14ac:dyDescent="0.25">
      <c r="K1147"/>
      <c r="M1147" s="147"/>
      <c r="N1147" s="147"/>
      <c r="O1147" s="147"/>
      <c r="P1147" s="147"/>
      <c r="Q1147" s="147"/>
      <c r="R1147" s="102"/>
    </row>
    <row r="1148" spans="11:18" ht="12.75" customHeight="1" x14ac:dyDescent="0.25">
      <c r="K1148"/>
      <c r="M1148" s="147"/>
      <c r="N1148" s="147"/>
      <c r="O1148" s="147"/>
      <c r="P1148" s="147"/>
      <c r="Q1148" s="147"/>
      <c r="R1148" s="102"/>
    </row>
    <row r="1149" spans="11:18" ht="12.75" customHeight="1" x14ac:dyDescent="0.25">
      <c r="K1149"/>
      <c r="M1149" s="147"/>
      <c r="N1149" s="147"/>
      <c r="O1149" s="147"/>
      <c r="P1149" s="147"/>
      <c r="Q1149" s="147"/>
      <c r="R1149" s="102"/>
    </row>
    <row r="1150" spans="11:18" ht="12.75" customHeight="1" x14ac:dyDescent="0.25">
      <c r="K1150"/>
      <c r="M1150" s="147"/>
      <c r="N1150" s="147"/>
      <c r="O1150" s="147"/>
      <c r="P1150" s="147"/>
      <c r="Q1150" s="147"/>
      <c r="R1150" s="102"/>
    </row>
    <row r="1151" spans="11:18" ht="12.75" customHeight="1" x14ac:dyDescent="0.25">
      <c r="K1151"/>
      <c r="M1151" s="147"/>
      <c r="N1151" s="147"/>
      <c r="O1151" s="147"/>
      <c r="P1151" s="147"/>
      <c r="Q1151" s="147"/>
      <c r="R1151" s="102"/>
    </row>
    <row r="1152" spans="11:18" ht="12.75" customHeight="1" x14ac:dyDescent="0.25">
      <c r="K1152"/>
      <c r="M1152" s="147"/>
      <c r="N1152" s="147"/>
      <c r="O1152" s="147"/>
      <c r="P1152" s="147"/>
      <c r="Q1152" s="147"/>
      <c r="R1152" s="102"/>
    </row>
    <row r="1153" spans="11:18" ht="12.75" customHeight="1" x14ac:dyDescent="0.25">
      <c r="K1153"/>
      <c r="M1153" s="147"/>
      <c r="N1153" s="147"/>
      <c r="O1153" s="147"/>
      <c r="P1153" s="147"/>
      <c r="Q1153" s="147"/>
      <c r="R1153" s="102"/>
    </row>
    <row r="1154" spans="11:18" ht="12.75" customHeight="1" x14ac:dyDescent="0.25">
      <c r="K1154"/>
      <c r="M1154" s="147"/>
      <c r="N1154" s="147"/>
      <c r="O1154" s="147"/>
      <c r="P1154" s="147"/>
      <c r="Q1154" s="147"/>
      <c r="R1154" s="102"/>
    </row>
    <row r="1155" spans="11:18" ht="12.75" customHeight="1" x14ac:dyDescent="0.25">
      <c r="K1155"/>
      <c r="M1155" s="147"/>
      <c r="N1155" s="147"/>
      <c r="O1155" s="147"/>
      <c r="P1155" s="147"/>
      <c r="Q1155" s="147"/>
      <c r="R1155" s="102"/>
    </row>
    <row r="1156" spans="11:18" ht="12.75" customHeight="1" x14ac:dyDescent="0.25">
      <c r="K1156"/>
      <c r="M1156" s="147"/>
      <c r="N1156" s="147"/>
      <c r="O1156" s="147"/>
      <c r="P1156" s="147"/>
      <c r="Q1156" s="147"/>
      <c r="R1156" s="102"/>
    </row>
    <row r="1157" spans="11:18" ht="12.75" customHeight="1" x14ac:dyDescent="0.25">
      <c r="K1157"/>
      <c r="M1157" s="147"/>
      <c r="N1157" s="147"/>
      <c r="O1157" s="147"/>
      <c r="P1157" s="147"/>
      <c r="Q1157" s="147"/>
      <c r="R1157" s="102"/>
    </row>
    <row r="1158" spans="11:18" ht="12.75" customHeight="1" x14ac:dyDescent="0.25">
      <c r="K1158"/>
      <c r="M1158" s="147"/>
      <c r="N1158" s="147"/>
      <c r="O1158" s="147"/>
      <c r="P1158" s="147"/>
      <c r="Q1158" s="147"/>
      <c r="R1158" s="102"/>
    </row>
    <row r="1159" spans="11:18" ht="12.75" customHeight="1" x14ac:dyDescent="0.25">
      <c r="K1159"/>
      <c r="M1159" s="147"/>
      <c r="N1159" s="147"/>
      <c r="O1159" s="147"/>
      <c r="P1159" s="147"/>
      <c r="Q1159" s="147"/>
      <c r="R1159" s="102"/>
    </row>
    <row r="1160" spans="11:18" ht="12.75" customHeight="1" x14ac:dyDescent="0.25">
      <c r="K1160"/>
      <c r="M1160" s="147"/>
      <c r="N1160" s="147"/>
      <c r="O1160" s="147"/>
      <c r="P1160" s="147"/>
      <c r="Q1160" s="147"/>
      <c r="R1160" s="102"/>
    </row>
    <row r="1161" spans="11:18" ht="12.75" customHeight="1" x14ac:dyDescent="0.25">
      <c r="K1161"/>
      <c r="M1161" s="147"/>
      <c r="N1161" s="147"/>
      <c r="O1161" s="147"/>
      <c r="P1161" s="147"/>
      <c r="Q1161" s="147"/>
      <c r="R1161" s="102"/>
    </row>
    <row r="1162" spans="11:18" ht="12.75" customHeight="1" x14ac:dyDescent="0.25">
      <c r="K1162"/>
      <c r="M1162" s="147"/>
      <c r="N1162" s="147"/>
      <c r="O1162" s="147"/>
      <c r="P1162" s="147"/>
      <c r="Q1162" s="147"/>
      <c r="R1162" s="102"/>
    </row>
    <row r="1163" spans="11:18" ht="12.75" customHeight="1" x14ac:dyDescent="0.25">
      <c r="K1163"/>
      <c r="M1163" s="147"/>
      <c r="N1163" s="147"/>
      <c r="O1163" s="147"/>
      <c r="P1163" s="147"/>
      <c r="Q1163" s="147"/>
      <c r="R1163" s="102"/>
    </row>
    <row r="1164" spans="11:18" ht="12.75" customHeight="1" x14ac:dyDescent="0.25">
      <c r="K1164"/>
      <c r="M1164" s="147"/>
      <c r="N1164" s="147"/>
      <c r="O1164" s="147"/>
      <c r="P1164" s="147"/>
      <c r="Q1164" s="147"/>
      <c r="R1164" s="102"/>
    </row>
    <row r="1165" spans="11:18" ht="12.75" customHeight="1" x14ac:dyDescent="0.25">
      <c r="K1165"/>
      <c r="M1165" s="147"/>
      <c r="N1165" s="147"/>
      <c r="O1165" s="147"/>
      <c r="P1165" s="147"/>
      <c r="Q1165" s="147"/>
      <c r="R1165" s="102"/>
    </row>
    <row r="1166" spans="11:18" ht="12.75" customHeight="1" x14ac:dyDescent="0.25">
      <c r="K1166"/>
      <c r="M1166" s="147"/>
      <c r="N1166" s="147"/>
      <c r="O1166" s="147"/>
      <c r="P1166" s="147"/>
      <c r="Q1166" s="147"/>
      <c r="R1166" s="102"/>
    </row>
    <row r="1167" spans="11:18" ht="12.75" customHeight="1" x14ac:dyDescent="0.25">
      <c r="K1167"/>
      <c r="M1167" s="147"/>
      <c r="N1167" s="147"/>
      <c r="O1167" s="147"/>
      <c r="P1167" s="147"/>
      <c r="Q1167" s="147"/>
      <c r="R1167" s="102"/>
    </row>
    <row r="1168" spans="11:18" ht="12.75" customHeight="1" x14ac:dyDescent="0.25">
      <c r="K1168"/>
      <c r="M1168" s="147"/>
      <c r="N1168" s="147"/>
      <c r="O1168" s="147"/>
      <c r="P1168" s="147"/>
      <c r="Q1168" s="147"/>
      <c r="R1168" s="102"/>
    </row>
    <row r="1169" spans="11:18" ht="12.75" customHeight="1" x14ac:dyDescent="0.25">
      <c r="K1169"/>
      <c r="M1169" s="147"/>
      <c r="N1169" s="147"/>
      <c r="O1169" s="147"/>
      <c r="P1169" s="147"/>
      <c r="Q1169" s="147"/>
      <c r="R1169" s="102"/>
    </row>
    <row r="1170" spans="11:18" ht="12.75" customHeight="1" x14ac:dyDescent="0.25">
      <c r="K1170"/>
      <c r="M1170" s="147"/>
      <c r="N1170" s="147"/>
      <c r="O1170" s="147"/>
      <c r="P1170" s="147"/>
      <c r="Q1170" s="147"/>
      <c r="R1170" s="102"/>
    </row>
    <row r="1171" spans="11:18" ht="12.75" customHeight="1" x14ac:dyDescent="0.25">
      <c r="K1171"/>
      <c r="M1171" s="147"/>
      <c r="N1171" s="147"/>
      <c r="O1171" s="147"/>
      <c r="P1171" s="147"/>
      <c r="Q1171" s="147"/>
      <c r="R1171" s="102"/>
    </row>
    <row r="1172" spans="11:18" ht="12.75" customHeight="1" x14ac:dyDescent="0.25">
      <c r="K1172"/>
      <c r="M1172" s="147"/>
      <c r="N1172" s="147"/>
      <c r="O1172" s="147"/>
      <c r="P1172" s="147"/>
      <c r="Q1172" s="147"/>
      <c r="R1172" s="102"/>
    </row>
    <row r="1173" spans="11:18" ht="12.75" customHeight="1" x14ac:dyDescent="0.25">
      <c r="K1173"/>
      <c r="M1173" s="147"/>
      <c r="N1173" s="102"/>
      <c r="O1173" s="102"/>
      <c r="P1173" s="102"/>
      <c r="Q1173" s="102"/>
      <c r="R1173" s="102"/>
    </row>
    <row r="1174" spans="11:18" ht="12.75" customHeight="1" x14ac:dyDescent="0.25">
      <c r="K1174"/>
    </row>
    <row r="1175" spans="11:18" ht="12.75" customHeight="1" x14ac:dyDescent="0.25">
      <c r="K1175"/>
    </row>
    <row r="1176" spans="11:18" ht="12.75" customHeight="1" x14ac:dyDescent="0.25">
      <c r="K1176"/>
    </row>
    <row r="1177" spans="11:18" ht="12.75" customHeight="1" x14ac:dyDescent="0.25">
      <c r="K1177"/>
    </row>
    <row r="1178" spans="11:18" ht="12.75" customHeight="1" x14ac:dyDescent="0.25">
      <c r="K1178"/>
    </row>
    <row r="1179" spans="11:18" ht="12.75" customHeight="1" x14ac:dyDescent="0.25">
      <c r="K1179"/>
    </row>
    <row r="1180" spans="11:18" ht="12.75" customHeight="1" x14ac:dyDescent="0.25">
      <c r="K1180"/>
    </row>
    <row r="1181" spans="11:18" ht="12.75" customHeight="1" x14ac:dyDescent="0.25">
      <c r="K1181"/>
    </row>
    <row r="1182" spans="11:18" ht="12.75" customHeight="1" x14ac:dyDescent="0.25">
      <c r="K1182"/>
    </row>
    <row r="1183" spans="11:18" ht="12.75" customHeight="1" x14ac:dyDescent="0.25">
      <c r="K1183"/>
    </row>
    <row r="1184" spans="11:18" ht="12.75" customHeight="1" x14ac:dyDescent="0.25">
      <c r="K1184"/>
    </row>
    <row r="1185" spans="11:11" ht="12.75" customHeight="1" x14ac:dyDescent="0.25">
      <c r="K1185"/>
    </row>
    <row r="1186" spans="11:11" ht="12.75" customHeight="1" x14ac:dyDescent="0.25">
      <c r="K1186"/>
    </row>
    <row r="1187" spans="11:11" ht="12.75" customHeight="1" x14ac:dyDescent="0.25">
      <c r="K1187"/>
    </row>
    <row r="1188" spans="11:11" ht="12.75" customHeight="1" x14ac:dyDescent="0.25">
      <c r="K1188"/>
    </row>
    <row r="1189" spans="11:11" ht="12.75" customHeight="1" x14ac:dyDescent="0.25">
      <c r="K1189"/>
    </row>
    <row r="1190" spans="11:11" ht="12.75" customHeight="1" x14ac:dyDescent="0.25">
      <c r="K1190"/>
    </row>
    <row r="1191" spans="11:11" ht="12.75" customHeight="1" x14ac:dyDescent="0.25">
      <c r="K1191"/>
    </row>
    <row r="1192" spans="11:11" ht="12.75" customHeight="1" x14ac:dyDescent="0.25">
      <c r="K1192"/>
    </row>
    <row r="1193" spans="11:11" ht="12.75" customHeight="1" x14ac:dyDescent="0.25">
      <c r="K1193"/>
    </row>
    <row r="1194" spans="11:11" ht="12.75" customHeight="1" x14ac:dyDescent="0.25">
      <c r="K1194"/>
    </row>
    <row r="1195" spans="11:11" ht="12.75" customHeight="1" x14ac:dyDescent="0.25">
      <c r="K1195"/>
    </row>
    <row r="1196" spans="11:11" ht="12.75" customHeight="1" x14ac:dyDescent="0.25">
      <c r="K1196"/>
    </row>
    <row r="1197" spans="11:11" ht="12.75" customHeight="1" x14ac:dyDescent="0.25">
      <c r="K1197"/>
    </row>
    <row r="1198" spans="11:11" ht="12.75" customHeight="1" x14ac:dyDescent="0.25">
      <c r="K1198"/>
    </row>
    <row r="1199" spans="11:11" ht="12.75" customHeight="1" x14ac:dyDescent="0.25">
      <c r="K1199"/>
    </row>
    <row r="1200" spans="11:11" ht="12.75" customHeight="1" x14ac:dyDescent="0.25">
      <c r="K1200"/>
    </row>
    <row r="1201" spans="11:11" ht="12.75" customHeight="1" x14ac:dyDescent="0.25">
      <c r="K1201"/>
    </row>
    <row r="1202" spans="11:11" ht="12.75" customHeight="1" x14ac:dyDescent="0.25">
      <c r="K1202"/>
    </row>
    <row r="1203" spans="11:11" ht="12.75" customHeight="1" x14ac:dyDescent="0.25">
      <c r="K1203"/>
    </row>
    <row r="1204" spans="11:11" ht="12.75" customHeight="1" x14ac:dyDescent="0.25">
      <c r="K1204"/>
    </row>
    <row r="1205" spans="11:11" ht="12.75" customHeight="1" x14ac:dyDescent="0.25">
      <c r="K1205"/>
    </row>
    <row r="1206" spans="11:11" ht="12.75" customHeight="1" x14ac:dyDescent="0.25">
      <c r="K1206"/>
    </row>
    <row r="1207" spans="11:11" ht="12.75" customHeight="1" x14ac:dyDescent="0.25">
      <c r="K1207"/>
    </row>
    <row r="1208" spans="11:11" ht="12.75" customHeight="1" x14ac:dyDescent="0.25">
      <c r="K1208"/>
    </row>
    <row r="1209" spans="11:11" ht="12.75" customHeight="1" x14ac:dyDescent="0.25">
      <c r="K1209"/>
    </row>
    <row r="1210" spans="11:11" ht="12.75" customHeight="1" x14ac:dyDescent="0.25">
      <c r="K1210"/>
    </row>
    <row r="1211" spans="11:11" ht="12.75" customHeight="1" x14ac:dyDescent="0.25">
      <c r="K1211"/>
    </row>
    <row r="1212" spans="11:11" ht="12.75" customHeight="1" x14ac:dyDescent="0.25">
      <c r="K1212"/>
    </row>
    <row r="1213" spans="11:11" ht="12.75" customHeight="1" x14ac:dyDescent="0.25">
      <c r="K1213"/>
    </row>
    <row r="1214" spans="11:11" ht="12.75" customHeight="1" x14ac:dyDescent="0.25">
      <c r="K1214"/>
    </row>
    <row r="1215" spans="11:11" ht="12.75" customHeight="1" x14ac:dyDescent="0.25">
      <c r="K1215"/>
    </row>
    <row r="1216" spans="11:11" ht="12.75" customHeight="1" x14ac:dyDescent="0.25">
      <c r="K1216"/>
    </row>
    <row r="1217" spans="11:11" ht="12.75" customHeight="1" x14ac:dyDescent="0.25">
      <c r="K1217"/>
    </row>
    <row r="1218" spans="11:11" ht="12.75" customHeight="1" x14ac:dyDescent="0.25">
      <c r="K1218"/>
    </row>
    <row r="1219" spans="11:11" ht="12.75" customHeight="1" x14ac:dyDescent="0.25">
      <c r="K1219"/>
    </row>
    <row r="1220" spans="11:11" ht="12.75" customHeight="1" x14ac:dyDescent="0.25">
      <c r="K1220"/>
    </row>
    <row r="1221" spans="11:11" ht="12.75" customHeight="1" x14ac:dyDescent="0.25">
      <c r="K1221"/>
    </row>
    <row r="1222" spans="11:11" ht="12.75" customHeight="1" x14ac:dyDescent="0.25">
      <c r="K1222"/>
    </row>
    <row r="1223" spans="11:11" ht="12.75" customHeight="1" x14ac:dyDescent="0.25">
      <c r="K1223"/>
    </row>
    <row r="1224" spans="11:11" ht="12.75" customHeight="1" x14ac:dyDescent="0.25">
      <c r="K1224"/>
    </row>
    <row r="1225" spans="11:11" ht="12.75" customHeight="1" x14ac:dyDescent="0.25">
      <c r="K1225"/>
    </row>
    <row r="1226" spans="11:11" ht="12.75" customHeight="1" x14ac:dyDescent="0.25">
      <c r="K1226"/>
    </row>
    <row r="1227" spans="11:11" ht="12.75" customHeight="1" x14ac:dyDescent="0.25">
      <c r="K1227"/>
    </row>
    <row r="1228" spans="11:11" ht="12.75" customHeight="1" x14ac:dyDescent="0.25">
      <c r="K1228"/>
    </row>
    <row r="1229" spans="11:11" ht="12.75" customHeight="1" x14ac:dyDescent="0.25">
      <c r="K1229"/>
    </row>
    <row r="1230" spans="11:11" ht="12.75" customHeight="1" x14ac:dyDescent="0.25">
      <c r="K1230"/>
    </row>
    <row r="1231" spans="11:11" ht="12.75" customHeight="1" x14ac:dyDescent="0.25">
      <c r="K1231"/>
    </row>
    <row r="1232" spans="11:11" ht="12.75" customHeight="1" x14ac:dyDescent="0.25">
      <c r="K1232"/>
    </row>
    <row r="1233" spans="11:11" ht="12.75" customHeight="1" x14ac:dyDescent="0.25">
      <c r="K1233"/>
    </row>
    <row r="1234" spans="11:11" ht="12.75" customHeight="1" x14ac:dyDescent="0.25">
      <c r="K1234"/>
    </row>
    <row r="1235" spans="11:11" ht="12.75" customHeight="1" x14ac:dyDescent="0.25">
      <c r="K1235"/>
    </row>
    <row r="1236" spans="11:11" ht="12.75" customHeight="1" x14ac:dyDescent="0.25">
      <c r="K1236"/>
    </row>
    <row r="1237" spans="11:11" ht="12.75" customHeight="1" x14ac:dyDescent="0.25">
      <c r="K1237"/>
    </row>
    <row r="1238" spans="11:11" ht="12.75" customHeight="1" x14ac:dyDescent="0.25">
      <c r="K1238"/>
    </row>
    <row r="1239" spans="11:11" ht="12.75" customHeight="1" x14ac:dyDescent="0.25">
      <c r="K1239"/>
    </row>
    <row r="1240" spans="11:11" ht="12.75" customHeight="1" x14ac:dyDescent="0.25">
      <c r="K1240"/>
    </row>
    <row r="1241" spans="11:11" ht="12.75" customHeight="1" x14ac:dyDescent="0.25">
      <c r="K1241"/>
    </row>
    <row r="1242" spans="11:11" ht="12.75" customHeight="1" x14ac:dyDescent="0.25">
      <c r="K1242"/>
    </row>
    <row r="1243" spans="11:11" ht="12.75" customHeight="1" x14ac:dyDescent="0.25">
      <c r="K1243"/>
    </row>
    <row r="1244" spans="11:11" ht="12.75" customHeight="1" x14ac:dyDescent="0.25">
      <c r="K1244"/>
    </row>
    <row r="1245" spans="11:11" ht="12.75" customHeight="1" x14ac:dyDescent="0.25">
      <c r="K1245"/>
    </row>
    <row r="1246" spans="11:11" ht="12.75" customHeight="1" x14ac:dyDescent="0.25">
      <c r="K1246"/>
    </row>
    <row r="1247" spans="11:11" ht="12.75" customHeight="1" x14ac:dyDescent="0.25">
      <c r="K1247"/>
    </row>
    <row r="1248" spans="11:11" ht="12.75" customHeight="1" x14ac:dyDescent="0.25">
      <c r="K1248"/>
    </row>
    <row r="1249" spans="11:11" ht="12.75" customHeight="1" x14ac:dyDescent="0.25">
      <c r="K1249"/>
    </row>
    <row r="1250" spans="11:11" ht="12.75" customHeight="1" x14ac:dyDescent="0.25">
      <c r="K1250"/>
    </row>
    <row r="1251" spans="11:11" ht="12.75" customHeight="1" x14ac:dyDescent="0.25">
      <c r="K1251"/>
    </row>
    <row r="1252" spans="11:11" ht="12.75" customHeight="1" x14ac:dyDescent="0.25">
      <c r="K1252"/>
    </row>
    <row r="1253" spans="11:11" ht="12.75" customHeight="1" x14ac:dyDescent="0.25">
      <c r="K1253"/>
    </row>
    <row r="1254" spans="11:11" ht="12.75" customHeight="1" x14ac:dyDescent="0.25">
      <c r="K1254"/>
    </row>
    <row r="1255" spans="11:11" ht="12.75" customHeight="1" x14ac:dyDescent="0.25">
      <c r="K1255"/>
    </row>
    <row r="1256" spans="11:11" ht="12.75" customHeight="1" x14ac:dyDescent="0.25">
      <c r="K1256"/>
    </row>
    <row r="1257" spans="11:11" ht="12.75" customHeight="1" x14ac:dyDescent="0.25">
      <c r="K1257"/>
    </row>
    <row r="1258" spans="11:11" ht="12.75" customHeight="1" x14ac:dyDescent="0.25">
      <c r="K1258"/>
    </row>
    <row r="1259" spans="11:11" ht="12.75" customHeight="1" x14ac:dyDescent="0.25">
      <c r="K1259"/>
    </row>
    <row r="1260" spans="11:11" ht="12.75" customHeight="1" x14ac:dyDescent="0.25">
      <c r="K1260"/>
    </row>
    <row r="1261" spans="11:11" ht="12.75" customHeight="1" x14ac:dyDescent="0.25">
      <c r="K1261"/>
    </row>
    <row r="1262" spans="11:11" ht="12.75" customHeight="1" x14ac:dyDescent="0.25">
      <c r="K1262"/>
    </row>
    <row r="1263" spans="11:11" ht="12.75" customHeight="1" x14ac:dyDescent="0.25">
      <c r="K1263"/>
    </row>
    <row r="1264" spans="11:11" ht="12.75" customHeight="1" x14ac:dyDescent="0.25">
      <c r="K1264"/>
    </row>
    <row r="1265" spans="11:11" ht="12.75" customHeight="1" x14ac:dyDescent="0.25">
      <c r="K1265"/>
    </row>
    <row r="1266" spans="11:11" ht="12.75" customHeight="1" x14ac:dyDescent="0.25">
      <c r="K1266"/>
    </row>
    <row r="1267" spans="11:11" ht="12.75" customHeight="1" x14ac:dyDescent="0.25">
      <c r="K1267"/>
    </row>
    <row r="1268" spans="11:11" ht="12.75" customHeight="1" x14ac:dyDescent="0.25">
      <c r="K1268"/>
    </row>
    <row r="1269" spans="11:11" ht="12.75" customHeight="1" x14ac:dyDescent="0.25">
      <c r="K1269"/>
    </row>
    <row r="1270" spans="11:11" ht="12.75" customHeight="1" x14ac:dyDescent="0.25">
      <c r="K1270"/>
    </row>
    <row r="1271" spans="11:11" ht="12.75" customHeight="1" x14ac:dyDescent="0.25">
      <c r="K1271"/>
    </row>
    <row r="1272" spans="11:11" ht="12.75" customHeight="1" x14ac:dyDescent="0.25">
      <c r="K1272"/>
    </row>
    <row r="1273" spans="11:11" ht="12.75" customHeight="1" x14ac:dyDescent="0.25">
      <c r="K1273"/>
    </row>
    <row r="1274" spans="11:11" ht="12.75" customHeight="1" x14ac:dyDescent="0.25">
      <c r="K1274"/>
    </row>
    <row r="1275" spans="11:11" ht="12.75" customHeight="1" x14ac:dyDescent="0.25">
      <c r="K1275"/>
    </row>
    <row r="1276" spans="11:11" ht="12.75" customHeight="1" x14ac:dyDescent="0.25">
      <c r="K1276"/>
    </row>
    <row r="1277" spans="11:11" ht="12.75" customHeight="1" x14ac:dyDescent="0.25">
      <c r="K1277"/>
    </row>
    <row r="1278" spans="11:11" ht="12.75" customHeight="1" x14ac:dyDescent="0.25">
      <c r="K1278"/>
    </row>
    <row r="1279" spans="11:11" ht="12.75" customHeight="1" x14ac:dyDescent="0.25">
      <c r="K1279"/>
    </row>
    <row r="1280" spans="11:11" ht="12.75" customHeight="1" x14ac:dyDescent="0.25">
      <c r="K1280"/>
    </row>
    <row r="1281" spans="11:11" ht="12.75" customHeight="1" x14ac:dyDescent="0.25">
      <c r="K1281"/>
    </row>
    <row r="1282" spans="11:11" ht="12.75" customHeight="1" x14ac:dyDescent="0.25">
      <c r="K1282"/>
    </row>
    <row r="1283" spans="11:11" ht="12.75" customHeight="1" x14ac:dyDescent="0.25">
      <c r="K1283"/>
    </row>
    <row r="1284" spans="11:11" ht="12.75" customHeight="1" x14ac:dyDescent="0.25">
      <c r="K1284"/>
    </row>
    <row r="1285" spans="11:11" ht="12.75" customHeight="1" x14ac:dyDescent="0.25">
      <c r="K1285"/>
    </row>
    <row r="1286" spans="11:11" ht="12.75" customHeight="1" x14ac:dyDescent="0.25">
      <c r="K1286"/>
    </row>
    <row r="1287" spans="11:11" ht="12.75" customHeight="1" x14ac:dyDescent="0.25">
      <c r="K1287"/>
    </row>
    <row r="1288" spans="11:11" ht="12.75" customHeight="1" x14ac:dyDescent="0.25">
      <c r="K1288"/>
    </row>
    <row r="1289" spans="11:11" ht="12.75" customHeight="1" x14ac:dyDescent="0.25">
      <c r="K1289"/>
    </row>
    <row r="1290" spans="11:11" ht="12.75" customHeight="1" x14ac:dyDescent="0.25">
      <c r="K1290"/>
    </row>
    <row r="1291" spans="11:11" ht="12.75" customHeight="1" x14ac:dyDescent="0.25">
      <c r="K1291"/>
    </row>
    <row r="1292" spans="11:11" ht="12.75" customHeight="1" x14ac:dyDescent="0.25">
      <c r="K1292"/>
    </row>
    <row r="1293" spans="11:11" ht="12.75" customHeight="1" x14ac:dyDescent="0.25">
      <c r="K1293"/>
    </row>
    <row r="1294" spans="11:11" ht="12.75" customHeight="1" x14ac:dyDescent="0.25">
      <c r="K1294"/>
    </row>
    <row r="1295" spans="11:11" ht="12.75" customHeight="1" x14ac:dyDescent="0.25">
      <c r="K1295"/>
    </row>
    <row r="1296" spans="11:11" ht="12.75" customHeight="1" x14ac:dyDescent="0.25">
      <c r="K1296"/>
    </row>
    <row r="1297" spans="11:11" ht="12.75" customHeight="1" x14ac:dyDescent="0.25">
      <c r="K1297"/>
    </row>
    <row r="1298" spans="11:11" ht="12.75" customHeight="1" x14ac:dyDescent="0.25">
      <c r="K1298"/>
    </row>
    <row r="1299" spans="11:11" ht="12.75" customHeight="1" x14ac:dyDescent="0.25">
      <c r="K1299"/>
    </row>
    <row r="1300" spans="11:11" ht="12.75" customHeight="1" x14ac:dyDescent="0.25">
      <c r="K1300"/>
    </row>
    <row r="1301" spans="11:11" ht="12.75" customHeight="1" x14ac:dyDescent="0.25">
      <c r="K1301"/>
    </row>
    <row r="1302" spans="11:11" ht="12.75" customHeight="1" x14ac:dyDescent="0.25">
      <c r="K1302"/>
    </row>
    <row r="1303" spans="11:11" ht="12.75" customHeight="1" x14ac:dyDescent="0.25">
      <c r="K1303"/>
    </row>
    <row r="1304" spans="11:11" ht="12.75" customHeight="1" x14ac:dyDescent="0.25">
      <c r="K1304"/>
    </row>
    <row r="1305" spans="11:11" ht="12.75" customHeight="1" x14ac:dyDescent="0.25">
      <c r="K1305"/>
    </row>
    <row r="1306" spans="11:11" ht="12.75" customHeight="1" x14ac:dyDescent="0.25">
      <c r="K1306"/>
    </row>
    <row r="1307" spans="11:11" ht="12.75" customHeight="1" x14ac:dyDescent="0.25">
      <c r="K1307"/>
    </row>
    <row r="1645" spans="1:18" ht="12.75" customHeight="1" x14ac:dyDescent="0.25">
      <c r="A1645" s="17"/>
      <c r="B1645" s="17"/>
      <c r="C1645" s="17"/>
      <c r="D1645" s="17"/>
      <c r="E1645" s="17"/>
      <c r="F1645" s="17"/>
      <c r="G1645" s="17"/>
      <c r="H1645" s="121"/>
      <c r="I1645" s="138"/>
      <c r="J1645" s="138"/>
      <c r="K1645" s="17"/>
      <c r="L1645" s="17"/>
      <c r="M1645" s="18"/>
      <c r="N1645" s="17"/>
      <c r="O1645" s="17"/>
      <c r="P1645" s="17"/>
      <c r="Q1645" s="17"/>
      <c r="R1645" s="17"/>
    </row>
    <row r="1646" spans="1:18" ht="12.75" customHeight="1" x14ac:dyDescent="0.25">
      <c r="A1646" s="17"/>
      <c r="B1646" s="17"/>
      <c r="C1646" s="17"/>
      <c r="D1646" s="17"/>
      <c r="E1646" s="17"/>
      <c r="F1646" s="17"/>
      <c r="G1646" s="17"/>
      <c r="H1646" s="121"/>
      <c r="I1646" s="138"/>
      <c r="J1646" s="138"/>
      <c r="K1646" s="17"/>
      <c r="L1646" s="17"/>
      <c r="M1646" s="18"/>
      <c r="N1646" s="17"/>
      <c r="O1646" s="17"/>
      <c r="P1646" s="17"/>
      <c r="Q1646" s="17"/>
      <c r="R1646" s="17"/>
    </row>
    <row r="1647" spans="1:18" ht="12.75" customHeight="1" x14ac:dyDescent="0.25">
      <c r="A1647" s="17"/>
      <c r="B1647" s="17"/>
      <c r="C1647" s="17"/>
      <c r="D1647" s="17"/>
      <c r="E1647" s="17"/>
      <c r="F1647" s="17"/>
      <c r="G1647" s="17"/>
      <c r="H1647" s="121"/>
      <c r="I1647" s="138"/>
      <c r="J1647" s="138"/>
      <c r="K1647" s="17"/>
      <c r="L1647" s="17"/>
      <c r="M1647" s="18"/>
      <c r="N1647" s="17"/>
      <c r="O1647" s="17"/>
      <c r="P1647" s="17"/>
      <c r="Q1647" s="17"/>
      <c r="R1647" s="17"/>
    </row>
  </sheetData>
  <mergeCells count="7">
    <mergeCell ref="P3:P8"/>
    <mergeCell ref="Q3:Q8"/>
    <mergeCell ref="H4:I4"/>
    <mergeCell ref="K3:K8"/>
    <mergeCell ref="M3:M8"/>
    <mergeCell ref="N3:N8"/>
    <mergeCell ref="O3:O8"/>
  </mergeCells>
  <conditionalFormatting sqref="K77">
    <cfRule type="expression" dxfId="186" priority="9">
      <formula>#REF!=TRUE</formula>
    </cfRule>
  </conditionalFormatting>
  <conditionalFormatting sqref="K150">
    <cfRule type="expression" dxfId="185" priority="8">
      <formula>#REF!=TRUE</formula>
    </cfRule>
  </conditionalFormatting>
  <conditionalFormatting sqref="K89">
    <cfRule type="expression" dxfId="184" priority="7">
      <formula>#REF!=TRUE</formula>
    </cfRule>
  </conditionalFormatting>
  <conditionalFormatting sqref="K158:K163">
    <cfRule type="containsText" dxfId="183" priority="5" operator="containsText" text="TRUE">
      <formula>NOT(ISERROR(SEARCH("TRUE",K158)))</formula>
    </cfRule>
    <cfRule type="containsText" dxfId="182" priority="6" operator="containsText" text="FALSE">
      <formula>NOT(ISERROR(SEARCH("FALSE",K158)))</formula>
    </cfRule>
  </conditionalFormatting>
  <conditionalFormatting sqref="K164">
    <cfRule type="containsText" dxfId="181" priority="3" operator="containsText" text="TRUE">
      <formula>NOT(ISERROR(SEARCH("TRUE",K164)))</formula>
    </cfRule>
    <cfRule type="containsText" dxfId="180" priority="4" operator="containsText" text="FALSE">
      <formula>NOT(ISERROR(SEARCH("FALSE",K164)))</formula>
    </cfRule>
  </conditionalFormatting>
  <conditionalFormatting sqref="H4">
    <cfRule type="containsText" dxfId="179" priority="1" operator="containsText" text="TRUE">
      <formula>NOT(ISERROR(SEARCH("TRUE",H4)))</formula>
    </cfRule>
    <cfRule type="containsText" dxfId="178" priority="2" operator="containsText" text="FALSE">
      <formula>NOT(ISERROR(SEARCH("FALSE",H4)))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odel">
                <anchor moveWithCells="1">
                  <from>
                    <xdr:col>1</xdr:col>
                    <xdr:colOff>47625</xdr:colOff>
                    <xdr:row>4</xdr:row>
                    <xdr:rowOff>95250</xdr:rowOff>
                  </from>
                  <to>
                    <xdr:col>4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pinner 2">
              <controlPr defaultSize="0" autoPict="0">
                <anchor moveWithCells="1" sizeWithCells="1">
                  <from>
                    <xdr:col>7</xdr:col>
                    <xdr:colOff>0</xdr:colOff>
                    <xdr:row>0</xdr:row>
                    <xdr:rowOff>152400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1459D-9A8F-47AA-9395-2B700D4D7A3B}">
  <sheetPr codeName="Sheet3">
    <tabColor theme="1" tint="0.34998626667073579"/>
  </sheetPr>
  <dimension ref="A1:II81"/>
  <sheetViews>
    <sheetView showGridLines="0" zoomScale="50" zoomScaleNormal="50" workbookViewId="0">
      <pane xSplit="16" ySplit="9" topLeftCell="Q10" activePane="bottomRight" state="frozen"/>
      <selection activeCell="L166" sqref="L166"/>
      <selection pane="topRight" activeCell="L166" sqref="L166"/>
      <selection pane="bottomLeft" activeCell="L166" sqref="L166"/>
      <selection pane="bottomRight" activeCell="A45" sqref="A45:XFD45"/>
    </sheetView>
  </sheetViews>
  <sheetFormatPr defaultColWidth="0" defaultRowHeight="12.75" customHeight="1" zeroHeight="1" x14ac:dyDescent="0.25"/>
  <cols>
    <col min="1" max="3" width="3.28515625" customWidth="1"/>
    <col min="4" max="9" width="14" customWidth="1"/>
    <col min="10" max="11" width="12.28515625" customWidth="1"/>
    <col min="12" max="13" width="16" customWidth="1"/>
    <col min="14" max="15" width="9.140625" customWidth="1"/>
    <col min="16" max="16" width="15.85546875" bestFit="1" customWidth="1"/>
    <col min="17" max="17" width="12.5703125" customWidth="1"/>
    <col min="18" max="100" width="11.140625" customWidth="1"/>
    <col min="101" max="16384" width="9.140625" hidden="1"/>
  </cols>
  <sheetData>
    <row r="1" spans="1:243" s="282" customFormat="1" ht="12.75" customHeight="1" x14ac:dyDescent="0.2">
      <c r="J1" s="284"/>
    </row>
    <row r="2" spans="1:243" s="282" customFormat="1" ht="12.75" customHeight="1" x14ac:dyDescent="0.2">
      <c r="J2" s="284"/>
    </row>
    <row r="3" spans="1:243" s="282" customFormat="1" ht="12.75" customHeight="1" x14ac:dyDescent="0.2">
      <c r="J3" s="284"/>
    </row>
    <row r="4" spans="1:243" s="282" customFormat="1" ht="12.75" customHeight="1" x14ac:dyDescent="0.2">
      <c r="J4" s="284"/>
    </row>
    <row r="5" spans="1:243" s="282" customFormat="1" ht="12.75" customHeight="1" x14ac:dyDescent="0.2">
      <c r="J5" s="284"/>
      <c r="P5" s="282" t="s">
        <v>0</v>
      </c>
      <c r="R5" s="287">
        <f>Timing!R5</f>
        <v>2021</v>
      </c>
      <c r="S5" s="287">
        <f>Timing!S5</f>
        <v>2022</v>
      </c>
      <c r="T5" s="287">
        <f>Timing!T5</f>
        <v>2023</v>
      </c>
      <c r="U5" s="287">
        <f>Timing!U5</f>
        <v>2024</v>
      </c>
      <c r="V5" s="287">
        <f>Timing!V5</f>
        <v>2025</v>
      </c>
      <c r="W5" s="287">
        <f>Timing!W5</f>
        <v>2026</v>
      </c>
      <c r="X5" s="287">
        <f>Timing!X5</f>
        <v>2027</v>
      </c>
      <c r="Y5" s="287">
        <f>Timing!Y5</f>
        <v>2028</v>
      </c>
      <c r="Z5" s="287">
        <f>Timing!Z5</f>
        <v>2029</v>
      </c>
      <c r="AA5" s="287">
        <f>Timing!AA5</f>
        <v>2030</v>
      </c>
      <c r="AB5" s="287">
        <f>Timing!AB5</f>
        <v>2031</v>
      </c>
      <c r="AC5" s="287">
        <f>Timing!AC5</f>
        <v>2032</v>
      </c>
      <c r="AD5" s="287">
        <f>Timing!AD5</f>
        <v>2033</v>
      </c>
      <c r="AE5" s="287">
        <f>Timing!AE5</f>
        <v>2034</v>
      </c>
      <c r="AF5" s="287">
        <f>Timing!AF5</f>
        <v>2035</v>
      </c>
      <c r="AG5" s="287">
        <f>Timing!AG5</f>
        <v>2036</v>
      </c>
      <c r="AH5" s="287">
        <f>Timing!AH5</f>
        <v>2037</v>
      </c>
      <c r="AI5" s="287">
        <f>Timing!AI5</f>
        <v>2038</v>
      </c>
      <c r="AJ5" s="287">
        <f>Timing!AJ5</f>
        <v>2039</v>
      </c>
      <c r="AK5" s="287">
        <f>Timing!AK5</f>
        <v>2040</v>
      </c>
      <c r="AL5" s="287">
        <f>Timing!AL5</f>
        <v>2041</v>
      </c>
      <c r="AM5" s="287">
        <f>Timing!AM5</f>
        <v>2042</v>
      </c>
      <c r="AN5" s="287">
        <f>Timing!AN5</f>
        <v>2043</v>
      </c>
      <c r="AO5" s="287">
        <f>Timing!AO5</f>
        <v>2044</v>
      </c>
      <c r="AP5" s="287">
        <f>Timing!AP5</f>
        <v>2045</v>
      </c>
      <c r="AQ5" s="287">
        <f>Timing!AQ5</f>
        <v>2046</v>
      </c>
      <c r="AR5" s="287">
        <f>Timing!AR5</f>
        <v>2047</v>
      </c>
      <c r="AS5" s="287">
        <f>Timing!AS5</f>
        <v>2048</v>
      </c>
      <c r="AT5" s="287">
        <f>Timing!AT5</f>
        <v>2049</v>
      </c>
      <c r="AU5" s="287">
        <f>Timing!AU5</f>
        <v>2050</v>
      </c>
      <c r="AV5" s="287">
        <f>Timing!AV5</f>
        <v>2051</v>
      </c>
      <c r="AW5" s="287">
        <f>Timing!AW5</f>
        <v>2052</v>
      </c>
      <c r="AX5" s="287">
        <f>Timing!AX5</f>
        <v>2053</v>
      </c>
      <c r="AY5" s="287">
        <f>Timing!AY5</f>
        <v>2054</v>
      </c>
      <c r="AZ5" s="287">
        <f>Timing!AZ5</f>
        <v>2055</v>
      </c>
      <c r="BA5" s="287">
        <f>Timing!BA5</f>
        <v>2056</v>
      </c>
      <c r="BB5" s="287">
        <f>Timing!BB5</f>
        <v>2057</v>
      </c>
      <c r="BC5" s="287">
        <f>Timing!BC5</f>
        <v>2058</v>
      </c>
      <c r="BD5" s="287">
        <f>Timing!BD5</f>
        <v>2059</v>
      </c>
      <c r="BE5" s="287">
        <f>Timing!BE5</f>
        <v>2060</v>
      </c>
      <c r="BF5" s="287">
        <f>Timing!BF5</f>
        <v>2061</v>
      </c>
      <c r="BG5" s="287">
        <f>Timing!BG5</f>
        <v>2062</v>
      </c>
      <c r="BH5" s="287">
        <f>Timing!BH5</f>
        <v>2063</v>
      </c>
      <c r="BI5" s="287">
        <f>Timing!BI5</f>
        <v>2064</v>
      </c>
      <c r="BJ5" s="287">
        <f>Timing!BJ5</f>
        <v>2065</v>
      </c>
      <c r="BK5" s="287">
        <f>Timing!BK5</f>
        <v>2066</v>
      </c>
      <c r="BL5" s="287">
        <f>Timing!BL5</f>
        <v>2067</v>
      </c>
      <c r="BM5" s="287">
        <f>Timing!BM5</f>
        <v>2068</v>
      </c>
      <c r="BN5" s="287">
        <f>Timing!BN5</f>
        <v>2069</v>
      </c>
      <c r="BO5" s="287">
        <f>Timing!BO5</f>
        <v>2070</v>
      </c>
      <c r="BP5" s="287">
        <f>Timing!BP5</f>
        <v>2071</v>
      </c>
      <c r="BQ5" s="287">
        <f>Timing!BQ5</f>
        <v>2072</v>
      </c>
      <c r="BR5" s="287">
        <f>Timing!BR5</f>
        <v>2073</v>
      </c>
      <c r="BS5" s="287">
        <f>Timing!BS5</f>
        <v>2074</v>
      </c>
      <c r="BT5" s="287">
        <f>Timing!BT5</f>
        <v>2075</v>
      </c>
      <c r="BU5" s="287">
        <f>Timing!BU5</f>
        <v>2076</v>
      </c>
      <c r="BV5" s="287">
        <f>Timing!BV5</f>
        <v>2077</v>
      </c>
      <c r="BW5" s="287">
        <f>Timing!BW5</f>
        <v>2078</v>
      </c>
      <c r="BX5" s="287">
        <f>Timing!BX5</f>
        <v>2079</v>
      </c>
      <c r="BY5" s="287">
        <f>Timing!BY5</f>
        <v>2080</v>
      </c>
      <c r="BZ5" s="287">
        <f>Timing!BZ5</f>
        <v>2081</v>
      </c>
      <c r="CA5" s="287">
        <f>Timing!CA5</f>
        <v>2082</v>
      </c>
      <c r="CB5" s="287">
        <f>Timing!CB5</f>
        <v>2083</v>
      </c>
      <c r="CC5" s="287">
        <f>Timing!CC5</f>
        <v>2084</v>
      </c>
      <c r="CD5" s="287">
        <f>Timing!CD5</f>
        <v>2085</v>
      </c>
      <c r="CE5" s="287">
        <f>Timing!CE5</f>
        <v>2086</v>
      </c>
      <c r="CF5" s="287">
        <f>Timing!CF5</f>
        <v>2087</v>
      </c>
      <c r="CG5" s="287">
        <f>Timing!CG5</f>
        <v>2088</v>
      </c>
      <c r="CH5" s="287">
        <f>Timing!CH5</f>
        <v>2089</v>
      </c>
      <c r="CI5" s="287">
        <f>Timing!CI5</f>
        <v>2090</v>
      </c>
      <c r="CJ5" s="287">
        <f>Timing!CJ5</f>
        <v>2091</v>
      </c>
      <c r="CK5" s="287">
        <f>Timing!CK5</f>
        <v>2092</v>
      </c>
      <c r="CL5" s="287">
        <f>Timing!CL5</f>
        <v>2093</v>
      </c>
      <c r="CM5" s="287">
        <f>Timing!CM5</f>
        <v>2094</v>
      </c>
      <c r="CN5" s="287">
        <f>Timing!CN5</f>
        <v>2095</v>
      </c>
      <c r="CO5" s="287">
        <f>Timing!CO5</f>
        <v>2096</v>
      </c>
      <c r="CP5" s="287">
        <f>Timing!CP5</f>
        <v>2097</v>
      </c>
      <c r="CQ5" s="287">
        <f>Timing!CQ5</f>
        <v>2098</v>
      </c>
      <c r="CR5" s="287">
        <f>Timing!CR5</f>
        <v>2099</v>
      </c>
      <c r="CS5" s="287">
        <f>Timing!CS5</f>
        <v>2100</v>
      </c>
      <c r="CT5" s="287">
        <f>Timing!CT5</f>
        <v>2101</v>
      </c>
      <c r="CU5" s="287">
        <f>Timing!CU5</f>
        <v>2102</v>
      </c>
      <c r="CV5" s="287">
        <f>Timing!CV5</f>
        <v>2103</v>
      </c>
      <c r="CW5" s="287">
        <f t="shared" ref="CW5:DF5" si="0">CV5+1</f>
        <v>2104</v>
      </c>
      <c r="CX5" s="287">
        <f t="shared" si="0"/>
        <v>2105</v>
      </c>
      <c r="CY5" s="287">
        <f t="shared" si="0"/>
        <v>2106</v>
      </c>
      <c r="CZ5" s="287">
        <f t="shared" si="0"/>
        <v>2107</v>
      </c>
      <c r="DA5" s="287">
        <f t="shared" si="0"/>
        <v>2108</v>
      </c>
      <c r="DB5" s="287">
        <f t="shared" si="0"/>
        <v>2109</v>
      </c>
      <c r="DC5" s="287">
        <f t="shared" si="0"/>
        <v>2110</v>
      </c>
      <c r="DD5" s="287">
        <f t="shared" si="0"/>
        <v>2111</v>
      </c>
      <c r="DE5" s="287">
        <f t="shared" si="0"/>
        <v>2112</v>
      </c>
      <c r="DF5" s="287">
        <f t="shared" si="0"/>
        <v>2113</v>
      </c>
    </row>
    <row r="6" spans="1:243" s="282" customFormat="1" ht="12.75" customHeight="1" x14ac:dyDescent="0.2">
      <c r="J6" s="284"/>
      <c r="P6" s="282" t="s">
        <v>1</v>
      </c>
      <c r="R6" s="288">
        <f>Timing!R6</f>
        <v>1</v>
      </c>
      <c r="S6" s="288">
        <f>Timing!S6</f>
        <v>2</v>
      </c>
      <c r="T6" s="288">
        <f>Timing!T6</f>
        <v>3</v>
      </c>
      <c r="U6" s="288">
        <f>Timing!U6</f>
        <v>4</v>
      </c>
      <c r="V6" s="288">
        <f>Timing!V6</f>
        <v>5</v>
      </c>
      <c r="W6" s="288">
        <f>Timing!W6</f>
        <v>6</v>
      </c>
      <c r="X6" s="288">
        <f>Timing!X6</f>
        <v>7</v>
      </c>
      <c r="Y6" s="288">
        <f>Timing!Y6</f>
        <v>8</v>
      </c>
      <c r="Z6" s="288">
        <f>Timing!Z6</f>
        <v>9</v>
      </c>
      <c r="AA6" s="288">
        <f>Timing!AA6</f>
        <v>10</v>
      </c>
      <c r="AB6" s="288">
        <f>Timing!AB6</f>
        <v>11</v>
      </c>
      <c r="AC6" s="288">
        <f>Timing!AC6</f>
        <v>12</v>
      </c>
      <c r="AD6" s="288">
        <f>Timing!AD6</f>
        <v>13</v>
      </c>
      <c r="AE6" s="288">
        <f>Timing!AE6</f>
        <v>14</v>
      </c>
      <c r="AF6" s="288">
        <f>Timing!AF6</f>
        <v>15</v>
      </c>
      <c r="AG6" s="288">
        <f>Timing!AG6</f>
        <v>16</v>
      </c>
      <c r="AH6" s="288">
        <f>Timing!AH6</f>
        <v>17</v>
      </c>
      <c r="AI6" s="288">
        <f>Timing!AI6</f>
        <v>18</v>
      </c>
      <c r="AJ6" s="288">
        <f>Timing!AJ6</f>
        <v>19</v>
      </c>
      <c r="AK6" s="288">
        <f>Timing!AK6</f>
        <v>20</v>
      </c>
      <c r="AL6" s="288">
        <f>Timing!AL6</f>
        <v>21</v>
      </c>
      <c r="AM6" s="288">
        <f>Timing!AM6</f>
        <v>22</v>
      </c>
      <c r="AN6" s="288">
        <f>Timing!AN6</f>
        <v>23</v>
      </c>
      <c r="AO6" s="288">
        <f>Timing!AO6</f>
        <v>24</v>
      </c>
      <c r="AP6" s="288">
        <f>Timing!AP6</f>
        <v>25</v>
      </c>
      <c r="AQ6" s="288">
        <f>Timing!AQ6</f>
        <v>26</v>
      </c>
      <c r="AR6" s="288">
        <f>Timing!AR6</f>
        <v>27</v>
      </c>
      <c r="AS6" s="288">
        <f>Timing!AS6</f>
        <v>28</v>
      </c>
      <c r="AT6" s="288">
        <f>Timing!AT6</f>
        <v>29</v>
      </c>
      <c r="AU6" s="288">
        <f>Timing!AU6</f>
        <v>30</v>
      </c>
      <c r="AV6" s="288">
        <f>Timing!AV6</f>
        <v>31</v>
      </c>
      <c r="AW6" s="288">
        <f>Timing!AW6</f>
        <v>32</v>
      </c>
      <c r="AX6" s="288">
        <f>Timing!AX6</f>
        <v>33</v>
      </c>
      <c r="AY6" s="288">
        <f>Timing!AY6</f>
        <v>34</v>
      </c>
      <c r="AZ6" s="288">
        <f>Timing!AZ6</f>
        <v>35</v>
      </c>
      <c r="BA6" s="288">
        <f>Timing!BA6</f>
        <v>36</v>
      </c>
      <c r="BB6" s="288">
        <f>Timing!BB6</f>
        <v>37</v>
      </c>
      <c r="BC6" s="288">
        <f>Timing!BC6</f>
        <v>38</v>
      </c>
      <c r="BD6" s="288">
        <f>Timing!BD6</f>
        <v>39</v>
      </c>
      <c r="BE6" s="288">
        <f>Timing!BE6</f>
        <v>40</v>
      </c>
      <c r="BF6" s="288">
        <f>Timing!BF6</f>
        <v>41</v>
      </c>
      <c r="BG6" s="288">
        <f>Timing!BG6</f>
        <v>42</v>
      </c>
      <c r="BH6" s="288">
        <f>Timing!BH6</f>
        <v>43</v>
      </c>
      <c r="BI6" s="288">
        <f>Timing!BI6</f>
        <v>44</v>
      </c>
      <c r="BJ6" s="288">
        <f>Timing!BJ6</f>
        <v>45</v>
      </c>
      <c r="BK6" s="288">
        <f>Timing!BK6</f>
        <v>46</v>
      </c>
      <c r="BL6" s="288">
        <f>Timing!BL6</f>
        <v>47</v>
      </c>
      <c r="BM6" s="288">
        <f>Timing!BM6</f>
        <v>48</v>
      </c>
      <c r="BN6" s="288">
        <f>Timing!BN6</f>
        <v>49</v>
      </c>
      <c r="BO6" s="288">
        <f>Timing!BO6</f>
        <v>50</v>
      </c>
      <c r="BP6" s="288">
        <f>Timing!BP6</f>
        <v>51</v>
      </c>
      <c r="BQ6" s="288">
        <f>Timing!BQ6</f>
        <v>52</v>
      </c>
      <c r="BR6" s="288">
        <f>Timing!BR6</f>
        <v>53</v>
      </c>
      <c r="BS6" s="288">
        <f>Timing!BS6</f>
        <v>54</v>
      </c>
      <c r="BT6" s="288">
        <f>Timing!BT6</f>
        <v>55</v>
      </c>
      <c r="BU6" s="288">
        <f>Timing!BU6</f>
        <v>56</v>
      </c>
      <c r="BV6" s="288">
        <f>Timing!BV6</f>
        <v>57</v>
      </c>
      <c r="BW6" s="288">
        <f>Timing!BW6</f>
        <v>58</v>
      </c>
      <c r="BX6" s="288">
        <f>Timing!BX6</f>
        <v>59</v>
      </c>
      <c r="BY6" s="288">
        <f>Timing!BY6</f>
        <v>60</v>
      </c>
      <c r="BZ6" s="288">
        <f>Timing!BZ6</f>
        <v>61</v>
      </c>
      <c r="CA6" s="288">
        <f>Timing!CA6</f>
        <v>62</v>
      </c>
      <c r="CB6" s="288">
        <f>Timing!CB6</f>
        <v>63</v>
      </c>
      <c r="CC6" s="288">
        <f>Timing!CC6</f>
        <v>64</v>
      </c>
      <c r="CD6" s="288">
        <f>Timing!CD6</f>
        <v>65</v>
      </c>
      <c r="CE6" s="288">
        <f>Timing!CE6</f>
        <v>66</v>
      </c>
      <c r="CF6" s="288">
        <f>Timing!CF6</f>
        <v>67</v>
      </c>
      <c r="CG6" s="288">
        <f>Timing!CG6</f>
        <v>68</v>
      </c>
      <c r="CH6" s="288">
        <f>Timing!CH6</f>
        <v>69</v>
      </c>
      <c r="CI6" s="288">
        <f>Timing!CI6</f>
        <v>70</v>
      </c>
      <c r="CJ6" s="288">
        <f>Timing!CJ6</f>
        <v>71</v>
      </c>
      <c r="CK6" s="288">
        <f>Timing!CK6</f>
        <v>72</v>
      </c>
      <c r="CL6" s="288">
        <f>Timing!CL6</f>
        <v>73</v>
      </c>
      <c r="CM6" s="288">
        <f>Timing!CM6</f>
        <v>74</v>
      </c>
      <c r="CN6" s="288">
        <f>Timing!CN6</f>
        <v>75</v>
      </c>
      <c r="CO6" s="288">
        <f>Timing!CO6</f>
        <v>76</v>
      </c>
      <c r="CP6" s="288">
        <f>Timing!CP6</f>
        <v>77</v>
      </c>
      <c r="CQ6" s="288">
        <f>Timing!CQ6</f>
        <v>78</v>
      </c>
      <c r="CR6" s="288">
        <f>Timing!CR6</f>
        <v>79</v>
      </c>
      <c r="CS6" s="288">
        <f>Timing!CS6</f>
        <v>80</v>
      </c>
      <c r="CT6" s="288">
        <f>Timing!CT6</f>
        <v>81</v>
      </c>
      <c r="CU6" s="288">
        <f>Timing!CU6</f>
        <v>82</v>
      </c>
      <c r="CV6" s="288">
        <f>Timing!CV6</f>
        <v>83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  <c r="DE6" s="288" t="e">
        <f>#REF!</f>
        <v>#REF!</v>
      </c>
      <c r="DF6" s="288" t="e">
        <f>#REF!</f>
        <v>#REF!</v>
      </c>
    </row>
    <row r="7" spans="1:243" s="282" customFormat="1" ht="12.75" customHeight="1" x14ac:dyDescent="0.2">
      <c r="J7" s="284"/>
      <c r="P7" s="282" t="s">
        <v>54</v>
      </c>
      <c r="R7" s="289" t="str">
        <f>Timing!R7</f>
        <v>Const</v>
      </c>
      <c r="S7" s="289" t="str">
        <f>Timing!S7</f>
        <v>Const</v>
      </c>
      <c r="T7" s="289" t="str">
        <f>Timing!T7</f>
        <v>Const</v>
      </c>
      <c r="U7" s="289" t="str">
        <f>Timing!U7</f>
        <v>Ops</v>
      </c>
      <c r="V7" s="289" t="str">
        <f>Timing!V7</f>
        <v>Ops</v>
      </c>
      <c r="W7" s="289" t="str">
        <f>Timing!W7</f>
        <v>Ops</v>
      </c>
      <c r="X7" s="289" t="str">
        <f>Timing!X7</f>
        <v>Ops</v>
      </c>
      <c r="Y7" s="289" t="str">
        <f>Timing!Y7</f>
        <v>Ops</v>
      </c>
      <c r="Z7" s="289" t="str">
        <f>Timing!Z7</f>
        <v>Ops</v>
      </c>
      <c r="AA7" s="289" t="str">
        <f>Timing!AA7</f>
        <v>Ops</v>
      </c>
      <c r="AB7" s="289" t="str">
        <f>Timing!AB7</f>
        <v>Ops</v>
      </c>
      <c r="AC7" s="289" t="str">
        <f>Timing!AC7</f>
        <v>Ops</v>
      </c>
      <c r="AD7" s="289" t="str">
        <f>Timing!AD7</f>
        <v>Ops</v>
      </c>
      <c r="AE7" s="289" t="str">
        <f>Timing!AE7</f>
        <v>Ops</v>
      </c>
      <c r="AF7" s="289" t="str">
        <f>Timing!AF7</f>
        <v>Ops</v>
      </c>
      <c r="AG7" s="289" t="str">
        <f>Timing!AG7</f>
        <v>Ops</v>
      </c>
      <c r="AH7" s="289" t="str">
        <f>Timing!AH7</f>
        <v>Ops</v>
      </c>
      <c r="AI7" s="289" t="str">
        <f>Timing!AI7</f>
        <v>Ops</v>
      </c>
      <c r="AJ7" s="289" t="str">
        <f>Timing!AJ7</f>
        <v>Ops</v>
      </c>
      <c r="AK7" s="289" t="str">
        <f>Timing!AK7</f>
        <v>Ops</v>
      </c>
      <c r="AL7" s="289" t="str">
        <f>Timing!AL7</f>
        <v>Ops</v>
      </c>
      <c r="AM7" s="289" t="str">
        <f>Timing!AM7</f>
        <v>Ops</v>
      </c>
      <c r="AN7" s="289" t="str">
        <f>Timing!AN7</f>
        <v>Ops</v>
      </c>
      <c r="AO7" s="289" t="str">
        <f>Timing!AO7</f>
        <v>Ops</v>
      </c>
      <c r="AP7" s="289" t="str">
        <f>Timing!AP7</f>
        <v>Ops</v>
      </c>
      <c r="AQ7" s="289" t="str">
        <f>Timing!AQ7</f>
        <v>Ops</v>
      </c>
      <c r="AR7" s="289" t="str">
        <f>Timing!AR7</f>
        <v>Ops</v>
      </c>
      <c r="AS7" s="289" t="str">
        <f>Timing!AS7</f>
        <v>Ops</v>
      </c>
      <c r="AT7" s="289" t="str">
        <f>Timing!AT7</f>
        <v>Ops</v>
      </c>
      <c r="AU7" s="289" t="str">
        <f>Timing!AU7</f>
        <v>Ops</v>
      </c>
      <c r="AV7" s="289" t="str">
        <f>Timing!AV7</f>
        <v>Ops</v>
      </c>
      <c r="AW7" s="289" t="str">
        <f>Timing!AW7</f>
        <v>Ops</v>
      </c>
      <c r="AX7" s="289" t="str">
        <f>Timing!AX7</f>
        <v>Ops</v>
      </c>
      <c r="AY7" s="289" t="str">
        <f>Timing!AY7</f>
        <v>Ops</v>
      </c>
      <c r="AZ7" s="289" t="str">
        <f>Timing!AZ7</f>
        <v>Ops</v>
      </c>
      <c r="BA7" s="289" t="str">
        <f>Timing!BA7</f>
        <v>Ops</v>
      </c>
      <c r="BB7" s="289" t="str">
        <f>Timing!BB7</f>
        <v>Ops</v>
      </c>
      <c r="BC7" s="289" t="str">
        <f>Timing!BC7</f>
        <v>Ops</v>
      </c>
      <c r="BD7" s="289" t="str">
        <f>Timing!BD7</f>
        <v>Ops</v>
      </c>
      <c r="BE7" s="289" t="str">
        <f>Timing!BE7</f>
        <v>Ops</v>
      </c>
      <c r="BF7" s="289" t="str">
        <f>Timing!BF7</f>
        <v>Ops</v>
      </c>
      <c r="BG7" s="289" t="str">
        <f>Timing!BG7</f>
        <v>Ops</v>
      </c>
      <c r="BH7" s="289" t="str">
        <f>Timing!BH7</f>
        <v>Ops</v>
      </c>
      <c r="BI7" s="289" t="str">
        <f>Timing!BI7</f>
        <v>Ops</v>
      </c>
      <c r="BJ7" s="289" t="str">
        <f>Timing!BJ7</f>
        <v>Ops</v>
      </c>
      <c r="BK7" s="289" t="str">
        <f>Timing!BK7</f>
        <v>Ops</v>
      </c>
      <c r="BL7" s="289" t="str">
        <f>Timing!BL7</f>
        <v>Ops</v>
      </c>
      <c r="BM7" s="289" t="str">
        <f>Timing!BM7</f>
        <v>Ops</v>
      </c>
      <c r="BN7" s="289" t="str">
        <f>Timing!BN7</f>
        <v>Ops</v>
      </c>
      <c r="BO7" s="289" t="str">
        <f>Timing!BO7</f>
        <v>Ops</v>
      </c>
      <c r="BP7" s="289" t="str">
        <f>Timing!BP7</f>
        <v>Ops</v>
      </c>
      <c r="BQ7" s="289" t="str">
        <f>Timing!BQ7</f>
        <v>Ops</v>
      </c>
      <c r="BR7" s="289" t="str">
        <f>Timing!BR7</f>
        <v>Ops</v>
      </c>
      <c r="BS7" s="289" t="str">
        <f>Timing!BS7</f>
        <v>Ops</v>
      </c>
      <c r="BT7" s="289" t="str">
        <f>Timing!BT7</f>
        <v/>
      </c>
      <c r="BU7" s="289" t="str">
        <f>Timing!BU7</f>
        <v/>
      </c>
      <c r="BV7" s="289" t="str">
        <f>Timing!BV7</f>
        <v/>
      </c>
      <c r="BW7" s="289" t="str">
        <f>Timing!BW7</f>
        <v/>
      </c>
      <c r="BX7" s="289" t="str">
        <f>Timing!BX7</f>
        <v/>
      </c>
      <c r="BY7" s="289" t="str">
        <f>Timing!BY7</f>
        <v/>
      </c>
      <c r="BZ7" s="289" t="str">
        <f>Timing!BZ7</f>
        <v/>
      </c>
      <c r="CA7" s="289" t="str">
        <f>Timing!CA7</f>
        <v/>
      </c>
      <c r="CB7" s="289" t="str">
        <f>Timing!CB7</f>
        <v/>
      </c>
      <c r="CC7" s="289" t="str">
        <f>Timing!CC7</f>
        <v/>
      </c>
      <c r="CD7" s="289" t="str">
        <f>Timing!CD7</f>
        <v/>
      </c>
      <c r="CE7" s="289" t="str">
        <f>Timing!CE7</f>
        <v/>
      </c>
      <c r="CF7" s="289" t="str">
        <f>Timing!CF7</f>
        <v/>
      </c>
      <c r="CG7" s="289" t="str">
        <f>Timing!CG7</f>
        <v/>
      </c>
      <c r="CH7" s="289" t="str">
        <f>Timing!CH7</f>
        <v/>
      </c>
      <c r="CI7" s="289" t="str">
        <f>Timing!CI7</f>
        <v/>
      </c>
      <c r="CJ7" s="289" t="str">
        <f>Timing!CJ7</f>
        <v/>
      </c>
      <c r="CK7" s="289" t="str">
        <f>Timing!CK7</f>
        <v/>
      </c>
      <c r="CL7" s="289" t="str">
        <f>Timing!CL7</f>
        <v/>
      </c>
      <c r="CM7" s="289" t="str">
        <f>Timing!CM7</f>
        <v/>
      </c>
      <c r="CN7" s="289" t="str">
        <f>Timing!CN7</f>
        <v/>
      </c>
      <c r="CO7" s="289" t="str">
        <f>Timing!CO7</f>
        <v/>
      </c>
      <c r="CP7" s="289" t="str">
        <f>Timing!CP7</f>
        <v/>
      </c>
      <c r="CQ7" s="289" t="str">
        <f>Timing!CQ7</f>
        <v/>
      </c>
      <c r="CR7" s="289" t="str">
        <f>Timing!CR7</f>
        <v/>
      </c>
      <c r="CS7" s="289" t="str">
        <f>Timing!CS7</f>
        <v/>
      </c>
      <c r="CT7" s="289" t="str">
        <f>Timing!CT7</f>
        <v/>
      </c>
      <c r="CU7" s="289" t="str">
        <f>Timing!CU7</f>
        <v/>
      </c>
      <c r="CV7" s="289" t="str">
        <f>Timing!CV7</f>
        <v/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  <c r="DE7" s="289" t="e">
        <f>#REF!</f>
        <v>#REF!</v>
      </c>
      <c r="DF7" s="289" t="e">
        <f>#REF!</f>
        <v>#REF!</v>
      </c>
    </row>
    <row r="8" spans="1:243" s="282" customFormat="1" ht="12.75" customHeight="1" x14ac:dyDescent="0.2">
      <c r="J8" s="284"/>
      <c r="P8" s="282" t="s">
        <v>7</v>
      </c>
      <c r="R8" s="289" t="str">
        <f>Timing!R8</f>
        <v/>
      </c>
      <c r="S8" s="289" t="str">
        <f>Timing!S8</f>
        <v/>
      </c>
      <c r="T8" s="289" t="str">
        <f>Timing!T8</f>
        <v/>
      </c>
      <c r="U8" s="289" t="str">
        <f>Timing!U8</f>
        <v/>
      </c>
      <c r="V8" s="289" t="str">
        <f>Timing!V8</f>
        <v/>
      </c>
      <c r="W8" s="289" t="str">
        <f>Timing!W8</f>
        <v>Hold</v>
      </c>
      <c r="X8" s="289" t="str">
        <f>Timing!X8</f>
        <v>Hold</v>
      </c>
      <c r="Y8" s="289" t="str">
        <f>Timing!Y8</f>
        <v>Hold</v>
      </c>
      <c r="Z8" s="289" t="str">
        <f>Timing!Z8</f>
        <v>Hold</v>
      </c>
      <c r="AA8" s="289" t="str">
        <f>Timing!AA8</f>
        <v>Hold</v>
      </c>
      <c r="AB8" s="289" t="str">
        <f>Timing!AB8</f>
        <v>Hold</v>
      </c>
      <c r="AC8" s="289" t="str">
        <f>Timing!AC8</f>
        <v>Hold</v>
      </c>
      <c r="AD8" s="289" t="str">
        <f>Timing!AD8</f>
        <v>Hold</v>
      </c>
      <c r="AE8" s="289" t="str">
        <f>Timing!AE8</f>
        <v>Hold</v>
      </c>
      <c r="AF8" s="289" t="str">
        <f>Timing!AF8</f>
        <v>Hold</v>
      </c>
      <c r="AG8" s="289" t="str">
        <f>Timing!AG8</f>
        <v>Hold</v>
      </c>
      <c r="AH8" s="289" t="str">
        <f>Timing!AH8</f>
        <v/>
      </c>
      <c r="AI8" s="289" t="str">
        <f>Timing!AI8</f>
        <v/>
      </c>
      <c r="AJ8" s="289" t="str">
        <f>Timing!AJ8</f>
        <v/>
      </c>
      <c r="AK8" s="289" t="str">
        <f>Timing!AK8</f>
        <v/>
      </c>
      <c r="AL8" s="289" t="str">
        <f>Timing!AL8</f>
        <v/>
      </c>
      <c r="AM8" s="289" t="str">
        <f>Timing!AM8</f>
        <v/>
      </c>
      <c r="AN8" s="289" t="str">
        <f>Timing!AN8</f>
        <v/>
      </c>
      <c r="AO8" s="289" t="str">
        <f>Timing!AO8</f>
        <v/>
      </c>
      <c r="AP8" s="289" t="str">
        <f>Timing!AP8</f>
        <v/>
      </c>
      <c r="AQ8" s="289" t="str">
        <f>Timing!AQ8</f>
        <v/>
      </c>
      <c r="AR8" s="289" t="str">
        <f>Timing!AR8</f>
        <v/>
      </c>
      <c r="AS8" s="289" t="str">
        <f>Timing!AS8</f>
        <v/>
      </c>
      <c r="AT8" s="289" t="str">
        <f>Timing!AT8</f>
        <v/>
      </c>
      <c r="AU8" s="289" t="str">
        <f>Timing!AU8</f>
        <v/>
      </c>
      <c r="AV8" s="289" t="str">
        <f>Timing!AV8</f>
        <v/>
      </c>
      <c r="AW8" s="289" t="str">
        <f>Timing!AW8</f>
        <v/>
      </c>
      <c r="AX8" s="289" t="str">
        <f>Timing!AX8</f>
        <v/>
      </c>
      <c r="AY8" s="289" t="str">
        <f>Timing!AY8</f>
        <v/>
      </c>
      <c r="AZ8" s="289" t="str">
        <f>Timing!AZ8</f>
        <v/>
      </c>
      <c r="BA8" s="289" t="str">
        <f>Timing!BA8</f>
        <v/>
      </c>
      <c r="BB8" s="289" t="str">
        <f>Timing!BB8</f>
        <v/>
      </c>
      <c r="BC8" s="289" t="str">
        <f>Timing!BC8</f>
        <v/>
      </c>
      <c r="BD8" s="289" t="str">
        <f>Timing!BD8</f>
        <v/>
      </c>
      <c r="BE8" s="289" t="str">
        <f>Timing!BE8</f>
        <v/>
      </c>
      <c r="BF8" s="289" t="str">
        <f>Timing!BF8</f>
        <v/>
      </c>
      <c r="BG8" s="289" t="str">
        <f>Timing!BG8</f>
        <v/>
      </c>
      <c r="BH8" s="289" t="str">
        <f>Timing!BH8</f>
        <v/>
      </c>
      <c r="BI8" s="289" t="str">
        <f>Timing!BI8</f>
        <v/>
      </c>
      <c r="BJ8" s="289" t="str">
        <f>Timing!BJ8</f>
        <v/>
      </c>
      <c r="BK8" s="289" t="str">
        <f>Timing!BK8</f>
        <v/>
      </c>
      <c r="BL8" s="289" t="str">
        <f>Timing!BL8</f>
        <v/>
      </c>
      <c r="BM8" s="289" t="str">
        <f>Timing!BM8</f>
        <v/>
      </c>
      <c r="BN8" s="289" t="str">
        <f>Timing!BN8</f>
        <v/>
      </c>
      <c r="BO8" s="289" t="str">
        <f>Timing!BO8</f>
        <v/>
      </c>
      <c r="BP8" s="289" t="str">
        <f>Timing!BP8</f>
        <v/>
      </c>
      <c r="BQ8" s="289" t="str">
        <f>Timing!BQ8</f>
        <v/>
      </c>
      <c r="BR8" s="289" t="str">
        <f>Timing!BR8</f>
        <v/>
      </c>
      <c r="BS8" s="289" t="str">
        <f>Timing!BS8</f>
        <v/>
      </c>
      <c r="BT8" s="289" t="str">
        <f>Timing!BT8</f>
        <v/>
      </c>
      <c r="BU8" s="289" t="str">
        <f>Timing!BU8</f>
        <v/>
      </c>
      <c r="BV8" s="289" t="str">
        <f>Timing!BV8</f>
        <v/>
      </c>
      <c r="BW8" s="289" t="str">
        <f>Timing!BW8</f>
        <v/>
      </c>
      <c r="BX8" s="289" t="str">
        <f>Timing!BX8</f>
        <v/>
      </c>
      <c r="BY8" s="289" t="str">
        <f>Timing!BY8</f>
        <v/>
      </c>
      <c r="BZ8" s="289" t="str">
        <f>Timing!BZ8</f>
        <v/>
      </c>
      <c r="CA8" s="289" t="str">
        <f>Timing!CA8</f>
        <v/>
      </c>
      <c r="CB8" s="289" t="str">
        <f>Timing!CB8</f>
        <v/>
      </c>
      <c r="CC8" s="289" t="str">
        <f>Timing!CC8</f>
        <v/>
      </c>
      <c r="CD8" s="289" t="str">
        <f>Timing!CD8</f>
        <v/>
      </c>
      <c r="CE8" s="289" t="str">
        <f>Timing!CE8</f>
        <v/>
      </c>
      <c r="CF8" s="289" t="str">
        <f>Timing!CF8</f>
        <v/>
      </c>
      <c r="CG8" s="289" t="str">
        <f>Timing!CG8</f>
        <v/>
      </c>
      <c r="CH8" s="289" t="str">
        <f>Timing!CH8</f>
        <v/>
      </c>
      <c r="CI8" s="289" t="str">
        <f>Timing!CI8</f>
        <v/>
      </c>
      <c r="CJ8" s="289" t="str">
        <f>Timing!CJ8</f>
        <v/>
      </c>
      <c r="CK8" s="289" t="str">
        <f>Timing!CK8</f>
        <v/>
      </c>
      <c r="CL8" s="289" t="str">
        <f>Timing!CL8</f>
        <v/>
      </c>
      <c r="CM8" s="289" t="str">
        <f>Timing!CM8</f>
        <v/>
      </c>
      <c r="CN8" s="289" t="str">
        <f>Timing!CN8</f>
        <v/>
      </c>
      <c r="CO8" s="289" t="str">
        <f>Timing!CO8</f>
        <v/>
      </c>
      <c r="CP8" s="289" t="str">
        <f>Timing!CP8</f>
        <v/>
      </c>
      <c r="CQ8" s="289" t="str">
        <f>Timing!CQ8</f>
        <v/>
      </c>
      <c r="CR8" s="289" t="str">
        <f>Timing!CR8</f>
        <v/>
      </c>
      <c r="CS8" s="289" t="str">
        <f>Timing!CS8</f>
        <v/>
      </c>
      <c r="CT8" s="289" t="str">
        <f>Timing!CT8</f>
        <v/>
      </c>
      <c r="CU8" s="289" t="str">
        <f>Timing!CU8</f>
        <v/>
      </c>
      <c r="CV8" s="289" t="str">
        <f>Timing!CV8</f>
        <v/>
      </c>
      <c r="CW8" s="289" t="e">
        <f>#REF!</f>
        <v>#REF!</v>
      </c>
      <c r="CX8" s="289" t="e">
        <f>#REF!</f>
        <v>#REF!</v>
      </c>
      <c r="CY8" s="289" t="e">
        <f>#REF!</f>
        <v>#REF!</v>
      </c>
      <c r="CZ8" s="289" t="e">
        <f>#REF!</f>
        <v>#REF!</v>
      </c>
      <c r="DA8" s="289" t="e">
        <f>#REF!</f>
        <v>#REF!</v>
      </c>
      <c r="DB8" s="289" t="e">
        <f>#REF!</f>
        <v>#REF!</v>
      </c>
      <c r="DC8" s="289" t="e">
        <f>#REF!</f>
        <v>#REF!</v>
      </c>
      <c r="DD8" s="289" t="e">
        <f>#REF!</f>
        <v>#REF!</v>
      </c>
      <c r="DE8" s="289" t="e">
        <f>#REF!</f>
        <v>#REF!</v>
      </c>
      <c r="DF8" s="289" t="e">
        <f>#REF!</f>
        <v>#REF!</v>
      </c>
    </row>
    <row r="9" spans="1:243" s="282" customFormat="1" ht="12.75" customHeight="1" x14ac:dyDescent="0.2">
      <c r="J9" s="284"/>
    </row>
    <row r="10" spans="1:243" s="5" customFormat="1" ht="12.75" customHeight="1" x14ac:dyDescent="0.2">
      <c r="A10" s="5" t="s">
        <v>55</v>
      </c>
      <c r="C10" s="6"/>
      <c r="J10" s="137"/>
      <c r="K10" s="8"/>
    </row>
    <row r="11" spans="1:243" ht="12.75" customHeight="1" x14ac:dyDescent="0.25">
      <c r="J11" s="54"/>
    </row>
    <row r="12" spans="1:243" ht="12.75" customHeight="1" x14ac:dyDescent="0.25">
      <c r="B12" s="21" t="s">
        <v>151</v>
      </c>
      <c r="K12" s="91"/>
      <c r="L12" s="54"/>
    </row>
    <row r="13" spans="1:243" ht="12.75" customHeight="1" x14ac:dyDescent="0.25">
      <c r="J13" s="54"/>
      <c r="K13" s="91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49"/>
      <c r="BE13" s="149"/>
      <c r="BF13" s="149"/>
      <c r="BG13" s="149"/>
      <c r="BH13" s="149"/>
      <c r="BI13" s="149"/>
      <c r="BJ13" s="149"/>
      <c r="BK13" s="149"/>
      <c r="BL13" s="149"/>
      <c r="BM13" s="149"/>
      <c r="BN13" s="149"/>
      <c r="BO13" s="149"/>
      <c r="BP13" s="149"/>
      <c r="BQ13" s="149"/>
      <c r="BR13" s="149"/>
      <c r="BS13" s="149"/>
      <c r="BT13" s="149"/>
      <c r="BU13" s="149"/>
      <c r="BV13" s="149"/>
      <c r="BW13" s="149"/>
      <c r="BX13" s="149"/>
      <c r="BY13" s="149"/>
      <c r="BZ13" s="149"/>
      <c r="CA13" s="149"/>
      <c r="CB13" s="149"/>
      <c r="CC13" s="149"/>
      <c r="CD13" s="149"/>
      <c r="CE13" s="149"/>
      <c r="CF13" s="149"/>
      <c r="CG13" s="149"/>
      <c r="CH13" s="149"/>
      <c r="CI13" s="149"/>
      <c r="CJ13" s="149"/>
      <c r="CK13" s="149"/>
      <c r="CL13" s="149"/>
      <c r="CM13" s="149"/>
      <c r="CN13" s="149"/>
      <c r="CO13" s="149"/>
      <c r="CP13" s="149"/>
      <c r="CQ13" s="149"/>
      <c r="CR13" s="149"/>
      <c r="CS13" s="149"/>
      <c r="CT13" s="149"/>
      <c r="CU13" s="149"/>
      <c r="CV13" s="149"/>
      <c r="CW13" s="149"/>
      <c r="CX13" s="149"/>
      <c r="CY13" s="149"/>
      <c r="CZ13" s="149"/>
      <c r="DA13" s="149"/>
      <c r="DB13" s="149"/>
      <c r="DC13" s="149"/>
      <c r="DD13" s="149"/>
      <c r="DE13" s="149"/>
      <c r="DF13" s="149"/>
      <c r="DG13" s="149"/>
      <c r="DH13" s="149"/>
      <c r="DI13" s="149"/>
      <c r="DJ13" s="149"/>
      <c r="DK13" s="149"/>
      <c r="DL13" s="149"/>
      <c r="DM13" s="149"/>
      <c r="DN13" s="149"/>
      <c r="DO13" s="149"/>
      <c r="DP13" s="149"/>
      <c r="DQ13" s="149"/>
      <c r="DR13" s="149"/>
      <c r="DS13" s="149"/>
      <c r="DT13" s="149"/>
      <c r="DU13" s="149"/>
      <c r="DV13" s="149"/>
      <c r="DW13" s="149"/>
      <c r="DX13" s="149"/>
      <c r="DY13" s="149"/>
      <c r="DZ13" s="149"/>
      <c r="EA13" s="149"/>
      <c r="EB13" s="149"/>
      <c r="EC13" s="149"/>
      <c r="ED13" s="149"/>
      <c r="EE13" s="149"/>
      <c r="EF13" s="149"/>
      <c r="EG13" s="149"/>
      <c r="EH13" s="149"/>
      <c r="EI13" s="149"/>
      <c r="EJ13" s="149"/>
      <c r="EK13" s="149"/>
      <c r="EL13" s="149"/>
      <c r="EM13" s="149"/>
      <c r="EN13" s="149"/>
      <c r="EO13" s="149"/>
      <c r="EP13" s="149"/>
      <c r="EQ13" s="149"/>
      <c r="ER13" s="149"/>
    </row>
    <row r="14" spans="1:243" ht="12.75" customHeight="1" x14ac:dyDescent="0.25">
      <c r="C14" t="s">
        <v>152</v>
      </c>
      <c r="J14" s="54" t="s">
        <v>6</v>
      </c>
      <c r="R14" s="150">
        <v>0.01</v>
      </c>
      <c r="S14" s="150">
        <v>0.01</v>
      </c>
      <c r="T14" s="150">
        <v>0.01</v>
      </c>
      <c r="U14" s="150">
        <v>0.01</v>
      </c>
      <c r="V14" s="150">
        <v>0.01</v>
      </c>
      <c r="W14" s="150">
        <v>0.01</v>
      </c>
      <c r="X14" s="150">
        <v>0.01</v>
      </c>
      <c r="Y14" s="150">
        <v>0.01</v>
      </c>
      <c r="Z14" s="150">
        <v>0.01</v>
      </c>
      <c r="AA14" s="150">
        <v>0.01</v>
      </c>
      <c r="AB14" s="150">
        <v>0.01</v>
      </c>
      <c r="AC14" s="150">
        <v>0.01</v>
      </c>
      <c r="AD14" s="150">
        <v>0.01</v>
      </c>
      <c r="AE14" s="150">
        <v>0.01</v>
      </c>
      <c r="AF14" s="150">
        <v>0.01</v>
      </c>
      <c r="AG14" s="150">
        <v>0.01</v>
      </c>
      <c r="AH14" s="150">
        <v>0.01</v>
      </c>
      <c r="AI14" s="150">
        <v>0.01</v>
      </c>
      <c r="AJ14" s="150">
        <v>0.01</v>
      </c>
      <c r="AK14" s="150">
        <v>0.01</v>
      </c>
      <c r="AL14" s="150">
        <v>0.01</v>
      </c>
      <c r="AM14" s="150">
        <v>0.01</v>
      </c>
      <c r="AN14" s="150">
        <v>0.01</v>
      </c>
      <c r="AO14" s="150">
        <v>0.01</v>
      </c>
      <c r="AP14" s="150">
        <v>0.01</v>
      </c>
      <c r="AQ14" s="150">
        <v>0.01</v>
      </c>
      <c r="AR14" s="150">
        <v>0.01</v>
      </c>
      <c r="AS14" s="150">
        <v>0.01</v>
      </c>
      <c r="AT14" s="150">
        <v>0.01</v>
      </c>
      <c r="AU14" s="150">
        <v>0.01</v>
      </c>
      <c r="AV14" s="150">
        <v>0.01</v>
      </c>
      <c r="AW14" s="150">
        <v>0.01</v>
      </c>
      <c r="AX14" s="150">
        <v>0.01</v>
      </c>
      <c r="AY14" s="150">
        <v>0.01</v>
      </c>
      <c r="AZ14" s="150">
        <v>0.01</v>
      </c>
      <c r="BA14" s="150">
        <v>0.01</v>
      </c>
      <c r="BB14" s="150">
        <v>0.01</v>
      </c>
      <c r="BC14" s="150">
        <v>0.01</v>
      </c>
      <c r="BD14" s="150">
        <v>0.01</v>
      </c>
      <c r="BE14" s="150">
        <v>0.01</v>
      </c>
      <c r="BF14" s="150">
        <v>0.01</v>
      </c>
      <c r="BG14" s="150">
        <v>0.01</v>
      </c>
      <c r="BH14" s="150">
        <v>0.01</v>
      </c>
      <c r="BI14" s="150">
        <v>0.01</v>
      </c>
      <c r="BJ14" s="150">
        <v>0.01</v>
      </c>
      <c r="BK14" s="150">
        <v>0.01</v>
      </c>
      <c r="BL14" s="150">
        <v>0.01</v>
      </c>
      <c r="BM14" s="150">
        <v>0.01</v>
      </c>
      <c r="BN14" s="150">
        <v>0.01</v>
      </c>
      <c r="BO14" s="150">
        <v>0.01</v>
      </c>
      <c r="BP14" s="150">
        <v>0.01</v>
      </c>
      <c r="BQ14" s="150">
        <v>0.01</v>
      </c>
      <c r="BR14" s="150">
        <v>0.01</v>
      </c>
      <c r="BS14" s="150">
        <v>0.01</v>
      </c>
      <c r="BT14" s="150">
        <v>0.01</v>
      </c>
      <c r="BU14" s="150">
        <v>0.01</v>
      </c>
      <c r="BV14" s="150">
        <v>0.01</v>
      </c>
      <c r="BW14" s="150">
        <v>0.01</v>
      </c>
      <c r="BX14" s="150">
        <v>0.01</v>
      </c>
      <c r="BY14" s="150">
        <v>0.01</v>
      </c>
      <c r="BZ14" s="150">
        <v>0.01</v>
      </c>
      <c r="CA14" s="150">
        <v>0.01</v>
      </c>
      <c r="CB14" s="150">
        <v>0.01</v>
      </c>
      <c r="CC14" s="150">
        <v>0.01</v>
      </c>
      <c r="CD14" s="150">
        <v>0.01</v>
      </c>
      <c r="CE14" s="150">
        <v>0.01</v>
      </c>
      <c r="CF14" s="150">
        <v>0.01</v>
      </c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  <c r="DR14" s="151"/>
      <c r="DS14" s="151"/>
      <c r="DT14" s="151"/>
      <c r="DU14" s="151"/>
      <c r="DV14" s="151"/>
      <c r="DW14" s="151"/>
      <c r="DX14" s="151"/>
      <c r="DY14" s="151"/>
      <c r="DZ14" s="151"/>
      <c r="EA14" s="151"/>
      <c r="EB14" s="151"/>
      <c r="EC14" s="151"/>
      <c r="ED14" s="151"/>
      <c r="EE14" s="151"/>
      <c r="EF14" s="151"/>
      <c r="EG14" s="151"/>
      <c r="EH14" s="151"/>
      <c r="EI14" s="151"/>
      <c r="EJ14" s="151"/>
      <c r="EK14" s="151"/>
      <c r="EL14" s="151"/>
      <c r="EM14" s="151"/>
      <c r="EN14" s="151"/>
      <c r="EO14" s="151"/>
      <c r="EP14" s="151"/>
      <c r="EQ14" s="151"/>
      <c r="ER14" s="151"/>
      <c r="ES14" s="151"/>
      <c r="ET14" s="151"/>
      <c r="EU14" s="151"/>
      <c r="EV14" s="151"/>
      <c r="EW14" s="151"/>
      <c r="EX14" s="151"/>
      <c r="EY14" s="151"/>
      <c r="EZ14" s="151"/>
      <c r="FA14" s="151"/>
      <c r="FB14" s="151"/>
      <c r="FC14" s="151"/>
      <c r="FD14" s="151"/>
      <c r="FE14" s="151"/>
      <c r="FF14" s="151"/>
      <c r="FG14" s="151"/>
      <c r="FH14" s="151"/>
      <c r="FI14" s="151"/>
      <c r="FJ14" s="151"/>
      <c r="FK14" s="151"/>
      <c r="FL14" s="151"/>
      <c r="FM14" s="151"/>
      <c r="FN14" s="151"/>
      <c r="FO14" s="151"/>
      <c r="FP14" s="151"/>
      <c r="FQ14" s="151"/>
      <c r="FR14" s="151"/>
      <c r="FS14" s="151"/>
      <c r="FT14" s="151"/>
      <c r="FU14" s="151"/>
      <c r="FV14" s="151"/>
      <c r="FW14" s="151"/>
      <c r="FX14" s="151"/>
      <c r="FY14" s="151"/>
      <c r="FZ14" s="151"/>
      <c r="GA14" s="151"/>
      <c r="GB14" s="151"/>
      <c r="GC14" s="151"/>
      <c r="GD14" s="151"/>
      <c r="GE14" s="151"/>
      <c r="GF14" s="151"/>
      <c r="GG14" s="151"/>
      <c r="GH14" s="151"/>
      <c r="GI14" s="151"/>
      <c r="GJ14" s="151"/>
      <c r="GK14" s="151"/>
      <c r="GL14" s="151"/>
      <c r="GM14" s="151"/>
      <c r="GN14" s="151"/>
      <c r="GO14" s="151"/>
      <c r="GP14" s="151"/>
      <c r="GQ14" s="151"/>
      <c r="GR14" s="151"/>
      <c r="GS14" s="151"/>
      <c r="GT14" s="151"/>
      <c r="GU14" s="151"/>
      <c r="GV14" s="151"/>
      <c r="GW14" s="151"/>
      <c r="GX14" s="151"/>
      <c r="GY14" s="151"/>
      <c r="GZ14" s="151"/>
      <c r="HA14" s="151"/>
      <c r="HB14" s="151"/>
      <c r="HC14" s="151"/>
      <c r="HD14" s="151"/>
      <c r="HE14" s="151"/>
      <c r="HF14" s="151"/>
      <c r="HG14" s="151"/>
      <c r="HH14" s="151"/>
      <c r="HI14" s="151"/>
      <c r="HJ14" s="151"/>
      <c r="HK14" s="151"/>
      <c r="HL14" s="151"/>
      <c r="HM14" s="151"/>
      <c r="HN14" s="151"/>
      <c r="HO14" s="151"/>
      <c r="HP14" s="151"/>
      <c r="HQ14" s="151"/>
      <c r="HR14" s="151"/>
      <c r="HS14" s="151"/>
      <c r="HT14" s="151"/>
      <c r="HU14" s="151"/>
      <c r="HV14" s="151"/>
      <c r="HW14" s="151"/>
      <c r="HX14" s="151"/>
      <c r="HY14" s="151"/>
      <c r="HZ14" s="151"/>
      <c r="IA14" s="151"/>
      <c r="IB14" s="151"/>
      <c r="IC14" s="151"/>
      <c r="ID14" s="151"/>
      <c r="IE14" s="151"/>
      <c r="IF14" s="151"/>
      <c r="IG14" s="151"/>
      <c r="IH14" s="151"/>
      <c r="II14" s="151"/>
    </row>
    <row r="15" spans="1:243" ht="12.75" customHeight="1" x14ac:dyDescent="0.25">
      <c r="J15" s="54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</row>
    <row r="16" spans="1:243" ht="12.75" customHeight="1" x14ac:dyDescent="0.25">
      <c r="B16" s="21" t="s">
        <v>153</v>
      </c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</row>
    <row r="17" spans="1:243" ht="12.75" customHeight="1" x14ac:dyDescent="0.25"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9"/>
      <c r="CF17" s="149"/>
      <c r="CJ17" s="149"/>
      <c r="CK17" s="149"/>
      <c r="CL17" s="149"/>
      <c r="CM17" s="149"/>
      <c r="CN17" s="149"/>
      <c r="CO17" s="149"/>
      <c r="CP17" s="149"/>
      <c r="CQ17" s="149"/>
      <c r="CR17" s="149"/>
      <c r="CS17" s="149"/>
      <c r="CT17" s="149"/>
      <c r="CU17" s="149"/>
      <c r="CV17" s="149"/>
      <c r="CW17" s="149"/>
      <c r="CX17" s="149"/>
      <c r="CY17" s="149"/>
      <c r="CZ17" s="149"/>
      <c r="DA17" s="149"/>
      <c r="DB17" s="149"/>
      <c r="DC17" s="149"/>
      <c r="DD17" s="149"/>
      <c r="DE17" s="149"/>
      <c r="DF17" s="149"/>
      <c r="DG17" s="149"/>
      <c r="DH17" s="149"/>
      <c r="DI17" s="149"/>
      <c r="DJ17" s="149"/>
      <c r="DK17" s="149"/>
      <c r="DL17" s="149"/>
      <c r="DM17" s="149"/>
      <c r="DN17" s="149"/>
      <c r="DO17" s="149"/>
      <c r="DP17" s="149"/>
      <c r="DQ17" s="149"/>
      <c r="DR17" s="149"/>
      <c r="DS17" s="149"/>
      <c r="DT17" s="149"/>
      <c r="DU17" s="149"/>
      <c r="DV17" s="149"/>
      <c r="DW17" s="149"/>
      <c r="DX17" s="149"/>
      <c r="DY17" s="149"/>
      <c r="DZ17" s="149"/>
      <c r="EA17" s="149"/>
      <c r="EB17" s="149"/>
      <c r="EC17" s="149"/>
      <c r="ED17" s="149"/>
      <c r="EE17" s="149"/>
      <c r="EF17" s="149"/>
      <c r="EG17" s="149"/>
      <c r="EH17" s="149"/>
      <c r="EI17" s="149"/>
      <c r="EJ17" s="149"/>
      <c r="EK17" s="149"/>
      <c r="EL17" s="149"/>
      <c r="EM17" s="149"/>
      <c r="EN17" s="149"/>
      <c r="EO17" s="149"/>
      <c r="EP17" s="149"/>
      <c r="EQ17" s="149"/>
      <c r="ER17" s="149"/>
    </row>
    <row r="18" spans="1:243" ht="12.75" customHeight="1" x14ac:dyDescent="0.25">
      <c r="C18" t="s">
        <v>141</v>
      </c>
      <c r="J18" s="54" t="s">
        <v>6</v>
      </c>
      <c r="R18" s="150">
        <v>0.01</v>
      </c>
      <c r="S18" s="150">
        <v>0.01</v>
      </c>
      <c r="T18" s="150">
        <v>0.01</v>
      </c>
      <c r="U18" s="150">
        <v>0.01</v>
      </c>
      <c r="V18" s="150">
        <v>0.01</v>
      </c>
      <c r="W18" s="150">
        <v>0.01</v>
      </c>
      <c r="X18" s="150">
        <v>0.01</v>
      </c>
      <c r="Y18" s="150">
        <v>0.01</v>
      </c>
      <c r="Z18" s="150">
        <v>0.01</v>
      </c>
      <c r="AA18" s="150">
        <v>0.01</v>
      </c>
      <c r="AB18" s="150">
        <v>0.01</v>
      </c>
      <c r="AC18" s="150">
        <v>0.01</v>
      </c>
      <c r="AD18" s="150">
        <v>0.01</v>
      </c>
      <c r="AE18" s="150">
        <v>0.01</v>
      </c>
      <c r="AF18" s="150">
        <v>0.01</v>
      </c>
      <c r="AG18" s="150">
        <v>0.01</v>
      </c>
      <c r="AH18" s="150">
        <v>0.01</v>
      </c>
      <c r="AI18" s="150">
        <v>0.01</v>
      </c>
      <c r="AJ18" s="150">
        <v>0.01</v>
      </c>
      <c r="AK18" s="150">
        <v>0.01</v>
      </c>
      <c r="AL18" s="150">
        <v>0.01</v>
      </c>
      <c r="AM18" s="150">
        <v>0.01</v>
      </c>
      <c r="AN18" s="150">
        <v>0.01</v>
      </c>
      <c r="AO18" s="150">
        <v>0.01</v>
      </c>
      <c r="AP18" s="150">
        <v>0.01</v>
      </c>
      <c r="AQ18" s="150">
        <v>0.01</v>
      </c>
      <c r="AR18" s="150">
        <v>0.01</v>
      </c>
      <c r="AS18" s="150">
        <v>0.01</v>
      </c>
      <c r="AT18" s="150">
        <v>0.01</v>
      </c>
      <c r="AU18" s="150">
        <v>0.01</v>
      </c>
      <c r="AV18" s="150">
        <v>0.01</v>
      </c>
      <c r="AW18" s="150">
        <v>0.01</v>
      </c>
      <c r="AX18" s="150">
        <v>0.01</v>
      </c>
      <c r="AY18" s="150">
        <v>0.01</v>
      </c>
      <c r="AZ18" s="150">
        <v>0.01</v>
      </c>
      <c r="BA18" s="150">
        <v>0.01</v>
      </c>
      <c r="BB18" s="150">
        <v>0.01</v>
      </c>
      <c r="BC18" s="150">
        <v>0.01</v>
      </c>
      <c r="BD18" s="150">
        <v>0.01</v>
      </c>
      <c r="BE18" s="150">
        <v>0.01</v>
      </c>
      <c r="BF18" s="150">
        <v>0.01</v>
      </c>
      <c r="BG18" s="150">
        <v>0.01</v>
      </c>
      <c r="BH18" s="150">
        <v>0.01</v>
      </c>
      <c r="BI18" s="150">
        <v>0.01</v>
      </c>
      <c r="BJ18" s="150">
        <v>0.01</v>
      </c>
      <c r="BK18" s="150">
        <v>0.01</v>
      </c>
      <c r="BL18" s="150">
        <v>0.01</v>
      </c>
      <c r="BM18" s="150">
        <v>0.01</v>
      </c>
      <c r="BN18" s="150">
        <v>0.01</v>
      </c>
      <c r="BO18" s="150">
        <v>0.01</v>
      </c>
      <c r="BP18" s="150">
        <v>0.01</v>
      </c>
      <c r="BQ18" s="150">
        <v>0.01</v>
      </c>
      <c r="BR18" s="150">
        <v>0.01</v>
      </c>
      <c r="BS18" s="150">
        <v>0.01</v>
      </c>
      <c r="BT18" s="150">
        <v>0.01</v>
      </c>
      <c r="BU18" s="150">
        <v>0.01</v>
      </c>
      <c r="BV18" s="150">
        <v>0.01</v>
      </c>
      <c r="BW18" s="150">
        <v>0.01</v>
      </c>
      <c r="BX18" s="150">
        <v>0.01</v>
      </c>
      <c r="BY18" s="150">
        <v>0.01</v>
      </c>
      <c r="BZ18" s="150">
        <v>0.01</v>
      </c>
      <c r="CA18" s="150">
        <v>0.01</v>
      </c>
      <c r="CB18" s="150">
        <v>0.01</v>
      </c>
      <c r="CC18" s="150">
        <v>0.01</v>
      </c>
      <c r="CD18" s="150">
        <v>0.01</v>
      </c>
      <c r="CE18" s="150">
        <v>0.01</v>
      </c>
      <c r="CF18" s="150">
        <v>0.01</v>
      </c>
      <c r="CJ18" s="152"/>
      <c r="CK18" s="152"/>
      <c r="CL18" s="152"/>
      <c r="CM18" s="152"/>
      <c r="CN18" s="152"/>
      <c r="CO18" s="152"/>
      <c r="CP18" s="152"/>
      <c r="CQ18" s="152"/>
      <c r="CR18" s="152"/>
      <c r="CS18" s="152"/>
      <c r="CT18" s="152"/>
      <c r="CU18" s="152"/>
      <c r="CV18" s="152"/>
      <c r="CW18" s="152"/>
      <c r="CX18" s="152"/>
      <c r="CY18" s="152"/>
      <c r="CZ18" s="152"/>
      <c r="DA18" s="152"/>
      <c r="DB18" s="152"/>
      <c r="DC18" s="152"/>
      <c r="DD18" s="152"/>
      <c r="DE18" s="152"/>
      <c r="DF18" s="152"/>
      <c r="DG18" s="152"/>
      <c r="DH18" s="152"/>
      <c r="DI18" s="152"/>
      <c r="DJ18" s="152"/>
      <c r="DK18" s="152"/>
      <c r="DL18" s="152"/>
      <c r="DM18" s="152"/>
      <c r="DN18" s="152"/>
      <c r="DO18" s="152"/>
      <c r="DP18" s="152"/>
      <c r="DQ18" s="152"/>
      <c r="DR18" s="152"/>
      <c r="DS18" s="152"/>
      <c r="DT18" s="152"/>
      <c r="DU18" s="152"/>
      <c r="DV18" s="152"/>
      <c r="DW18" s="152"/>
      <c r="DX18" s="152"/>
      <c r="DY18" s="152"/>
      <c r="DZ18" s="152"/>
      <c r="EA18" s="152"/>
      <c r="EB18" s="152"/>
      <c r="EC18" s="152"/>
      <c r="ED18" s="152"/>
      <c r="EE18" s="152"/>
      <c r="EF18" s="152"/>
      <c r="EG18" s="152"/>
      <c r="EH18" s="152"/>
      <c r="EI18" s="152"/>
      <c r="EJ18" s="152"/>
      <c r="EK18" s="152"/>
      <c r="EL18" s="152"/>
      <c r="EM18" s="152"/>
      <c r="EN18" s="152"/>
      <c r="EO18" s="152"/>
      <c r="EP18" s="152"/>
      <c r="EQ18" s="152"/>
      <c r="ER18" s="152"/>
    </row>
    <row r="19" spans="1:243" ht="12.75" customHeight="1" x14ac:dyDescent="0.25">
      <c r="B19" s="153"/>
      <c r="J19" s="54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</row>
    <row r="20" spans="1:243" s="5" customFormat="1" ht="12.75" customHeight="1" x14ac:dyDescent="0.2">
      <c r="A20" s="5" t="s">
        <v>154</v>
      </c>
      <c r="C20" s="6"/>
    </row>
    <row r="21" spans="1:243" ht="12.75" customHeight="1" x14ac:dyDescent="0.25">
      <c r="B21" s="153"/>
      <c r="J21" s="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</row>
    <row r="22" spans="1:243" ht="12.75" customHeight="1" x14ac:dyDescent="0.25">
      <c r="B22" s="21" t="s">
        <v>155</v>
      </c>
      <c r="J22" s="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</row>
    <row r="23" spans="1:243" ht="12.75" customHeight="1" x14ac:dyDescent="0.25">
      <c r="J23" s="54"/>
      <c r="L23" s="38" t="s">
        <v>24</v>
      </c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</row>
    <row r="24" spans="1:243" ht="12.75" customHeight="1" x14ac:dyDescent="0.25">
      <c r="C24" t="str">
        <f>InputC!C28</f>
        <v>Total Project Costs</v>
      </c>
      <c r="J24" s="54" t="s">
        <v>6</v>
      </c>
      <c r="L24" s="20" t="b">
        <f t="shared" ref="L24:L38" si="1">P24=1</f>
        <v>1</v>
      </c>
      <c r="P24" s="154">
        <f t="shared" ref="P24:P41" si="2">SUM(R24:DI24)</f>
        <v>1</v>
      </c>
      <c r="R24" s="155">
        <v>0.51</v>
      </c>
      <c r="S24" s="155">
        <v>0.28999999999999998</v>
      </c>
      <c r="T24" s="155">
        <v>0.19999999999999996</v>
      </c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55"/>
      <c r="AV24" s="155"/>
      <c r="AW24" s="155"/>
      <c r="AX24" s="155"/>
      <c r="AY24" s="155"/>
      <c r="AZ24" s="155"/>
      <c r="BA24" s="155"/>
      <c r="BB24" s="155"/>
      <c r="BC24" s="155"/>
      <c r="BD24" s="155"/>
      <c r="BE24" s="155"/>
      <c r="BF24" s="155"/>
      <c r="BG24" s="155"/>
      <c r="BH24" s="155"/>
      <c r="BI24" s="155"/>
      <c r="BJ24" s="155"/>
      <c r="BK24" s="155"/>
      <c r="BL24" s="155"/>
      <c r="BM24" s="155"/>
      <c r="BN24" s="155"/>
      <c r="BO24" s="155"/>
      <c r="BP24" s="155"/>
      <c r="BQ24" s="155"/>
      <c r="BR24" s="155"/>
      <c r="BS24" s="155"/>
      <c r="BT24" s="155"/>
      <c r="BU24" s="155"/>
      <c r="BV24" s="155"/>
      <c r="BW24" s="155"/>
      <c r="BX24" s="155"/>
      <c r="BY24" s="155"/>
      <c r="BZ24" s="155"/>
      <c r="CA24" s="155"/>
      <c r="CB24" s="155"/>
      <c r="CC24" s="155"/>
      <c r="CD24" s="155"/>
      <c r="CE24" s="155"/>
      <c r="CF24" s="155"/>
      <c r="CG24" s="155"/>
      <c r="CH24" s="155"/>
      <c r="CI24" s="155"/>
      <c r="CJ24" s="152"/>
      <c r="CK24" s="152"/>
      <c r="CL24" s="152"/>
      <c r="CM24" s="152"/>
      <c r="CN24" s="152"/>
      <c r="CO24" s="152"/>
      <c r="CP24" s="152"/>
      <c r="CQ24" s="152"/>
      <c r="CR24" s="152"/>
      <c r="CS24" s="152"/>
      <c r="CT24" s="152"/>
      <c r="CU24" s="152"/>
      <c r="CV24" s="152"/>
      <c r="CW24" s="152"/>
      <c r="CX24" s="152"/>
      <c r="CY24" s="152"/>
      <c r="CZ24" s="152"/>
      <c r="DA24" s="152"/>
      <c r="DB24" s="152"/>
      <c r="DC24" s="152"/>
      <c r="DD24" s="152"/>
      <c r="DE24" s="152"/>
      <c r="DF24" s="152"/>
      <c r="DG24" s="152"/>
      <c r="DH24" s="152"/>
      <c r="DI24" s="152"/>
      <c r="DJ24" s="152"/>
      <c r="DK24" s="152"/>
      <c r="DL24" s="152"/>
      <c r="DM24" s="152"/>
      <c r="DN24" s="152"/>
      <c r="DO24" s="152"/>
      <c r="DP24" s="152"/>
      <c r="DQ24" s="152"/>
      <c r="DR24" s="152"/>
      <c r="DS24" s="152"/>
      <c r="DT24" s="152"/>
      <c r="DU24" s="152"/>
      <c r="DV24" s="152"/>
      <c r="DW24" s="152"/>
      <c r="DX24" s="152"/>
      <c r="DY24" s="152"/>
      <c r="DZ24" s="152"/>
      <c r="EA24" s="152"/>
      <c r="EB24" s="152"/>
      <c r="EC24" s="152"/>
      <c r="ED24" s="152"/>
      <c r="EE24" s="152"/>
      <c r="EF24" s="152"/>
      <c r="EG24" s="152"/>
      <c r="EH24" s="152"/>
      <c r="EI24" s="152"/>
      <c r="EJ24" s="152"/>
      <c r="EK24" s="152"/>
      <c r="EL24" s="152"/>
      <c r="EM24" s="152"/>
      <c r="EN24" s="152"/>
      <c r="EO24" s="152"/>
      <c r="EP24" s="152"/>
      <c r="EQ24" s="152"/>
      <c r="ER24" s="152"/>
      <c r="ES24" s="152"/>
      <c r="ET24" s="152"/>
      <c r="EU24" s="152"/>
      <c r="EV24" s="152"/>
      <c r="EW24" s="152"/>
      <c r="EX24" s="152"/>
      <c r="EY24" s="152"/>
      <c r="EZ24" s="152"/>
      <c r="FA24" s="152"/>
      <c r="FB24" s="152"/>
      <c r="FC24" s="152"/>
      <c r="FD24" s="152"/>
      <c r="FE24" s="152"/>
      <c r="FF24" s="152"/>
      <c r="FG24" s="152"/>
      <c r="FH24" s="152"/>
      <c r="FI24" s="152"/>
      <c r="FJ24" s="152"/>
      <c r="FK24" s="152"/>
      <c r="FL24" s="152"/>
      <c r="FM24" s="152"/>
      <c r="FN24" s="152"/>
      <c r="FO24" s="152"/>
      <c r="FP24" s="152"/>
      <c r="FQ24" s="152"/>
      <c r="FR24" s="152"/>
      <c r="FS24" s="152"/>
      <c r="FT24" s="152"/>
      <c r="FU24" s="152"/>
      <c r="FV24" s="152"/>
      <c r="FW24" s="152"/>
      <c r="FX24" s="152"/>
      <c r="FY24" s="152"/>
      <c r="FZ24" s="152"/>
      <c r="GA24" s="152"/>
      <c r="GB24" s="152"/>
      <c r="GC24" s="152"/>
      <c r="GD24" s="152"/>
      <c r="GE24" s="152"/>
      <c r="GF24" s="152"/>
      <c r="GG24" s="152"/>
      <c r="GH24" s="152"/>
      <c r="GI24" s="152"/>
      <c r="GJ24" s="152"/>
      <c r="GK24" s="152"/>
      <c r="GL24" s="152"/>
      <c r="GM24" s="152"/>
      <c r="GN24" s="152"/>
      <c r="GO24" s="152"/>
      <c r="GP24" s="152"/>
      <c r="GQ24" s="152"/>
      <c r="GR24" s="152"/>
      <c r="GS24" s="152"/>
      <c r="GT24" s="152"/>
      <c r="GU24" s="152"/>
      <c r="GV24" s="152"/>
      <c r="GW24" s="152"/>
      <c r="GX24" s="152"/>
      <c r="GY24" s="152"/>
      <c r="GZ24" s="152"/>
      <c r="HA24" s="152"/>
      <c r="HB24" s="152"/>
      <c r="HC24" s="152"/>
      <c r="HD24" s="152"/>
      <c r="HE24" s="152"/>
      <c r="HF24" s="152"/>
      <c r="HG24" s="152"/>
      <c r="HH24" s="152"/>
      <c r="HI24" s="152"/>
      <c r="HJ24" s="152"/>
      <c r="HK24" s="152"/>
      <c r="HL24" s="152"/>
      <c r="HM24" s="152"/>
      <c r="HN24" s="152"/>
      <c r="HO24" s="152"/>
      <c r="HP24" s="152"/>
      <c r="HQ24" s="152"/>
      <c r="HR24" s="152"/>
      <c r="HS24" s="152"/>
      <c r="HT24" s="152"/>
      <c r="HU24" s="152"/>
      <c r="HV24" s="152"/>
      <c r="HW24" s="152"/>
      <c r="HX24" s="152"/>
      <c r="HY24" s="152"/>
      <c r="HZ24" s="152"/>
      <c r="IA24" s="152"/>
      <c r="IB24" s="152"/>
      <c r="IC24" s="152"/>
      <c r="ID24" s="152"/>
      <c r="IE24" s="152"/>
      <c r="IF24" s="152"/>
      <c r="IG24" s="152"/>
      <c r="IH24" s="152"/>
      <c r="II24" s="152"/>
    </row>
    <row r="25" spans="1:243" ht="12.75" customHeight="1" x14ac:dyDescent="0.25">
      <c r="C25" t="str">
        <f>InputC!C29</f>
        <v>[Spare]</v>
      </c>
      <c r="J25" s="54" t="s">
        <v>6</v>
      </c>
      <c r="L25" s="20" t="b">
        <f t="shared" si="1"/>
        <v>1</v>
      </c>
      <c r="P25" s="154">
        <f t="shared" si="2"/>
        <v>1</v>
      </c>
      <c r="R25" s="155">
        <v>0.54</v>
      </c>
      <c r="S25" s="155">
        <v>0.12</v>
      </c>
      <c r="T25" s="155">
        <v>0.33999999999999997</v>
      </c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BA25" s="155"/>
      <c r="BB25" s="155"/>
      <c r="BC25" s="155"/>
      <c r="BD25" s="155"/>
      <c r="BE25" s="155"/>
      <c r="BF25" s="155"/>
      <c r="BG25" s="155"/>
      <c r="BH25" s="155"/>
      <c r="BI25" s="155"/>
      <c r="BJ25" s="155"/>
      <c r="BK25" s="155"/>
      <c r="BL25" s="155"/>
      <c r="BM25" s="155"/>
      <c r="BN25" s="155"/>
      <c r="BO25" s="155"/>
      <c r="BP25" s="155"/>
      <c r="BQ25" s="155"/>
      <c r="BR25" s="155"/>
      <c r="BS25" s="155"/>
      <c r="BT25" s="155"/>
      <c r="BU25" s="155"/>
      <c r="BV25" s="155"/>
      <c r="BW25" s="155"/>
      <c r="BX25" s="155"/>
      <c r="BY25" s="155"/>
      <c r="BZ25" s="155"/>
      <c r="CA25" s="155"/>
      <c r="CB25" s="155"/>
      <c r="CC25" s="155"/>
      <c r="CD25" s="155"/>
      <c r="CE25" s="155"/>
      <c r="CF25" s="155"/>
      <c r="CG25" s="155"/>
      <c r="CH25" s="155"/>
      <c r="CI25" s="155"/>
      <c r="CJ25" s="152"/>
      <c r="CK25" s="152"/>
      <c r="CL25" s="152"/>
      <c r="CM25" s="152"/>
      <c r="CN25" s="152"/>
      <c r="CO25" s="152"/>
      <c r="CP25" s="152"/>
      <c r="CQ25" s="152"/>
      <c r="CR25" s="152"/>
      <c r="CS25" s="152"/>
      <c r="CT25" s="152"/>
      <c r="CU25" s="152"/>
      <c r="CV25" s="152"/>
      <c r="CW25" s="152"/>
      <c r="CX25" s="152"/>
      <c r="CY25" s="152"/>
      <c r="CZ25" s="152"/>
      <c r="DA25" s="152"/>
      <c r="DB25" s="152"/>
      <c r="DC25" s="152"/>
      <c r="DD25" s="152"/>
      <c r="DE25" s="152"/>
      <c r="DF25" s="152"/>
      <c r="DG25" s="152"/>
      <c r="DH25" s="152"/>
      <c r="DI25" s="152"/>
      <c r="DJ25" s="152"/>
      <c r="DK25" s="152"/>
      <c r="DL25" s="152"/>
      <c r="DM25" s="152"/>
      <c r="DN25" s="152"/>
      <c r="DO25" s="152"/>
      <c r="DP25" s="152"/>
      <c r="DQ25" s="152"/>
      <c r="DR25" s="152"/>
      <c r="DS25" s="152"/>
      <c r="DT25" s="152"/>
      <c r="DU25" s="152"/>
      <c r="DV25" s="152"/>
      <c r="DW25" s="152"/>
      <c r="DX25" s="152"/>
      <c r="DY25" s="152"/>
      <c r="DZ25" s="152"/>
      <c r="EA25" s="152"/>
      <c r="EB25" s="152"/>
      <c r="EC25" s="152"/>
      <c r="ED25" s="152"/>
      <c r="EE25" s="152"/>
      <c r="EF25" s="152"/>
      <c r="EG25" s="152"/>
      <c r="EH25" s="152"/>
      <c r="EI25" s="152"/>
      <c r="EJ25" s="152"/>
      <c r="EK25" s="152"/>
      <c r="EL25" s="152"/>
      <c r="EM25" s="152"/>
      <c r="EN25" s="152"/>
      <c r="EO25" s="152"/>
      <c r="EP25" s="152"/>
      <c r="EQ25" s="152"/>
      <c r="ER25" s="152"/>
      <c r="ES25" s="152"/>
      <c r="ET25" s="152"/>
      <c r="EU25" s="152"/>
      <c r="EV25" s="152"/>
      <c r="EW25" s="152"/>
      <c r="EX25" s="152"/>
      <c r="EY25" s="152"/>
      <c r="EZ25" s="152"/>
      <c r="FA25" s="152"/>
      <c r="FB25" s="152"/>
      <c r="FC25" s="152"/>
      <c r="FD25" s="152"/>
      <c r="FE25" s="152"/>
      <c r="FF25" s="152"/>
      <c r="FG25" s="152"/>
      <c r="FH25" s="152"/>
      <c r="FI25" s="152"/>
      <c r="FJ25" s="152"/>
      <c r="FK25" s="152"/>
      <c r="FL25" s="152"/>
      <c r="FM25" s="152"/>
      <c r="FN25" s="152"/>
      <c r="FO25" s="152"/>
      <c r="FP25" s="152"/>
      <c r="FQ25" s="152"/>
      <c r="FR25" s="152"/>
      <c r="FS25" s="152"/>
      <c r="FT25" s="152"/>
      <c r="FU25" s="152"/>
      <c r="FV25" s="152"/>
      <c r="FW25" s="152"/>
      <c r="FX25" s="152"/>
      <c r="FY25" s="152"/>
      <c r="FZ25" s="152"/>
      <c r="GA25" s="152"/>
      <c r="GB25" s="152"/>
      <c r="GC25" s="152"/>
      <c r="GD25" s="152"/>
      <c r="GE25" s="152"/>
      <c r="GF25" s="152"/>
      <c r="GG25" s="152"/>
      <c r="GH25" s="152"/>
      <c r="GI25" s="152"/>
      <c r="GJ25" s="152"/>
      <c r="GK25" s="152"/>
      <c r="GL25" s="152"/>
      <c r="GM25" s="152"/>
      <c r="GN25" s="152"/>
      <c r="GO25" s="152"/>
      <c r="GP25" s="152"/>
      <c r="GQ25" s="152"/>
      <c r="GR25" s="152"/>
      <c r="GS25" s="152"/>
      <c r="GT25" s="152"/>
      <c r="GU25" s="152"/>
      <c r="GV25" s="152"/>
      <c r="GW25" s="152"/>
      <c r="GX25" s="152"/>
      <c r="GY25" s="152"/>
      <c r="GZ25" s="152"/>
      <c r="HA25" s="152"/>
      <c r="HB25" s="152"/>
      <c r="HC25" s="152"/>
      <c r="HD25" s="152"/>
      <c r="HE25" s="152"/>
      <c r="HF25" s="152"/>
      <c r="HG25" s="152"/>
      <c r="HH25" s="152"/>
      <c r="HI25" s="152"/>
      <c r="HJ25" s="152"/>
      <c r="HK25" s="152"/>
      <c r="HL25" s="152"/>
      <c r="HM25" s="152"/>
      <c r="HN25" s="152"/>
      <c r="HO25" s="152"/>
      <c r="HP25" s="152"/>
      <c r="HQ25" s="152"/>
      <c r="HR25" s="152"/>
      <c r="HS25" s="152"/>
      <c r="HT25" s="152"/>
      <c r="HU25" s="152"/>
      <c r="HV25" s="152"/>
      <c r="HW25" s="152"/>
      <c r="HX25" s="152"/>
      <c r="HY25" s="152"/>
      <c r="HZ25" s="152"/>
      <c r="IA25" s="152"/>
      <c r="IB25" s="152"/>
      <c r="IC25" s="152"/>
      <c r="ID25" s="152"/>
      <c r="IE25" s="152"/>
      <c r="IF25" s="152"/>
      <c r="IG25" s="152"/>
      <c r="IH25" s="152"/>
      <c r="II25" s="152"/>
    </row>
    <row r="26" spans="1:243" ht="12.75" customHeight="1" x14ac:dyDescent="0.25">
      <c r="C26" t="e">
        <f>InputC!#REF!</f>
        <v>#REF!</v>
      </c>
      <c r="J26" s="54" t="s">
        <v>6</v>
      </c>
      <c r="L26" s="20" t="b">
        <f t="shared" si="1"/>
        <v>1</v>
      </c>
      <c r="P26" s="154">
        <f t="shared" si="2"/>
        <v>1</v>
      </c>
      <c r="R26" s="155">
        <v>0.43</v>
      </c>
      <c r="S26" s="155">
        <v>0.24</v>
      </c>
      <c r="T26" s="155">
        <v>0.33000000000000007</v>
      </c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  <c r="AU26" s="155"/>
      <c r="AV26" s="155"/>
      <c r="AW26" s="155"/>
      <c r="AX26" s="155"/>
      <c r="AY26" s="155"/>
      <c r="AZ26" s="155"/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55"/>
      <c r="CI26" s="155"/>
      <c r="CJ26" s="152"/>
      <c r="CK26" s="152"/>
      <c r="CL26" s="152"/>
      <c r="CM26" s="152"/>
      <c r="CN26" s="152"/>
      <c r="CO26" s="152"/>
      <c r="CP26" s="152"/>
      <c r="CQ26" s="152"/>
      <c r="CR26" s="152"/>
      <c r="CS26" s="152"/>
      <c r="CT26" s="152"/>
      <c r="CU26" s="152"/>
      <c r="CV26" s="152"/>
      <c r="CW26" s="152"/>
      <c r="CX26" s="152"/>
      <c r="CY26" s="152"/>
      <c r="CZ26" s="152"/>
      <c r="DA26" s="152"/>
      <c r="DB26" s="152"/>
      <c r="DC26" s="152"/>
      <c r="DD26" s="152"/>
      <c r="DE26" s="152"/>
      <c r="DF26" s="152"/>
      <c r="DG26" s="152"/>
      <c r="DH26" s="152"/>
      <c r="DI26" s="152"/>
      <c r="DJ26" s="152"/>
      <c r="DK26" s="152"/>
      <c r="DL26" s="152"/>
      <c r="DM26" s="152"/>
      <c r="DN26" s="152"/>
      <c r="DO26" s="152"/>
      <c r="DP26" s="152"/>
      <c r="DQ26" s="152"/>
      <c r="DR26" s="152"/>
      <c r="DS26" s="152"/>
      <c r="DT26" s="152"/>
      <c r="DU26" s="152"/>
      <c r="DV26" s="152"/>
      <c r="DW26" s="152"/>
      <c r="DX26" s="152"/>
      <c r="DY26" s="152"/>
      <c r="DZ26" s="152"/>
      <c r="EA26" s="152"/>
      <c r="EB26" s="152"/>
      <c r="EC26" s="152"/>
      <c r="ED26" s="152"/>
      <c r="EE26" s="152"/>
      <c r="EF26" s="152"/>
      <c r="EG26" s="152"/>
      <c r="EH26" s="152"/>
      <c r="EI26" s="152"/>
      <c r="EJ26" s="152"/>
      <c r="EK26" s="152"/>
      <c r="EL26" s="152"/>
      <c r="EM26" s="152"/>
      <c r="EN26" s="152"/>
      <c r="EO26" s="152"/>
      <c r="EP26" s="152"/>
      <c r="EQ26" s="152"/>
      <c r="ER26" s="152"/>
      <c r="ES26" s="152"/>
      <c r="ET26" s="152"/>
      <c r="EU26" s="152"/>
      <c r="EV26" s="152"/>
      <c r="EW26" s="152"/>
      <c r="EX26" s="152"/>
      <c r="EY26" s="152"/>
      <c r="EZ26" s="152"/>
      <c r="FA26" s="152"/>
      <c r="FB26" s="152"/>
      <c r="FC26" s="152"/>
      <c r="FD26" s="152"/>
      <c r="FE26" s="152"/>
      <c r="FF26" s="152"/>
      <c r="FG26" s="152"/>
      <c r="FH26" s="152"/>
      <c r="FI26" s="152"/>
      <c r="FJ26" s="152"/>
      <c r="FK26" s="152"/>
      <c r="FL26" s="152"/>
      <c r="FM26" s="152"/>
      <c r="FN26" s="152"/>
      <c r="FO26" s="152"/>
      <c r="FP26" s="152"/>
      <c r="FQ26" s="152"/>
      <c r="FR26" s="152"/>
      <c r="FS26" s="152"/>
      <c r="FT26" s="152"/>
      <c r="FU26" s="152"/>
      <c r="FV26" s="152"/>
      <c r="FW26" s="152"/>
      <c r="FX26" s="152"/>
      <c r="FY26" s="152"/>
      <c r="FZ26" s="152"/>
      <c r="GA26" s="152"/>
      <c r="GB26" s="152"/>
      <c r="GC26" s="152"/>
      <c r="GD26" s="152"/>
      <c r="GE26" s="152"/>
      <c r="GF26" s="152"/>
      <c r="GG26" s="152"/>
      <c r="GH26" s="152"/>
      <c r="GI26" s="152"/>
      <c r="GJ26" s="152"/>
      <c r="GK26" s="152"/>
      <c r="GL26" s="152"/>
      <c r="GM26" s="152"/>
      <c r="GN26" s="152"/>
      <c r="GO26" s="152"/>
      <c r="GP26" s="152"/>
      <c r="GQ26" s="152"/>
      <c r="GR26" s="152"/>
      <c r="GS26" s="152"/>
      <c r="GT26" s="152"/>
      <c r="GU26" s="152"/>
      <c r="GV26" s="152"/>
      <c r="GW26" s="152"/>
      <c r="GX26" s="152"/>
      <c r="GY26" s="152"/>
      <c r="GZ26" s="152"/>
      <c r="HA26" s="152"/>
      <c r="HB26" s="152"/>
      <c r="HC26" s="152"/>
      <c r="HD26" s="152"/>
      <c r="HE26" s="152"/>
      <c r="HF26" s="152"/>
      <c r="HG26" s="152"/>
      <c r="HH26" s="152"/>
      <c r="HI26" s="152"/>
      <c r="HJ26" s="152"/>
      <c r="HK26" s="152"/>
      <c r="HL26" s="152"/>
      <c r="HM26" s="152"/>
      <c r="HN26" s="152"/>
      <c r="HO26" s="152"/>
      <c r="HP26" s="152"/>
      <c r="HQ26" s="152"/>
      <c r="HR26" s="152"/>
      <c r="HS26" s="152"/>
      <c r="HT26" s="152"/>
      <c r="HU26" s="152"/>
      <c r="HV26" s="152"/>
      <c r="HW26" s="152"/>
      <c r="HX26" s="152"/>
      <c r="HY26" s="152"/>
      <c r="HZ26" s="152"/>
      <c r="IA26" s="152"/>
      <c r="IB26" s="152"/>
      <c r="IC26" s="152"/>
      <c r="ID26" s="152"/>
      <c r="IE26" s="152"/>
      <c r="IF26" s="152"/>
      <c r="IG26" s="152"/>
      <c r="IH26" s="152"/>
      <c r="II26" s="152"/>
    </row>
    <row r="27" spans="1:243" ht="12.75" customHeight="1" x14ac:dyDescent="0.25">
      <c r="C27" t="e">
        <f>InputC!#REF!</f>
        <v>#REF!</v>
      </c>
      <c r="J27" s="54" t="s">
        <v>6</v>
      </c>
      <c r="L27" s="20" t="b">
        <f t="shared" si="1"/>
        <v>1</v>
      </c>
      <c r="P27" s="154">
        <f t="shared" si="2"/>
        <v>1</v>
      </c>
      <c r="R27" s="155">
        <v>0.3</v>
      </c>
      <c r="S27" s="155">
        <v>0.22</v>
      </c>
      <c r="T27" s="155">
        <v>0.48</v>
      </c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  <c r="AU27" s="155"/>
      <c r="AV27" s="155"/>
      <c r="AW27" s="155"/>
      <c r="AX27" s="155"/>
      <c r="AY27" s="155"/>
      <c r="AZ27" s="155"/>
      <c r="BA27" s="155"/>
      <c r="BB27" s="155"/>
      <c r="BC27" s="155"/>
      <c r="BD27" s="155"/>
      <c r="BE27" s="155"/>
      <c r="BF27" s="155"/>
      <c r="BG27" s="155"/>
      <c r="BH27" s="155"/>
      <c r="BI27" s="155"/>
      <c r="BJ27" s="155"/>
      <c r="BK27" s="155"/>
      <c r="BL27" s="155"/>
      <c r="BM27" s="155"/>
      <c r="BN27" s="155"/>
      <c r="BO27" s="155"/>
      <c r="BP27" s="155"/>
      <c r="BQ27" s="155"/>
      <c r="BR27" s="155"/>
      <c r="BS27" s="155"/>
      <c r="BT27" s="155"/>
      <c r="BU27" s="155"/>
      <c r="BV27" s="155"/>
      <c r="BW27" s="155"/>
      <c r="BX27" s="155"/>
      <c r="BY27" s="155"/>
      <c r="BZ27" s="155"/>
      <c r="CA27" s="155"/>
      <c r="CB27" s="155"/>
      <c r="CC27" s="155"/>
      <c r="CD27" s="155"/>
      <c r="CE27" s="155"/>
      <c r="CF27" s="155"/>
      <c r="CG27" s="155"/>
      <c r="CH27" s="155"/>
      <c r="CI27" s="155"/>
      <c r="CJ27" s="152"/>
      <c r="CK27" s="152"/>
      <c r="CL27" s="152"/>
      <c r="CM27" s="152"/>
      <c r="CN27" s="152"/>
      <c r="CO27" s="152"/>
      <c r="CP27" s="152"/>
      <c r="CQ27" s="152"/>
      <c r="CR27" s="152"/>
      <c r="CS27" s="152"/>
      <c r="CT27" s="152"/>
      <c r="CU27" s="152"/>
      <c r="CV27" s="152"/>
      <c r="CW27" s="152"/>
      <c r="CX27" s="152"/>
      <c r="CY27" s="152"/>
      <c r="CZ27" s="152"/>
      <c r="DA27" s="152"/>
      <c r="DB27" s="152"/>
      <c r="DC27" s="152"/>
      <c r="DD27" s="152"/>
      <c r="DE27" s="152"/>
      <c r="DF27" s="152"/>
      <c r="DG27" s="152"/>
      <c r="DH27" s="152"/>
      <c r="DI27" s="152"/>
      <c r="DJ27" s="152"/>
      <c r="DK27" s="152"/>
      <c r="DL27" s="152"/>
      <c r="DM27" s="152"/>
      <c r="DN27" s="152"/>
      <c r="DO27" s="152"/>
      <c r="DP27" s="152"/>
      <c r="DQ27" s="152"/>
      <c r="DR27" s="152"/>
      <c r="DS27" s="152"/>
      <c r="DT27" s="152"/>
      <c r="DU27" s="152"/>
      <c r="DV27" s="152"/>
      <c r="DW27" s="152"/>
      <c r="DX27" s="152"/>
      <c r="DY27" s="152"/>
      <c r="DZ27" s="152"/>
      <c r="EA27" s="152"/>
      <c r="EB27" s="152"/>
      <c r="EC27" s="152"/>
      <c r="ED27" s="152"/>
      <c r="EE27" s="152"/>
      <c r="EF27" s="152"/>
      <c r="EG27" s="152"/>
      <c r="EH27" s="152"/>
      <c r="EI27" s="152"/>
      <c r="EJ27" s="152"/>
      <c r="EK27" s="152"/>
      <c r="EL27" s="152"/>
      <c r="EM27" s="152"/>
      <c r="EN27" s="152"/>
      <c r="EO27" s="152"/>
      <c r="EP27" s="152"/>
      <c r="EQ27" s="152"/>
      <c r="ER27" s="152"/>
      <c r="ES27" s="152"/>
      <c r="ET27" s="152"/>
      <c r="EU27" s="152"/>
      <c r="EV27" s="152"/>
      <c r="EW27" s="152"/>
      <c r="EX27" s="152"/>
      <c r="EY27" s="152"/>
      <c r="EZ27" s="152"/>
      <c r="FA27" s="152"/>
      <c r="FB27" s="152"/>
      <c r="FC27" s="152"/>
      <c r="FD27" s="152"/>
      <c r="FE27" s="152"/>
      <c r="FF27" s="152"/>
      <c r="FG27" s="152"/>
      <c r="FH27" s="152"/>
      <c r="FI27" s="152"/>
      <c r="FJ27" s="152"/>
      <c r="FK27" s="152"/>
      <c r="FL27" s="152"/>
      <c r="FM27" s="152"/>
      <c r="FN27" s="152"/>
      <c r="FO27" s="152"/>
      <c r="FP27" s="152"/>
      <c r="FQ27" s="152"/>
      <c r="FR27" s="152"/>
      <c r="FS27" s="152"/>
      <c r="FT27" s="152"/>
      <c r="FU27" s="152"/>
      <c r="FV27" s="152"/>
      <c r="FW27" s="152"/>
      <c r="FX27" s="152"/>
      <c r="FY27" s="152"/>
      <c r="FZ27" s="152"/>
      <c r="GA27" s="152"/>
      <c r="GB27" s="152"/>
      <c r="GC27" s="152"/>
      <c r="GD27" s="152"/>
      <c r="GE27" s="152"/>
      <c r="GF27" s="152"/>
      <c r="GG27" s="152"/>
      <c r="GH27" s="152"/>
      <c r="GI27" s="152"/>
      <c r="GJ27" s="152"/>
      <c r="GK27" s="152"/>
      <c r="GL27" s="152"/>
      <c r="GM27" s="152"/>
      <c r="GN27" s="152"/>
      <c r="GO27" s="152"/>
      <c r="GP27" s="152"/>
      <c r="GQ27" s="152"/>
      <c r="GR27" s="152"/>
      <c r="GS27" s="152"/>
      <c r="GT27" s="152"/>
      <c r="GU27" s="152"/>
      <c r="GV27" s="152"/>
      <c r="GW27" s="152"/>
      <c r="GX27" s="152"/>
      <c r="GY27" s="152"/>
      <c r="GZ27" s="152"/>
      <c r="HA27" s="152"/>
      <c r="HB27" s="152"/>
      <c r="HC27" s="152"/>
      <c r="HD27" s="152"/>
      <c r="HE27" s="152"/>
      <c r="HF27" s="152"/>
      <c r="HG27" s="152"/>
      <c r="HH27" s="152"/>
      <c r="HI27" s="152"/>
      <c r="HJ27" s="152"/>
      <c r="HK27" s="152"/>
      <c r="HL27" s="152"/>
      <c r="HM27" s="152"/>
      <c r="HN27" s="152"/>
      <c r="HO27" s="152"/>
      <c r="HP27" s="152"/>
      <c r="HQ27" s="152"/>
      <c r="HR27" s="152"/>
      <c r="HS27" s="152"/>
      <c r="HT27" s="152"/>
      <c r="HU27" s="152"/>
      <c r="HV27" s="152"/>
      <c r="HW27" s="152"/>
      <c r="HX27" s="152"/>
      <c r="HY27" s="152"/>
      <c r="HZ27" s="152"/>
      <c r="IA27" s="152"/>
      <c r="IB27" s="152"/>
      <c r="IC27" s="152"/>
      <c r="ID27" s="152"/>
      <c r="IE27" s="152"/>
      <c r="IF27" s="152"/>
      <c r="IG27" s="152"/>
      <c r="IH27" s="152"/>
      <c r="II27" s="152"/>
    </row>
    <row r="28" spans="1:243" ht="12.75" customHeight="1" x14ac:dyDescent="0.25">
      <c r="C28" t="e">
        <f>InputC!#REF!</f>
        <v>#REF!</v>
      </c>
      <c r="J28" s="54" t="s">
        <v>6</v>
      </c>
      <c r="L28" s="20" t="b">
        <f t="shared" si="1"/>
        <v>1</v>
      </c>
      <c r="P28" s="154">
        <f t="shared" si="2"/>
        <v>1</v>
      </c>
      <c r="R28" s="155">
        <v>0.39</v>
      </c>
      <c r="S28" s="155">
        <v>0.3</v>
      </c>
      <c r="T28" s="155">
        <v>0.31000000000000005</v>
      </c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  <c r="AU28" s="155"/>
      <c r="AV28" s="155"/>
      <c r="AW28" s="155"/>
      <c r="AX28" s="155"/>
      <c r="AY28" s="155"/>
      <c r="AZ28" s="155"/>
      <c r="BA28" s="155"/>
      <c r="BB28" s="155"/>
      <c r="BC28" s="155"/>
      <c r="BD28" s="155"/>
      <c r="BE28" s="155"/>
      <c r="BF28" s="155"/>
      <c r="BG28" s="155"/>
      <c r="BH28" s="155"/>
      <c r="BI28" s="155"/>
      <c r="BJ28" s="155"/>
      <c r="BK28" s="155"/>
      <c r="BL28" s="155"/>
      <c r="BM28" s="155"/>
      <c r="BN28" s="155"/>
      <c r="BO28" s="155"/>
      <c r="BP28" s="155"/>
      <c r="BQ28" s="155"/>
      <c r="BR28" s="155"/>
      <c r="BS28" s="155"/>
      <c r="BT28" s="155"/>
      <c r="BU28" s="155"/>
      <c r="BV28" s="155"/>
      <c r="BW28" s="155"/>
      <c r="BX28" s="155"/>
      <c r="BY28" s="155"/>
      <c r="BZ28" s="155"/>
      <c r="CA28" s="155"/>
      <c r="CB28" s="155"/>
      <c r="CC28" s="155"/>
      <c r="CD28" s="155"/>
      <c r="CE28" s="155"/>
      <c r="CF28" s="155"/>
      <c r="CG28" s="155"/>
      <c r="CH28" s="155"/>
      <c r="CI28" s="155"/>
      <c r="CJ28" s="152"/>
      <c r="CK28" s="152"/>
      <c r="CL28" s="152"/>
      <c r="CM28" s="152"/>
      <c r="CN28" s="152"/>
      <c r="CO28" s="152"/>
      <c r="CP28" s="152"/>
      <c r="CQ28" s="152"/>
      <c r="CR28" s="152"/>
      <c r="CS28" s="152"/>
      <c r="CT28" s="152"/>
      <c r="CU28" s="152"/>
      <c r="CV28" s="152"/>
      <c r="CW28" s="152"/>
      <c r="CX28" s="152"/>
      <c r="CY28" s="152"/>
      <c r="CZ28" s="152"/>
      <c r="DA28" s="152"/>
      <c r="DB28" s="152"/>
      <c r="DC28" s="152"/>
      <c r="DD28" s="152"/>
      <c r="DE28" s="152"/>
      <c r="DF28" s="152"/>
      <c r="DG28" s="152"/>
      <c r="DH28" s="152"/>
      <c r="DI28" s="152"/>
      <c r="DJ28" s="152"/>
      <c r="DK28" s="152"/>
      <c r="DL28" s="152"/>
      <c r="DM28" s="152"/>
      <c r="DN28" s="152"/>
      <c r="DO28" s="152"/>
      <c r="DP28" s="152"/>
      <c r="DQ28" s="152"/>
      <c r="DR28" s="152"/>
      <c r="DS28" s="152"/>
      <c r="DT28" s="152"/>
      <c r="DU28" s="152"/>
      <c r="DV28" s="152"/>
      <c r="DW28" s="152"/>
      <c r="DX28" s="152"/>
      <c r="DY28" s="152"/>
      <c r="DZ28" s="152"/>
      <c r="EA28" s="152"/>
      <c r="EB28" s="152"/>
      <c r="EC28" s="152"/>
      <c r="ED28" s="152"/>
      <c r="EE28" s="152"/>
      <c r="EF28" s="152"/>
      <c r="EG28" s="152"/>
      <c r="EH28" s="152"/>
      <c r="EI28" s="152"/>
      <c r="EJ28" s="152"/>
      <c r="EK28" s="152"/>
      <c r="EL28" s="152"/>
      <c r="EM28" s="152"/>
      <c r="EN28" s="152"/>
      <c r="EO28" s="152"/>
      <c r="EP28" s="152"/>
      <c r="EQ28" s="152"/>
      <c r="ER28" s="152"/>
      <c r="ES28" s="152"/>
      <c r="ET28" s="152"/>
      <c r="EU28" s="152"/>
      <c r="EV28" s="152"/>
      <c r="EW28" s="152"/>
      <c r="EX28" s="152"/>
      <c r="EY28" s="152"/>
      <c r="EZ28" s="152"/>
      <c r="FA28" s="152"/>
      <c r="FB28" s="152"/>
      <c r="FC28" s="152"/>
      <c r="FD28" s="152"/>
      <c r="FE28" s="152"/>
      <c r="FF28" s="152"/>
      <c r="FG28" s="152"/>
      <c r="FH28" s="152"/>
      <c r="FI28" s="152"/>
      <c r="FJ28" s="152"/>
      <c r="FK28" s="152"/>
      <c r="FL28" s="152"/>
      <c r="FM28" s="152"/>
      <c r="FN28" s="152"/>
      <c r="FO28" s="152"/>
      <c r="FP28" s="152"/>
      <c r="FQ28" s="152"/>
      <c r="FR28" s="152"/>
      <c r="FS28" s="152"/>
      <c r="FT28" s="152"/>
      <c r="FU28" s="152"/>
      <c r="FV28" s="152"/>
      <c r="FW28" s="152"/>
      <c r="FX28" s="152"/>
      <c r="FY28" s="152"/>
      <c r="FZ28" s="152"/>
      <c r="GA28" s="152"/>
      <c r="GB28" s="152"/>
      <c r="GC28" s="152"/>
      <c r="GD28" s="152"/>
      <c r="GE28" s="152"/>
      <c r="GF28" s="152"/>
      <c r="GG28" s="152"/>
      <c r="GH28" s="152"/>
      <c r="GI28" s="152"/>
      <c r="GJ28" s="152"/>
      <c r="GK28" s="152"/>
      <c r="GL28" s="152"/>
      <c r="GM28" s="152"/>
      <c r="GN28" s="152"/>
      <c r="GO28" s="152"/>
      <c r="GP28" s="152"/>
      <c r="GQ28" s="152"/>
      <c r="GR28" s="152"/>
      <c r="GS28" s="152"/>
      <c r="GT28" s="152"/>
      <c r="GU28" s="152"/>
      <c r="GV28" s="152"/>
      <c r="GW28" s="152"/>
      <c r="GX28" s="152"/>
      <c r="GY28" s="152"/>
      <c r="GZ28" s="152"/>
      <c r="HA28" s="152"/>
      <c r="HB28" s="152"/>
      <c r="HC28" s="152"/>
      <c r="HD28" s="152"/>
      <c r="HE28" s="152"/>
      <c r="HF28" s="152"/>
      <c r="HG28" s="152"/>
      <c r="HH28" s="152"/>
      <c r="HI28" s="152"/>
      <c r="HJ28" s="152"/>
      <c r="HK28" s="152"/>
      <c r="HL28" s="152"/>
      <c r="HM28" s="152"/>
      <c r="HN28" s="152"/>
      <c r="HO28" s="152"/>
      <c r="HP28" s="152"/>
      <c r="HQ28" s="152"/>
      <c r="HR28" s="152"/>
      <c r="HS28" s="152"/>
      <c r="HT28" s="152"/>
      <c r="HU28" s="152"/>
      <c r="HV28" s="152"/>
      <c r="HW28" s="152"/>
      <c r="HX28" s="152"/>
      <c r="HY28" s="152"/>
      <c r="HZ28" s="152"/>
      <c r="IA28" s="152"/>
      <c r="IB28" s="152"/>
      <c r="IC28" s="152"/>
      <c r="ID28" s="152"/>
      <c r="IE28" s="152"/>
      <c r="IF28" s="152"/>
      <c r="IG28" s="152"/>
      <c r="IH28" s="152"/>
      <c r="II28" s="152"/>
    </row>
    <row r="29" spans="1:243" ht="12.75" customHeight="1" x14ac:dyDescent="0.25">
      <c r="C29" t="e">
        <f>InputC!#REF!</f>
        <v>#REF!</v>
      </c>
      <c r="J29" s="54" t="s">
        <v>6</v>
      </c>
      <c r="L29" s="20" t="b">
        <f t="shared" si="1"/>
        <v>1</v>
      </c>
      <c r="P29" s="154">
        <f t="shared" si="2"/>
        <v>1</v>
      </c>
      <c r="R29" s="155">
        <v>0.52</v>
      </c>
      <c r="S29" s="155">
        <v>0.21</v>
      </c>
      <c r="T29" s="155">
        <v>0.27</v>
      </c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  <c r="AU29" s="155"/>
      <c r="AV29" s="155"/>
      <c r="AW29" s="155"/>
      <c r="AX29" s="155"/>
      <c r="AY29" s="155"/>
      <c r="AZ29" s="155"/>
      <c r="BA29" s="155"/>
      <c r="BB29" s="155"/>
      <c r="BC29" s="155"/>
      <c r="BD29" s="155"/>
      <c r="BE29" s="155"/>
      <c r="BF29" s="155"/>
      <c r="BG29" s="155"/>
      <c r="BH29" s="155"/>
      <c r="BI29" s="155"/>
      <c r="BJ29" s="155"/>
      <c r="BK29" s="155"/>
      <c r="BL29" s="155"/>
      <c r="BM29" s="155"/>
      <c r="BN29" s="155"/>
      <c r="BO29" s="155"/>
      <c r="BP29" s="155"/>
      <c r="BQ29" s="155"/>
      <c r="BR29" s="155"/>
      <c r="BS29" s="155"/>
      <c r="BT29" s="155"/>
      <c r="BU29" s="155"/>
      <c r="BV29" s="155"/>
      <c r="BW29" s="155"/>
      <c r="BX29" s="155"/>
      <c r="BY29" s="155"/>
      <c r="BZ29" s="155"/>
      <c r="CA29" s="155"/>
      <c r="CB29" s="155"/>
      <c r="CC29" s="155"/>
      <c r="CD29" s="155"/>
      <c r="CE29" s="155"/>
      <c r="CF29" s="155"/>
      <c r="CG29" s="155"/>
      <c r="CH29" s="155"/>
      <c r="CI29" s="155"/>
      <c r="CJ29" s="152"/>
      <c r="CK29" s="152"/>
      <c r="CL29" s="152"/>
      <c r="CM29" s="152"/>
      <c r="CN29" s="152"/>
      <c r="CO29" s="152"/>
      <c r="CP29" s="152"/>
      <c r="CQ29" s="152"/>
      <c r="CR29" s="152"/>
      <c r="CS29" s="152"/>
      <c r="CT29" s="152"/>
      <c r="CU29" s="152"/>
      <c r="CV29" s="152"/>
      <c r="CW29" s="152"/>
      <c r="CX29" s="152"/>
      <c r="CY29" s="152"/>
      <c r="CZ29" s="152"/>
      <c r="DA29" s="152"/>
      <c r="DB29" s="152"/>
      <c r="DC29" s="152"/>
      <c r="DD29" s="152"/>
      <c r="DE29" s="152"/>
      <c r="DF29" s="152"/>
      <c r="DG29" s="152"/>
      <c r="DH29" s="152"/>
      <c r="DI29" s="152"/>
      <c r="DJ29" s="152"/>
      <c r="DK29" s="152"/>
      <c r="DL29" s="152"/>
      <c r="DM29" s="152"/>
      <c r="DN29" s="152"/>
      <c r="DO29" s="152"/>
      <c r="DP29" s="152"/>
      <c r="DQ29" s="152"/>
      <c r="DR29" s="152"/>
      <c r="DS29" s="152"/>
      <c r="DT29" s="152"/>
      <c r="DU29" s="152"/>
      <c r="DV29" s="152"/>
      <c r="DW29" s="152"/>
      <c r="DX29" s="152"/>
      <c r="DY29" s="152"/>
      <c r="DZ29" s="152"/>
      <c r="EA29" s="152"/>
      <c r="EB29" s="152"/>
      <c r="EC29" s="152"/>
      <c r="ED29" s="152"/>
      <c r="EE29" s="152"/>
      <c r="EF29" s="152"/>
      <c r="EG29" s="152"/>
      <c r="EH29" s="152"/>
      <c r="EI29" s="152"/>
      <c r="EJ29" s="152"/>
      <c r="EK29" s="152"/>
      <c r="EL29" s="152"/>
      <c r="EM29" s="152"/>
      <c r="EN29" s="152"/>
      <c r="EO29" s="152"/>
      <c r="EP29" s="152"/>
      <c r="EQ29" s="152"/>
      <c r="ER29" s="152"/>
      <c r="ES29" s="152"/>
      <c r="ET29" s="152"/>
      <c r="EU29" s="152"/>
      <c r="EV29" s="152"/>
      <c r="EW29" s="152"/>
      <c r="EX29" s="152"/>
      <c r="EY29" s="152"/>
      <c r="EZ29" s="152"/>
      <c r="FA29" s="152"/>
      <c r="FB29" s="152"/>
      <c r="FC29" s="152"/>
      <c r="FD29" s="152"/>
      <c r="FE29" s="152"/>
      <c r="FF29" s="152"/>
      <c r="FG29" s="152"/>
      <c r="FH29" s="152"/>
      <c r="FI29" s="152"/>
      <c r="FJ29" s="152"/>
      <c r="FK29" s="152"/>
      <c r="FL29" s="152"/>
      <c r="FM29" s="152"/>
      <c r="FN29" s="152"/>
      <c r="FO29" s="152"/>
      <c r="FP29" s="152"/>
      <c r="FQ29" s="152"/>
      <c r="FR29" s="152"/>
      <c r="FS29" s="152"/>
      <c r="FT29" s="152"/>
      <c r="FU29" s="152"/>
      <c r="FV29" s="152"/>
      <c r="FW29" s="152"/>
      <c r="FX29" s="152"/>
      <c r="FY29" s="152"/>
      <c r="FZ29" s="152"/>
      <c r="GA29" s="152"/>
      <c r="GB29" s="152"/>
      <c r="GC29" s="152"/>
      <c r="GD29" s="152"/>
      <c r="GE29" s="152"/>
      <c r="GF29" s="152"/>
      <c r="GG29" s="152"/>
      <c r="GH29" s="152"/>
      <c r="GI29" s="152"/>
      <c r="GJ29" s="152"/>
      <c r="GK29" s="152"/>
      <c r="GL29" s="152"/>
      <c r="GM29" s="152"/>
      <c r="GN29" s="152"/>
      <c r="GO29" s="152"/>
      <c r="GP29" s="152"/>
      <c r="GQ29" s="152"/>
      <c r="GR29" s="152"/>
      <c r="GS29" s="152"/>
      <c r="GT29" s="152"/>
      <c r="GU29" s="152"/>
      <c r="GV29" s="152"/>
      <c r="GW29" s="152"/>
      <c r="GX29" s="152"/>
      <c r="GY29" s="152"/>
      <c r="GZ29" s="152"/>
      <c r="HA29" s="152"/>
      <c r="HB29" s="152"/>
      <c r="HC29" s="152"/>
      <c r="HD29" s="152"/>
      <c r="HE29" s="152"/>
      <c r="HF29" s="152"/>
      <c r="HG29" s="152"/>
      <c r="HH29" s="152"/>
      <c r="HI29" s="152"/>
      <c r="HJ29" s="152"/>
      <c r="HK29" s="152"/>
      <c r="HL29" s="152"/>
      <c r="HM29" s="152"/>
      <c r="HN29" s="152"/>
      <c r="HO29" s="152"/>
      <c r="HP29" s="152"/>
      <c r="HQ29" s="152"/>
      <c r="HR29" s="152"/>
      <c r="HS29" s="152"/>
      <c r="HT29" s="152"/>
      <c r="HU29" s="152"/>
      <c r="HV29" s="152"/>
      <c r="HW29" s="152"/>
      <c r="HX29" s="152"/>
      <c r="HY29" s="152"/>
      <c r="HZ29" s="152"/>
      <c r="IA29" s="152"/>
      <c r="IB29" s="152"/>
      <c r="IC29" s="152"/>
      <c r="ID29" s="152"/>
      <c r="IE29" s="152"/>
      <c r="IF29" s="152"/>
      <c r="IG29" s="152"/>
      <c r="IH29" s="152"/>
      <c r="II29" s="152"/>
    </row>
    <row r="30" spans="1:243" ht="12.75" customHeight="1" x14ac:dyDescent="0.25">
      <c r="C30" t="e">
        <f>InputC!#REF!</f>
        <v>#REF!</v>
      </c>
      <c r="J30" s="54" t="s">
        <v>6</v>
      </c>
      <c r="L30" s="20" t="b">
        <f t="shared" si="1"/>
        <v>1</v>
      </c>
      <c r="P30" s="154">
        <f t="shared" si="2"/>
        <v>1</v>
      </c>
      <c r="R30" s="155">
        <v>0.33</v>
      </c>
      <c r="S30" s="155">
        <v>0.27</v>
      </c>
      <c r="T30" s="155">
        <v>0.39999999999999991</v>
      </c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5"/>
      <c r="BP30" s="155"/>
      <c r="BQ30" s="155"/>
      <c r="BR30" s="155"/>
      <c r="BS30" s="155"/>
      <c r="BT30" s="155"/>
      <c r="BU30" s="155"/>
      <c r="BV30" s="155"/>
      <c r="BW30" s="155"/>
      <c r="BX30" s="155"/>
      <c r="BY30" s="155"/>
      <c r="BZ30" s="155"/>
      <c r="CA30" s="155"/>
      <c r="CB30" s="155"/>
      <c r="CC30" s="155"/>
      <c r="CD30" s="155"/>
      <c r="CE30" s="155"/>
      <c r="CF30" s="155"/>
      <c r="CG30" s="155"/>
      <c r="CH30" s="155"/>
      <c r="CI30" s="155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  <c r="CY30" s="152"/>
      <c r="CZ30" s="152"/>
      <c r="DA30" s="152"/>
      <c r="DB30" s="152"/>
      <c r="DC30" s="152"/>
      <c r="DD30" s="152"/>
      <c r="DE30" s="152"/>
      <c r="DF30" s="152"/>
      <c r="DG30" s="152"/>
      <c r="DH30" s="152"/>
      <c r="DI30" s="152"/>
      <c r="DJ30" s="152"/>
      <c r="DK30" s="152"/>
      <c r="DL30" s="152"/>
      <c r="DM30" s="152"/>
      <c r="DN30" s="152"/>
      <c r="DO30" s="152"/>
      <c r="DP30" s="152"/>
      <c r="DQ30" s="152"/>
      <c r="DR30" s="152"/>
      <c r="DS30" s="152"/>
      <c r="DT30" s="152"/>
      <c r="DU30" s="152"/>
      <c r="DV30" s="152"/>
      <c r="DW30" s="152"/>
      <c r="DX30" s="152"/>
      <c r="DY30" s="152"/>
      <c r="DZ30" s="152"/>
      <c r="EA30" s="152"/>
      <c r="EB30" s="152"/>
      <c r="EC30" s="152"/>
      <c r="ED30" s="152"/>
      <c r="EE30" s="152"/>
      <c r="EF30" s="152"/>
      <c r="EG30" s="152"/>
      <c r="EH30" s="152"/>
      <c r="EI30" s="152"/>
      <c r="EJ30" s="152"/>
      <c r="EK30" s="152"/>
      <c r="EL30" s="152"/>
      <c r="EM30" s="152"/>
      <c r="EN30" s="152"/>
      <c r="EO30" s="152"/>
      <c r="EP30" s="152"/>
      <c r="EQ30" s="152"/>
      <c r="ER30" s="152"/>
      <c r="ES30" s="152"/>
      <c r="ET30" s="152"/>
      <c r="EU30" s="152"/>
      <c r="EV30" s="152"/>
      <c r="EW30" s="152"/>
      <c r="EX30" s="152"/>
      <c r="EY30" s="152"/>
      <c r="EZ30" s="152"/>
      <c r="FA30" s="152"/>
      <c r="FB30" s="152"/>
      <c r="FC30" s="152"/>
      <c r="FD30" s="152"/>
      <c r="FE30" s="152"/>
      <c r="FF30" s="152"/>
      <c r="FG30" s="152"/>
      <c r="FH30" s="152"/>
      <c r="FI30" s="152"/>
      <c r="FJ30" s="152"/>
      <c r="FK30" s="152"/>
      <c r="FL30" s="152"/>
      <c r="FM30" s="152"/>
      <c r="FN30" s="152"/>
      <c r="FO30" s="152"/>
      <c r="FP30" s="152"/>
      <c r="FQ30" s="152"/>
      <c r="FR30" s="152"/>
      <c r="FS30" s="152"/>
      <c r="FT30" s="152"/>
      <c r="FU30" s="152"/>
      <c r="FV30" s="152"/>
      <c r="FW30" s="152"/>
      <c r="FX30" s="152"/>
      <c r="FY30" s="152"/>
      <c r="FZ30" s="152"/>
      <c r="GA30" s="152"/>
      <c r="GB30" s="152"/>
      <c r="GC30" s="152"/>
      <c r="GD30" s="152"/>
      <c r="GE30" s="152"/>
      <c r="GF30" s="152"/>
      <c r="GG30" s="152"/>
      <c r="GH30" s="152"/>
      <c r="GI30" s="152"/>
      <c r="GJ30" s="152"/>
      <c r="GK30" s="152"/>
      <c r="GL30" s="152"/>
      <c r="GM30" s="152"/>
      <c r="GN30" s="152"/>
      <c r="GO30" s="152"/>
      <c r="GP30" s="152"/>
      <c r="GQ30" s="152"/>
      <c r="GR30" s="152"/>
      <c r="GS30" s="152"/>
      <c r="GT30" s="152"/>
      <c r="GU30" s="152"/>
      <c r="GV30" s="152"/>
      <c r="GW30" s="152"/>
      <c r="GX30" s="152"/>
      <c r="GY30" s="152"/>
      <c r="GZ30" s="152"/>
      <c r="HA30" s="152"/>
      <c r="HB30" s="152"/>
      <c r="HC30" s="152"/>
      <c r="HD30" s="152"/>
      <c r="HE30" s="152"/>
      <c r="HF30" s="152"/>
      <c r="HG30" s="152"/>
      <c r="HH30" s="152"/>
      <c r="HI30" s="152"/>
      <c r="HJ30" s="152"/>
      <c r="HK30" s="152"/>
      <c r="HL30" s="152"/>
      <c r="HM30" s="152"/>
      <c r="HN30" s="152"/>
      <c r="HO30" s="152"/>
      <c r="HP30" s="152"/>
      <c r="HQ30" s="152"/>
      <c r="HR30" s="152"/>
      <c r="HS30" s="152"/>
      <c r="HT30" s="152"/>
      <c r="HU30" s="152"/>
      <c r="HV30" s="152"/>
      <c r="HW30" s="152"/>
      <c r="HX30" s="152"/>
      <c r="HY30" s="152"/>
      <c r="HZ30" s="152"/>
      <c r="IA30" s="152"/>
      <c r="IB30" s="152"/>
      <c r="IC30" s="152"/>
      <c r="ID30" s="152"/>
      <c r="IE30" s="152"/>
      <c r="IF30" s="152"/>
      <c r="IG30" s="152"/>
      <c r="IH30" s="152"/>
      <c r="II30" s="152"/>
    </row>
    <row r="31" spans="1:243" ht="12.75" customHeight="1" x14ac:dyDescent="0.25">
      <c r="C31" t="e">
        <f>InputC!#REF!</f>
        <v>#REF!</v>
      </c>
      <c r="J31" s="54" t="s">
        <v>6</v>
      </c>
      <c r="L31" s="20" t="b">
        <f t="shared" si="1"/>
        <v>1</v>
      </c>
      <c r="P31" s="154">
        <f t="shared" si="2"/>
        <v>1</v>
      </c>
      <c r="R31" s="155">
        <v>0.47</v>
      </c>
      <c r="S31" s="155">
        <v>0.26</v>
      </c>
      <c r="T31" s="155">
        <v>0.27</v>
      </c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BA31" s="155"/>
      <c r="BB31" s="155"/>
      <c r="BC31" s="155"/>
      <c r="BD31" s="155"/>
      <c r="BE31" s="155"/>
      <c r="BF31" s="155"/>
      <c r="BG31" s="155"/>
      <c r="BH31" s="155"/>
      <c r="BI31" s="155"/>
      <c r="BJ31" s="155"/>
      <c r="BK31" s="155"/>
      <c r="BL31" s="155"/>
      <c r="BM31" s="155"/>
      <c r="BN31" s="155"/>
      <c r="BO31" s="155"/>
      <c r="BP31" s="155"/>
      <c r="BQ31" s="155"/>
      <c r="BR31" s="155"/>
      <c r="BS31" s="155"/>
      <c r="BT31" s="155"/>
      <c r="BU31" s="155"/>
      <c r="BV31" s="155"/>
      <c r="BW31" s="155"/>
      <c r="BX31" s="155"/>
      <c r="BY31" s="155"/>
      <c r="BZ31" s="155"/>
      <c r="CA31" s="155"/>
      <c r="CB31" s="155"/>
      <c r="CC31" s="155"/>
      <c r="CD31" s="155"/>
      <c r="CE31" s="155"/>
      <c r="CF31" s="155"/>
      <c r="CG31" s="155"/>
      <c r="CH31" s="155"/>
      <c r="CI31" s="155"/>
      <c r="CJ31" s="152"/>
      <c r="CK31" s="152"/>
      <c r="CL31" s="152"/>
      <c r="CM31" s="152"/>
      <c r="CN31" s="152"/>
      <c r="CO31" s="152"/>
      <c r="CP31" s="152"/>
      <c r="CQ31" s="152"/>
      <c r="CR31" s="152"/>
      <c r="CS31" s="152"/>
      <c r="CT31" s="152"/>
      <c r="CU31" s="152"/>
      <c r="CV31" s="152"/>
      <c r="CW31" s="152"/>
      <c r="CX31" s="152"/>
      <c r="CY31" s="152"/>
      <c r="CZ31" s="152"/>
      <c r="DA31" s="152"/>
      <c r="DB31" s="152"/>
      <c r="DC31" s="152"/>
      <c r="DD31" s="152"/>
      <c r="DE31" s="152"/>
      <c r="DF31" s="152"/>
      <c r="DG31" s="152"/>
      <c r="DH31" s="152"/>
      <c r="DI31" s="152"/>
      <c r="DJ31" s="152"/>
      <c r="DK31" s="152"/>
      <c r="DL31" s="152"/>
      <c r="DM31" s="152"/>
      <c r="DN31" s="152"/>
      <c r="DO31" s="152"/>
      <c r="DP31" s="152"/>
      <c r="DQ31" s="152"/>
      <c r="DR31" s="152"/>
      <c r="DS31" s="152"/>
      <c r="DT31" s="152"/>
      <c r="DU31" s="152"/>
      <c r="DV31" s="152"/>
      <c r="DW31" s="152"/>
      <c r="DX31" s="152"/>
      <c r="DY31" s="152"/>
      <c r="DZ31" s="152"/>
      <c r="EA31" s="152"/>
      <c r="EB31" s="152"/>
      <c r="EC31" s="152"/>
      <c r="ED31" s="152"/>
      <c r="EE31" s="152"/>
      <c r="EF31" s="152"/>
      <c r="EG31" s="152"/>
      <c r="EH31" s="152"/>
      <c r="EI31" s="152"/>
      <c r="EJ31" s="152"/>
      <c r="EK31" s="152"/>
      <c r="EL31" s="152"/>
      <c r="EM31" s="152"/>
      <c r="EN31" s="152"/>
      <c r="EO31" s="152"/>
      <c r="EP31" s="152"/>
      <c r="EQ31" s="152"/>
      <c r="ER31" s="152"/>
      <c r="ES31" s="152"/>
      <c r="ET31" s="152"/>
      <c r="EU31" s="152"/>
      <c r="EV31" s="152"/>
      <c r="EW31" s="152"/>
      <c r="EX31" s="152"/>
      <c r="EY31" s="152"/>
      <c r="EZ31" s="152"/>
      <c r="FA31" s="152"/>
      <c r="FB31" s="152"/>
      <c r="FC31" s="152"/>
      <c r="FD31" s="152"/>
      <c r="FE31" s="152"/>
      <c r="FF31" s="152"/>
      <c r="FG31" s="152"/>
      <c r="FH31" s="152"/>
      <c r="FI31" s="152"/>
      <c r="FJ31" s="152"/>
      <c r="FK31" s="152"/>
      <c r="FL31" s="152"/>
      <c r="FM31" s="152"/>
      <c r="FN31" s="152"/>
      <c r="FO31" s="152"/>
      <c r="FP31" s="152"/>
      <c r="FQ31" s="152"/>
      <c r="FR31" s="152"/>
      <c r="FS31" s="152"/>
      <c r="FT31" s="152"/>
      <c r="FU31" s="152"/>
      <c r="FV31" s="152"/>
      <c r="FW31" s="152"/>
      <c r="FX31" s="152"/>
      <c r="FY31" s="152"/>
      <c r="FZ31" s="152"/>
      <c r="GA31" s="152"/>
      <c r="GB31" s="152"/>
      <c r="GC31" s="152"/>
      <c r="GD31" s="152"/>
      <c r="GE31" s="152"/>
      <c r="GF31" s="152"/>
      <c r="GG31" s="152"/>
      <c r="GH31" s="152"/>
      <c r="GI31" s="152"/>
      <c r="GJ31" s="152"/>
      <c r="GK31" s="152"/>
      <c r="GL31" s="152"/>
      <c r="GM31" s="152"/>
      <c r="GN31" s="152"/>
      <c r="GO31" s="152"/>
      <c r="GP31" s="152"/>
      <c r="GQ31" s="152"/>
      <c r="GR31" s="152"/>
      <c r="GS31" s="152"/>
      <c r="GT31" s="152"/>
      <c r="GU31" s="152"/>
      <c r="GV31" s="152"/>
      <c r="GW31" s="152"/>
      <c r="GX31" s="152"/>
      <c r="GY31" s="152"/>
      <c r="GZ31" s="152"/>
      <c r="HA31" s="152"/>
      <c r="HB31" s="152"/>
      <c r="HC31" s="152"/>
      <c r="HD31" s="152"/>
      <c r="HE31" s="152"/>
      <c r="HF31" s="152"/>
      <c r="HG31" s="152"/>
      <c r="HH31" s="152"/>
      <c r="HI31" s="152"/>
      <c r="HJ31" s="152"/>
      <c r="HK31" s="152"/>
      <c r="HL31" s="152"/>
      <c r="HM31" s="152"/>
      <c r="HN31" s="152"/>
      <c r="HO31" s="152"/>
      <c r="HP31" s="152"/>
      <c r="HQ31" s="152"/>
      <c r="HR31" s="152"/>
      <c r="HS31" s="152"/>
      <c r="HT31" s="152"/>
      <c r="HU31" s="152"/>
      <c r="HV31" s="152"/>
      <c r="HW31" s="152"/>
      <c r="HX31" s="152"/>
      <c r="HY31" s="152"/>
      <c r="HZ31" s="152"/>
      <c r="IA31" s="152"/>
      <c r="IB31" s="152"/>
      <c r="IC31" s="152"/>
      <c r="ID31" s="152"/>
      <c r="IE31" s="152"/>
      <c r="IF31" s="152"/>
      <c r="IG31" s="152"/>
      <c r="IH31" s="152"/>
      <c r="II31" s="152"/>
    </row>
    <row r="32" spans="1:243" ht="12.75" customHeight="1" x14ac:dyDescent="0.25">
      <c r="C32" t="e">
        <f>InputC!#REF!</f>
        <v>#REF!</v>
      </c>
      <c r="J32" s="54" t="s">
        <v>6</v>
      </c>
      <c r="L32" s="20" t="b">
        <f t="shared" si="1"/>
        <v>1</v>
      </c>
      <c r="P32" s="154">
        <f t="shared" si="2"/>
        <v>1</v>
      </c>
      <c r="R32" s="155">
        <v>0.43</v>
      </c>
      <c r="S32" s="155">
        <v>0.11</v>
      </c>
      <c r="T32" s="155">
        <v>0.45999999999999996</v>
      </c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BA32" s="155"/>
      <c r="BB32" s="155"/>
      <c r="BC32" s="155"/>
      <c r="BD32" s="155"/>
      <c r="BE32" s="155"/>
      <c r="BF32" s="155"/>
      <c r="BG32" s="155"/>
      <c r="BH32" s="155"/>
      <c r="BI32" s="155"/>
      <c r="BJ32" s="155"/>
      <c r="BK32" s="155"/>
      <c r="BL32" s="155"/>
      <c r="BM32" s="155"/>
      <c r="BN32" s="155"/>
      <c r="BO32" s="155"/>
      <c r="BP32" s="155"/>
      <c r="BQ32" s="155"/>
      <c r="BR32" s="155"/>
      <c r="BS32" s="155"/>
      <c r="BT32" s="155"/>
      <c r="BU32" s="155"/>
      <c r="BV32" s="155"/>
      <c r="BW32" s="155"/>
      <c r="BX32" s="155"/>
      <c r="BY32" s="155"/>
      <c r="BZ32" s="155"/>
      <c r="CA32" s="155"/>
      <c r="CB32" s="155"/>
      <c r="CC32" s="155"/>
      <c r="CD32" s="155"/>
      <c r="CE32" s="155"/>
      <c r="CF32" s="155"/>
      <c r="CG32" s="155"/>
      <c r="CH32" s="155"/>
      <c r="CI32" s="155"/>
      <c r="CJ32" s="152"/>
      <c r="CK32" s="152"/>
      <c r="CL32" s="152"/>
      <c r="CM32" s="152"/>
      <c r="CN32" s="152"/>
      <c r="CO32" s="152"/>
      <c r="CP32" s="152"/>
      <c r="CQ32" s="152"/>
      <c r="CR32" s="152"/>
      <c r="CS32" s="152"/>
      <c r="CT32" s="152"/>
      <c r="CU32" s="152"/>
      <c r="CV32" s="152"/>
      <c r="CW32" s="152"/>
      <c r="CX32" s="152"/>
      <c r="CY32" s="152"/>
      <c r="CZ32" s="152"/>
      <c r="DA32" s="152"/>
      <c r="DB32" s="152"/>
      <c r="DC32" s="152"/>
      <c r="DD32" s="152"/>
      <c r="DE32" s="152"/>
      <c r="DF32" s="152"/>
      <c r="DG32" s="152"/>
      <c r="DH32" s="152"/>
      <c r="DI32" s="152"/>
      <c r="DJ32" s="152"/>
      <c r="DK32" s="152"/>
      <c r="DL32" s="152"/>
      <c r="DM32" s="152"/>
      <c r="DN32" s="152"/>
      <c r="DO32" s="152"/>
      <c r="DP32" s="152"/>
      <c r="DQ32" s="152"/>
      <c r="DR32" s="152"/>
      <c r="DS32" s="152"/>
      <c r="DT32" s="152"/>
      <c r="DU32" s="152"/>
      <c r="DV32" s="152"/>
      <c r="DW32" s="152"/>
      <c r="DX32" s="152"/>
      <c r="DY32" s="152"/>
      <c r="DZ32" s="152"/>
      <c r="EA32" s="152"/>
      <c r="EB32" s="152"/>
      <c r="EC32" s="152"/>
      <c r="ED32" s="152"/>
      <c r="EE32" s="152"/>
      <c r="EF32" s="152"/>
      <c r="EG32" s="152"/>
      <c r="EH32" s="152"/>
      <c r="EI32" s="152"/>
      <c r="EJ32" s="152"/>
      <c r="EK32" s="152"/>
      <c r="EL32" s="152"/>
      <c r="EM32" s="152"/>
      <c r="EN32" s="152"/>
      <c r="EO32" s="152"/>
      <c r="EP32" s="152"/>
      <c r="EQ32" s="152"/>
      <c r="ER32" s="152"/>
      <c r="ES32" s="152"/>
      <c r="ET32" s="152"/>
      <c r="EU32" s="152"/>
      <c r="EV32" s="152"/>
      <c r="EW32" s="152"/>
      <c r="EX32" s="152"/>
      <c r="EY32" s="152"/>
      <c r="EZ32" s="152"/>
      <c r="FA32" s="152"/>
      <c r="FB32" s="152"/>
      <c r="FC32" s="152"/>
      <c r="FD32" s="152"/>
      <c r="FE32" s="152"/>
      <c r="FF32" s="152"/>
      <c r="FG32" s="152"/>
      <c r="FH32" s="152"/>
      <c r="FI32" s="152"/>
      <c r="FJ32" s="152"/>
      <c r="FK32" s="152"/>
      <c r="FL32" s="152"/>
      <c r="FM32" s="152"/>
      <c r="FN32" s="152"/>
      <c r="FO32" s="152"/>
      <c r="FP32" s="152"/>
      <c r="FQ32" s="152"/>
      <c r="FR32" s="152"/>
      <c r="FS32" s="152"/>
      <c r="FT32" s="152"/>
      <c r="FU32" s="152"/>
      <c r="FV32" s="152"/>
      <c r="FW32" s="152"/>
      <c r="FX32" s="152"/>
      <c r="FY32" s="152"/>
      <c r="FZ32" s="152"/>
      <c r="GA32" s="152"/>
      <c r="GB32" s="152"/>
      <c r="GC32" s="152"/>
      <c r="GD32" s="152"/>
      <c r="GE32" s="152"/>
      <c r="GF32" s="152"/>
      <c r="GG32" s="152"/>
      <c r="GH32" s="152"/>
      <c r="GI32" s="152"/>
      <c r="GJ32" s="152"/>
      <c r="GK32" s="152"/>
      <c r="GL32" s="152"/>
      <c r="GM32" s="152"/>
      <c r="GN32" s="152"/>
      <c r="GO32" s="152"/>
      <c r="GP32" s="152"/>
      <c r="GQ32" s="152"/>
      <c r="GR32" s="152"/>
      <c r="GS32" s="152"/>
      <c r="GT32" s="152"/>
      <c r="GU32" s="152"/>
      <c r="GV32" s="152"/>
      <c r="GW32" s="152"/>
      <c r="GX32" s="152"/>
      <c r="GY32" s="152"/>
      <c r="GZ32" s="152"/>
      <c r="HA32" s="152"/>
      <c r="HB32" s="152"/>
      <c r="HC32" s="152"/>
      <c r="HD32" s="152"/>
      <c r="HE32" s="152"/>
      <c r="HF32" s="152"/>
      <c r="HG32" s="152"/>
      <c r="HH32" s="152"/>
      <c r="HI32" s="152"/>
      <c r="HJ32" s="152"/>
      <c r="HK32" s="152"/>
      <c r="HL32" s="152"/>
      <c r="HM32" s="152"/>
      <c r="HN32" s="152"/>
      <c r="HO32" s="152"/>
      <c r="HP32" s="152"/>
      <c r="HQ32" s="152"/>
      <c r="HR32" s="152"/>
      <c r="HS32" s="152"/>
      <c r="HT32" s="152"/>
      <c r="HU32" s="152"/>
      <c r="HV32" s="152"/>
      <c r="HW32" s="152"/>
      <c r="HX32" s="152"/>
      <c r="HY32" s="152"/>
      <c r="HZ32" s="152"/>
      <c r="IA32" s="152"/>
      <c r="IB32" s="152"/>
      <c r="IC32" s="152"/>
      <c r="ID32" s="152"/>
      <c r="IE32" s="152"/>
      <c r="IF32" s="152"/>
      <c r="IG32" s="152"/>
      <c r="IH32" s="152"/>
      <c r="II32" s="152"/>
    </row>
    <row r="33" spans="1:243" ht="12.75" customHeight="1" x14ac:dyDescent="0.25">
      <c r="C33" t="e">
        <f>InputC!#REF!</f>
        <v>#REF!</v>
      </c>
      <c r="J33" s="54" t="s">
        <v>6</v>
      </c>
      <c r="L33" s="20" t="b">
        <f t="shared" si="1"/>
        <v>1</v>
      </c>
      <c r="P33" s="154">
        <f t="shared" si="2"/>
        <v>1</v>
      </c>
      <c r="R33" s="155">
        <v>0.41</v>
      </c>
      <c r="S33" s="155">
        <v>0.11</v>
      </c>
      <c r="T33" s="155">
        <v>0.48</v>
      </c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BA33" s="155"/>
      <c r="BB33" s="155"/>
      <c r="BC33" s="155"/>
      <c r="BD33" s="155"/>
      <c r="BE33" s="155"/>
      <c r="BF33" s="155"/>
      <c r="BG33" s="155"/>
      <c r="BH33" s="155"/>
      <c r="BI33" s="155"/>
      <c r="BJ33" s="155"/>
      <c r="BK33" s="155"/>
      <c r="BL33" s="155"/>
      <c r="BM33" s="155"/>
      <c r="BN33" s="155"/>
      <c r="BO33" s="155"/>
      <c r="BP33" s="155"/>
      <c r="BQ33" s="155"/>
      <c r="BR33" s="155"/>
      <c r="BS33" s="155"/>
      <c r="BT33" s="155"/>
      <c r="BU33" s="155"/>
      <c r="BV33" s="155"/>
      <c r="BW33" s="155"/>
      <c r="BX33" s="155"/>
      <c r="BY33" s="155"/>
      <c r="BZ33" s="155"/>
      <c r="CA33" s="155"/>
      <c r="CB33" s="155"/>
      <c r="CC33" s="155"/>
      <c r="CD33" s="155"/>
      <c r="CE33" s="155"/>
      <c r="CF33" s="155"/>
      <c r="CG33" s="155"/>
      <c r="CH33" s="155"/>
      <c r="CI33" s="155"/>
      <c r="CJ33" s="152"/>
      <c r="CK33" s="152"/>
      <c r="CL33" s="152"/>
      <c r="CM33" s="152"/>
      <c r="CN33" s="152"/>
      <c r="CO33" s="152"/>
      <c r="CP33" s="152"/>
      <c r="CQ33" s="152"/>
      <c r="CR33" s="152"/>
      <c r="CS33" s="152"/>
      <c r="CT33" s="152"/>
      <c r="CU33" s="152"/>
      <c r="CV33" s="152"/>
      <c r="CW33" s="152"/>
      <c r="CX33" s="152"/>
      <c r="CY33" s="152"/>
      <c r="CZ33" s="152"/>
      <c r="DA33" s="152"/>
      <c r="DB33" s="152"/>
      <c r="DC33" s="152"/>
      <c r="DD33" s="152"/>
      <c r="DE33" s="152"/>
      <c r="DF33" s="152"/>
      <c r="DG33" s="152"/>
      <c r="DH33" s="152"/>
      <c r="DI33" s="152"/>
      <c r="DJ33" s="152"/>
      <c r="DK33" s="152"/>
      <c r="DL33" s="152"/>
      <c r="DM33" s="152"/>
      <c r="DN33" s="152"/>
      <c r="DO33" s="152"/>
      <c r="DP33" s="152"/>
      <c r="DQ33" s="152"/>
      <c r="DR33" s="152"/>
      <c r="DS33" s="152"/>
      <c r="DT33" s="152"/>
      <c r="DU33" s="152"/>
      <c r="DV33" s="152"/>
      <c r="DW33" s="152"/>
      <c r="DX33" s="152"/>
      <c r="DY33" s="152"/>
      <c r="DZ33" s="152"/>
      <c r="EA33" s="152"/>
      <c r="EB33" s="152"/>
      <c r="EC33" s="152"/>
      <c r="ED33" s="152"/>
      <c r="EE33" s="152"/>
      <c r="EF33" s="152"/>
      <c r="EG33" s="152"/>
      <c r="EH33" s="152"/>
      <c r="EI33" s="152"/>
      <c r="EJ33" s="152"/>
      <c r="EK33" s="152"/>
      <c r="EL33" s="152"/>
      <c r="EM33" s="152"/>
      <c r="EN33" s="152"/>
      <c r="EO33" s="152"/>
      <c r="EP33" s="152"/>
      <c r="EQ33" s="152"/>
      <c r="ER33" s="152"/>
      <c r="ES33" s="152"/>
      <c r="ET33" s="152"/>
      <c r="EU33" s="152"/>
      <c r="EV33" s="152"/>
      <c r="EW33" s="152"/>
      <c r="EX33" s="152"/>
      <c r="EY33" s="152"/>
      <c r="EZ33" s="152"/>
      <c r="FA33" s="152"/>
      <c r="FB33" s="152"/>
      <c r="FC33" s="152"/>
      <c r="FD33" s="152"/>
      <c r="FE33" s="152"/>
      <c r="FF33" s="152"/>
      <c r="FG33" s="152"/>
      <c r="FH33" s="152"/>
      <c r="FI33" s="152"/>
      <c r="FJ33" s="152"/>
      <c r="FK33" s="152"/>
      <c r="FL33" s="152"/>
      <c r="FM33" s="152"/>
      <c r="FN33" s="152"/>
      <c r="FO33" s="152"/>
      <c r="FP33" s="152"/>
      <c r="FQ33" s="152"/>
      <c r="FR33" s="152"/>
      <c r="FS33" s="152"/>
      <c r="FT33" s="152"/>
      <c r="FU33" s="152"/>
      <c r="FV33" s="152"/>
      <c r="FW33" s="152"/>
      <c r="FX33" s="152"/>
      <c r="FY33" s="152"/>
      <c r="FZ33" s="152"/>
      <c r="GA33" s="152"/>
      <c r="GB33" s="152"/>
      <c r="GC33" s="152"/>
      <c r="GD33" s="152"/>
      <c r="GE33" s="152"/>
      <c r="GF33" s="152"/>
      <c r="GG33" s="152"/>
      <c r="GH33" s="152"/>
      <c r="GI33" s="152"/>
      <c r="GJ33" s="152"/>
      <c r="GK33" s="152"/>
      <c r="GL33" s="152"/>
      <c r="GM33" s="152"/>
      <c r="GN33" s="152"/>
      <c r="GO33" s="152"/>
      <c r="GP33" s="152"/>
      <c r="GQ33" s="152"/>
      <c r="GR33" s="152"/>
      <c r="GS33" s="152"/>
      <c r="GT33" s="152"/>
      <c r="GU33" s="152"/>
      <c r="GV33" s="152"/>
      <c r="GW33" s="152"/>
      <c r="GX33" s="152"/>
      <c r="GY33" s="152"/>
      <c r="GZ33" s="152"/>
      <c r="HA33" s="152"/>
      <c r="HB33" s="152"/>
      <c r="HC33" s="152"/>
      <c r="HD33" s="152"/>
      <c r="HE33" s="152"/>
      <c r="HF33" s="152"/>
      <c r="HG33" s="152"/>
      <c r="HH33" s="152"/>
      <c r="HI33" s="152"/>
      <c r="HJ33" s="152"/>
      <c r="HK33" s="152"/>
      <c r="HL33" s="152"/>
      <c r="HM33" s="152"/>
      <c r="HN33" s="152"/>
      <c r="HO33" s="152"/>
      <c r="HP33" s="152"/>
      <c r="HQ33" s="152"/>
      <c r="HR33" s="152"/>
      <c r="HS33" s="152"/>
      <c r="HT33" s="152"/>
      <c r="HU33" s="152"/>
      <c r="HV33" s="152"/>
      <c r="HW33" s="152"/>
      <c r="HX33" s="152"/>
      <c r="HY33" s="152"/>
      <c r="HZ33" s="152"/>
      <c r="IA33" s="152"/>
      <c r="IB33" s="152"/>
      <c r="IC33" s="152"/>
      <c r="ID33" s="152"/>
      <c r="IE33" s="152"/>
      <c r="IF33" s="152"/>
      <c r="IG33" s="152"/>
      <c r="IH33" s="152"/>
      <c r="II33" s="152"/>
    </row>
    <row r="34" spans="1:243" ht="12.75" customHeight="1" x14ac:dyDescent="0.25">
      <c r="C34" t="e">
        <f>InputC!#REF!</f>
        <v>#REF!</v>
      </c>
      <c r="J34" s="54" t="s">
        <v>6</v>
      </c>
      <c r="L34" s="20" t="b">
        <f t="shared" si="1"/>
        <v>1</v>
      </c>
      <c r="P34" s="154">
        <f t="shared" si="2"/>
        <v>1</v>
      </c>
      <c r="R34" s="155">
        <v>0.6</v>
      </c>
      <c r="S34" s="155">
        <v>0.3</v>
      </c>
      <c r="T34" s="155">
        <v>0.10000000000000009</v>
      </c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  <c r="AU34" s="155"/>
      <c r="AV34" s="155"/>
      <c r="AW34" s="155"/>
      <c r="AX34" s="155"/>
      <c r="AY34" s="155"/>
      <c r="AZ34" s="155"/>
      <c r="BA34" s="155"/>
      <c r="BB34" s="155"/>
      <c r="BC34" s="155"/>
      <c r="BD34" s="155"/>
      <c r="BE34" s="155"/>
      <c r="BF34" s="155"/>
      <c r="BG34" s="155"/>
      <c r="BH34" s="155"/>
      <c r="BI34" s="155"/>
      <c r="BJ34" s="155"/>
      <c r="BK34" s="155"/>
      <c r="BL34" s="155"/>
      <c r="BM34" s="155"/>
      <c r="BN34" s="155"/>
      <c r="BO34" s="155"/>
      <c r="BP34" s="155"/>
      <c r="BQ34" s="155"/>
      <c r="BR34" s="155"/>
      <c r="BS34" s="155"/>
      <c r="BT34" s="155"/>
      <c r="BU34" s="155"/>
      <c r="BV34" s="155"/>
      <c r="BW34" s="155"/>
      <c r="BX34" s="155"/>
      <c r="BY34" s="155"/>
      <c r="BZ34" s="155"/>
      <c r="CA34" s="155"/>
      <c r="CB34" s="155"/>
      <c r="CC34" s="155"/>
      <c r="CD34" s="155"/>
      <c r="CE34" s="155"/>
      <c r="CF34" s="155"/>
      <c r="CG34" s="155"/>
      <c r="CH34" s="155"/>
      <c r="CI34" s="155"/>
      <c r="CJ34" s="152"/>
      <c r="CK34" s="152"/>
      <c r="CL34" s="152"/>
      <c r="CM34" s="152"/>
      <c r="CN34" s="152"/>
      <c r="CO34" s="152"/>
      <c r="CP34" s="152"/>
      <c r="CQ34" s="152"/>
      <c r="CR34" s="152"/>
      <c r="CS34" s="152"/>
      <c r="CT34" s="152"/>
      <c r="CU34" s="152"/>
      <c r="CV34" s="152"/>
      <c r="CW34" s="152"/>
      <c r="CX34" s="152"/>
      <c r="CY34" s="152"/>
      <c r="CZ34" s="152"/>
      <c r="DA34" s="152"/>
      <c r="DB34" s="152"/>
      <c r="DC34" s="152"/>
      <c r="DD34" s="152"/>
      <c r="DE34" s="152"/>
      <c r="DF34" s="152"/>
      <c r="DG34" s="152"/>
      <c r="DH34" s="152"/>
      <c r="DI34" s="152"/>
      <c r="DJ34" s="152"/>
      <c r="DK34" s="152"/>
      <c r="DL34" s="152"/>
      <c r="DM34" s="152"/>
      <c r="DN34" s="152"/>
      <c r="DO34" s="152"/>
      <c r="DP34" s="152"/>
      <c r="DQ34" s="152"/>
      <c r="DR34" s="152"/>
      <c r="DS34" s="152"/>
      <c r="DT34" s="152"/>
      <c r="DU34" s="152"/>
      <c r="DV34" s="152"/>
      <c r="DW34" s="152"/>
      <c r="DX34" s="152"/>
      <c r="DY34" s="152"/>
      <c r="DZ34" s="152"/>
      <c r="EA34" s="152"/>
      <c r="EB34" s="152"/>
      <c r="EC34" s="152"/>
      <c r="ED34" s="152"/>
      <c r="EE34" s="152"/>
      <c r="EF34" s="152"/>
      <c r="EG34" s="152"/>
      <c r="EH34" s="152"/>
      <c r="EI34" s="152"/>
      <c r="EJ34" s="152"/>
      <c r="EK34" s="152"/>
      <c r="EL34" s="152"/>
      <c r="EM34" s="152"/>
      <c r="EN34" s="152"/>
      <c r="EO34" s="152"/>
      <c r="EP34" s="152"/>
      <c r="EQ34" s="152"/>
      <c r="ER34" s="152"/>
      <c r="ES34" s="152"/>
      <c r="ET34" s="152"/>
      <c r="EU34" s="152"/>
      <c r="EV34" s="152"/>
      <c r="EW34" s="152"/>
      <c r="EX34" s="152"/>
      <c r="EY34" s="152"/>
      <c r="EZ34" s="152"/>
      <c r="FA34" s="152"/>
      <c r="FB34" s="152"/>
      <c r="FC34" s="152"/>
      <c r="FD34" s="152"/>
      <c r="FE34" s="152"/>
      <c r="FF34" s="152"/>
      <c r="FG34" s="152"/>
      <c r="FH34" s="152"/>
      <c r="FI34" s="152"/>
      <c r="FJ34" s="152"/>
      <c r="FK34" s="152"/>
      <c r="FL34" s="152"/>
      <c r="FM34" s="152"/>
      <c r="FN34" s="152"/>
      <c r="FO34" s="152"/>
      <c r="FP34" s="152"/>
      <c r="FQ34" s="152"/>
      <c r="FR34" s="152"/>
      <c r="FS34" s="152"/>
      <c r="FT34" s="152"/>
      <c r="FU34" s="152"/>
      <c r="FV34" s="152"/>
      <c r="FW34" s="152"/>
      <c r="FX34" s="152"/>
      <c r="FY34" s="152"/>
      <c r="FZ34" s="152"/>
      <c r="GA34" s="152"/>
      <c r="GB34" s="152"/>
      <c r="GC34" s="152"/>
      <c r="GD34" s="152"/>
      <c r="GE34" s="152"/>
      <c r="GF34" s="152"/>
      <c r="GG34" s="152"/>
      <c r="GH34" s="152"/>
      <c r="GI34" s="152"/>
      <c r="GJ34" s="152"/>
      <c r="GK34" s="152"/>
      <c r="GL34" s="152"/>
      <c r="GM34" s="152"/>
      <c r="GN34" s="152"/>
      <c r="GO34" s="152"/>
      <c r="GP34" s="152"/>
      <c r="GQ34" s="152"/>
      <c r="GR34" s="152"/>
      <c r="GS34" s="152"/>
      <c r="GT34" s="152"/>
      <c r="GU34" s="152"/>
      <c r="GV34" s="152"/>
      <c r="GW34" s="152"/>
      <c r="GX34" s="152"/>
      <c r="GY34" s="152"/>
      <c r="GZ34" s="152"/>
      <c r="HA34" s="152"/>
      <c r="HB34" s="152"/>
      <c r="HC34" s="152"/>
      <c r="HD34" s="152"/>
      <c r="HE34" s="152"/>
      <c r="HF34" s="152"/>
      <c r="HG34" s="152"/>
      <c r="HH34" s="152"/>
      <c r="HI34" s="152"/>
      <c r="HJ34" s="152"/>
      <c r="HK34" s="152"/>
      <c r="HL34" s="152"/>
      <c r="HM34" s="152"/>
      <c r="HN34" s="152"/>
      <c r="HO34" s="152"/>
      <c r="HP34" s="152"/>
      <c r="HQ34" s="152"/>
      <c r="HR34" s="152"/>
      <c r="HS34" s="152"/>
      <c r="HT34" s="152"/>
      <c r="HU34" s="152"/>
      <c r="HV34" s="152"/>
      <c r="HW34" s="152"/>
      <c r="HX34" s="152"/>
      <c r="HY34" s="152"/>
      <c r="HZ34" s="152"/>
      <c r="IA34" s="152"/>
      <c r="IB34" s="152"/>
      <c r="IC34" s="152"/>
      <c r="ID34" s="152"/>
      <c r="IE34" s="152"/>
      <c r="IF34" s="152"/>
      <c r="IG34" s="152"/>
      <c r="IH34" s="152"/>
      <c r="II34" s="152"/>
    </row>
    <row r="35" spans="1:243" ht="12.75" customHeight="1" x14ac:dyDescent="0.25">
      <c r="C35" t="e">
        <f>InputC!#REF!</f>
        <v>#REF!</v>
      </c>
      <c r="J35" s="54" t="s">
        <v>6</v>
      </c>
      <c r="L35" s="20" t="b">
        <f t="shared" si="1"/>
        <v>1</v>
      </c>
      <c r="P35" s="154">
        <f t="shared" si="2"/>
        <v>1</v>
      </c>
      <c r="R35" s="155">
        <v>0.34</v>
      </c>
      <c r="S35" s="155">
        <v>0.13</v>
      </c>
      <c r="T35" s="155">
        <v>0.53</v>
      </c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  <c r="AU35" s="155"/>
      <c r="AV35" s="155"/>
      <c r="AW35" s="155"/>
      <c r="AX35" s="155"/>
      <c r="AY35" s="155"/>
      <c r="AZ35" s="155"/>
      <c r="BA35" s="155"/>
      <c r="BB35" s="155"/>
      <c r="BC35" s="155"/>
      <c r="BD35" s="155"/>
      <c r="BE35" s="155"/>
      <c r="BF35" s="155"/>
      <c r="BG35" s="155"/>
      <c r="BH35" s="155"/>
      <c r="BI35" s="155"/>
      <c r="BJ35" s="155"/>
      <c r="BK35" s="155"/>
      <c r="BL35" s="155"/>
      <c r="BM35" s="155"/>
      <c r="BN35" s="155"/>
      <c r="BO35" s="155"/>
      <c r="BP35" s="155"/>
      <c r="BQ35" s="155"/>
      <c r="BR35" s="155"/>
      <c r="BS35" s="155"/>
      <c r="BT35" s="155"/>
      <c r="BU35" s="155"/>
      <c r="BV35" s="155"/>
      <c r="BW35" s="155"/>
      <c r="BX35" s="155"/>
      <c r="BY35" s="155"/>
      <c r="BZ35" s="155"/>
      <c r="CA35" s="155"/>
      <c r="CB35" s="155"/>
      <c r="CC35" s="155"/>
      <c r="CD35" s="155"/>
      <c r="CE35" s="155"/>
      <c r="CF35" s="155"/>
      <c r="CG35" s="155"/>
      <c r="CH35" s="155"/>
      <c r="CI35" s="155"/>
      <c r="CJ35" s="152"/>
      <c r="CK35" s="152"/>
      <c r="CL35" s="152"/>
      <c r="CM35" s="152"/>
      <c r="CN35" s="152"/>
      <c r="CO35" s="152"/>
      <c r="CP35" s="152"/>
      <c r="CQ35" s="152"/>
      <c r="CR35" s="152"/>
      <c r="CS35" s="152"/>
      <c r="CT35" s="152"/>
      <c r="CU35" s="152"/>
      <c r="CV35" s="152"/>
      <c r="CW35" s="152"/>
      <c r="CX35" s="152"/>
      <c r="CY35" s="152"/>
      <c r="CZ35" s="152"/>
      <c r="DA35" s="152"/>
      <c r="DB35" s="152"/>
      <c r="DC35" s="152"/>
      <c r="DD35" s="152"/>
      <c r="DE35" s="152"/>
      <c r="DF35" s="152"/>
      <c r="DG35" s="152"/>
      <c r="DH35" s="152"/>
      <c r="DI35" s="152"/>
      <c r="DJ35" s="152"/>
      <c r="DK35" s="152"/>
      <c r="DL35" s="152"/>
      <c r="DM35" s="152"/>
      <c r="DN35" s="152"/>
      <c r="DO35" s="152"/>
      <c r="DP35" s="152"/>
      <c r="DQ35" s="152"/>
      <c r="DR35" s="152"/>
      <c r="DS35" s="152"/>
      <c r="DT35" s="152"/>
      <c r="DU35" s="152"/>
      <c r="DV35" s="152"/>
      <c r="DW35" s="152"/>
      <c r="DX35" s="152"/>
      <c r="DY35" s="152"/>
      <c r="DZ35" s="152"/>
      <c r="EA35" s="152"/>
      <c r="EB35" s="152"/>
      <c r="EC35" s="152"/>
      <c r="ED35" s="152"/>
      <c r="EE35" s="152"/>
      <c r="EF35" s="152"/>
      <c r="EG35" s="152"/>
      <c r="EH35" s="152"/>
      <c r="EI35" s="152"/>
      <c r="EJ35" s="152"/>
      <c r="EK35" s="152"/>
      <c r="EL35" s="152"/>
      <c r="EM35" s="152"/>
      <c r="EN35" s="152"/>
      <c r="EO35" s="152"/>
      <c r="EP35" s="152"/>
      <c r="EQ35" s="152"/>
      <c r="ER35" s="152"/>
      <c r="ES35" s="152"/>
      <c r="ET35" s="152"/>
      <c r="EU35" s="152"/>
      <c r="EV35" s="152"/>
      <c r="EW35" s="152"/>
      <c r="EX35" s="152"/>
      <c r="EY35" s="152"/>
      <c r="EZ35" s="152"/>
      <c r="FA35" s="152"/>
      <c r="FB35" s="152"/>
      <c r="FC35" s="152"/>
      <c r="FD35" s="152"/>
      <c r="FE35" s="152"/>
      <c r="FF35" s="152"/>
      <c r="FG35" s="152"/>
      <c r="FH35" s="152"/>
      <c r="FI35" s="152"/>
      <c r="FJ35" s="152"/>
      <c r="FK35" s="152"/>
      <c r="FL35" s="152"/>
      <c r="FM35" s="152"/>
      <c r="FN35" s="152"/>
      <c r="FO35" s="152"/>
      <c r="FP35" s="152"/>
      <c r="FQ35" s="152"/>
      <c r="FR35" s="152"/>
      <c r="FS35" s="152"/>
      <c r="FT35" s="152"/>
      <c r="FU35" s="152"/>
      <c r="FV35" s="152"/>
      <c r="FW35" s="152"/>
      <c r="FX35" s="152"/>
      <c r="FY35" s="152"/>
      <c r="FZ35" s="152"/>
      <c r="GA35" s="152"/>
      <c r="GB35" s="152"/>
      <c r="GC35" s="152"/>
      <c r="GD35" s="152"/>
      <c r="GE35" s="152"/>
      <c r="GF35" s="152"/>
      <c r="GG35" s="152"/>
      <c r="GH35" s="152"/>
      <c r="GI35" s="152"/>
      <c r="GJ35" s="152"/>
      <c r="GK35" s="152"/>
      <c r="GL35" s="152"/>
      <c r="GM35" s="152"/>
      <c r="GN35" s="152"/>
      <c r="GO35" s="152"/>
      <c r="GP35" s="152"/>
      <c r="GQ35" s="152"/>
      <c r="GR35" s="152"/>
      <c r="GS35" s="152"/>
      <c r="GT35" s="152"/>
      <c r="GU35" s="152"/>
      <c r="GV35" s="152"/>
      <c r="GW35" s="152"/>
      <c r="GX35" s="152"/>
      <c r="GY35" s="152"/>
      <c r="GZ35" s="152"/>
      <c r="HA35" s="152"/>
      <c r="HB35" s="152"/>
      <c r="HC35" s="152"/>
      <c r="HD35" s="152"/>
      <c r="HE35" s="152"/>
      <c r="HF35" s="152"/>
      <c r="HG35" s="152"/>
      <c r="HH35" s="152"/>
      <c r="HI35" s="152"/>
      <c r="HJ35" s="152"/>
      <c r="HK35" s="152"/>
      <c r="HL35" s="152"/>
      <c r="HM35" s="152"/>
      <c r="HN35" s="152"/>
      <c r="HO35" s="152"/>
      <c r="HP35" s="152"/>
      <c r="HQ35" s="152"/>
      <c r="HR35" s="152"/>
      <c r="HS35" s="152"/>
      <c r="HT35" s="152"/>
      <c r="HU35" s="152"/>
      <c r="HV35" s="152"/>
      <c r="HW35" s="152"/>
      <c r="HX35" s="152"/>
      <c r="HY35" s="152"/>
      <c r="HZ35" s="152"/>
      <c r="IA35" s="152"/>
      <c r="IB35" s="152"/>
      <c r="IC35" s="152"/>
      <c r="ID35" s="152"/>
      <c r="IE35" s="152"/>
      <c r="IF35" s="152"/>
      <c r="IG35" s="152"/>
      <c r="IH35" s="152"/>
      <c r="II35" s="152"/>
    </row>
    <row r="36" spans="1:243" ht="12.75" customHeight="1" x14ac:dyDescent="0.25">
      <c r="C36" t="e">
        <f>InputC!#REF!</f>
        <v>#REF!</v>
      </c>
      <c r="J36" s="54" t="s">
        <v>6</v>
      </c>
      <c r="L36" s="20" t="b">
        <f t="shared" si="1"/>
        <v>1</v>
      </c>
      <c r="P36" s="154">
        <f t="shared" si="2"/>
        <v>1</v>
      </c>
      <c r="R36" s="155">
        <v>0.34</v>
      </c>
      <c r="S36" s="155">
        <v>0.28000000000000003</v>
      </c>
      <c r="T36" s="155">
        <v>0.37999999999999989</v>
      </c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  <c r="AU36" s="155"/>
      <c r="AV36" s="155"/>
      <c r="AW36" s="155"/>
      <c r="AX36" s="155"/>
      <c r="AY36" s="155"/>
      <c r="AZ36" s="155"/>
      <c r="BA36" s="155"/>
      <c r="BB36" s="155"/>
      <c r="BC36" s="155"/>
      <c r="BD36" s="155"/>
      <c r="BE36" s="155"/>
      <c r="BF36" s="155"/>
      <c r="BG36" s="155"/>
      <c r="BH36" s="155"/>
      <c r="BI36" s="155"/>
      <c r="BJ36" s="155"/>
      <c r="BK36" s="155"/>
      <c r="BL36" s="155"/>
      <c r="BM36" s="155"/>
      <c r="BN36" s="155"/>
      <c r="BO36" s="155"/>
      <c r="BP36" s="155"/>
      <c r="BQ36" s="155"/>
      <c r="BR36" s="155"/>
      <c r="BS36" s="155"/>
      <c r="BT36" s="155"/>
      <c r="BU36" s="155"/>
      <c r="BV36" s="155"/>
      <c r="BW36" s="155"/>
      <c r="BX36" s="155"/>
      <c r="BY36" s="155"/>
      <c r="BZ36" s="155"/>
      <c r="CA36" s="155"/>
      <c r="CB36" s="155"/>
      <c r="CC36" s="155"/>
      <c r="CD36" s="155"/>
      <c r="CE36" s="155"/>
      <c r="CF36" s="155"/>
      <c r="CG36" s="155"/>
      <c r="CH36" s="155"/>
      <c r="CI36" s="155"/>
      <c r="CJ36" s="152"/>
      <c r="CK36" s="152"/>
      <c r="CL36" s="152"/>
      <c r="CM36" s="152"/>
      <c r="CN36" s="152"/>
      <c r="CO36" s="152"/>
      <c r="CP36" s="152"/>
      <c r="CQ36" s="152"/>
      <c r="CR36" s="152"/>
      <c r="CS36" s="152"/>
      <c r="CT36" s="152"/>
      <c r="CU36" s="152"/>
      <c r="CV36" s="152"/>
      <c r="CW36" s="152"/>
      <c r="CX36" s="152"/>
      <c r="CY36" s="152"/>
      <c r="CZ36" s="152"/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152"/>
      <c r="DL36" s="152"/>
      <c r="DM36" s="152"/>
      <c r="DN36" s="152"/>
      <c r="DO36" s="152"/>
      <c r="DP36" s="152"/>
      <c r="DQ36" s="152"/>
      <c r="DR36" s="152"/>
      <c r="DS36" s="152"/>
      <c r="DT36" s="152"/>
      <c r="DU36" s="152"/>
      <c r="DV36" s="152"/>
      <c r="DW36" s="152"/>
      <c r="DX36" s="152"/>
      <c r="DY36" s="152"/>
      <c r="DZ36" s="152"/>
      <c r="EA36" s="152"/>
      <c r="EB36" s="152"/>
      <c r="EC36" s="152"/>
      <c r="ED36" s="152"/>
      <c r="EE36" s="152"/>
      <c r="EF36" s="152"/>
      <c r="EG36" s="152"/>
      <c r="EH36" s="152"/>
      <c r="EI36" s="152"/>
      <c r="EJ36" s="152"/>
      <c r="EK36" s="152"/>
      <c r="EL36" s="152"/>
      <c r="EM36" s="152"/>
      <c r="EN36" s="152"/>
      <c r="EO36" s="152"/>
      <c r="EP36" s="152"/>
      <c r="EQ36" s="152"/>
      <c r="ER36" s="152"/>
      <c r="ES36" s="152"/>
      <c r="ET36" s="152"/>
      <c r="EU36" s="152"/>
      <c r="EV36" s="152"/>
      <c r="EW36" s="152"/>
      <c r="EX36" s="152"/>
      <c r="EY36" s="152"/>
      <c r="EZ36" s="152"/>
      <c r="FA36" s="152"/>
      <c r="FB36" s="152"/>
      <c r="FC36" s="152"/>
      <c r="FD36" s="152"/>
      <c r="FE36" s="152"/>
      <c r="FF36" s="152"/>
      <c r="FG36" s="152"/>
      <c r="FH36" s="152"/>
      <c r="FI36" s="152"/>
      <c r="FJ36" s="152"/>
      <c r="FK36" s="152"/>
      <c r="FL36" s="152"/>
      <c r="FM36" s="152"/>
      <c r="FN36" s="152"/>
      <c r="FO36" s="152"/>
      <c r="FP36" s="152"/>
      <c r="FQ36" s="152"/>
      <c r="FR36" s="152"/>
      <c r="FS36" s="152"/>
      <c r="FT36" s="152"/>
      <c r="FU36" s="152"/>
      <c r="FV36" s="152"/>
      <c r="FW36" s="152"/>
      <c r="FX36" s="152"/>
      <c r="FY36" s="152"/>
      <c r="FZ36" s="152"/>
      <c r="GA36" s="152"/>
      <c r="GB36" s="152"/>
      <c r="GC36" s="152"/>
      <c r="GD36" s="152"/>
      <c r="GE36" s="152"/>
      <c r="GF36" s="152"/>
      <c r="GG36" s="152"/>
      <c r="GH36" s="152"/>
      <c r="GI36" s="152"/>
      <c r="GJ36" s="152"/>
      <c r="GK36" s="152"/>
      <c r="GL36" s="152"/>
      <c r="GM36" s="152"/>
      <c r="GN36" s="152"/>
      <c r="GO36" s="152"/>
      <c r="GP36" s="152"/>
      <c r="GQ36" s="152"/>
      <c r="GR36" s="152"/>
      <c r="GS36" s="152"/>
      <c r="GT36" s="152"/>
      <c r="GU36" s="152"/>
      <c r="GV36" s="152"/>
      <c r="GW36" s="152"/>
      <c r="GX36" s="152"/>
      <c r="GY36" s="152"/>
      <c r="GZ36" s="152"/>
      <c r="HA36" s="152"/>
      <c r="HB36" s="152"/>
      <c r="HC36" s="152"/>
      <c r="HD36" s="152"/>
      <c r="HE36" s="152"/>
      <c r="HF36" s="152"/>
      <c r="HG36" s="152"/>
      <c r="HH36" s="152"/>
      <c r="HI36" s="152"/>
      <c r="HJ36" s="152"/>
      <c r="HK36" s="152"/>
      <c r="HL36" s="152"/>
      <c r="HM36" s="152"/>
      <c r="HN36" s="152"/>
      <c r="HO36" s="152"/>
      <c r="HP36" s="152"/>
      <c r="HQ36" s="152"/>
      <c r="HR36" s="152"/>
      <c r="HS36" s="152"/>
      <c r="HT36" s="152"/>
      <c r="HU36" s="152"/>
      <c r="HV36" s="152"/>
      <c r="HW36" s="152"/>
      <c r="HX36" s="152"/>
      <c r="HY36" s="152"/>
      <c r="HZ36" s="152"/>
      <c r="IA36" s="152"/>
      <c r="IB36" s="152"/>
      <c r="IC36" s="152"/>
      <c r="ID36" s="152"/>
      <c r="IE36" s="152"/>
      <c r="IF36" s="152"/>
      <c r="IG36" s="152"/>
      <c r="IH36" s="152"/>
      <c r="II36" s="152"/>
    </row>
    <row r="37" spans="1:243" ht="12.75" customHeight="1" x14ac:dyDescent="0.25">
      <c r="C37" t="e">
        <f>InputC!#REF!</f>
        <v>#REF!</v>
      </c>
      <c r="J37" s="54" t="s">
        <v>6</v>
      </c>
      <c r="L37" s="20" t="b">
        <f t="shared" si="1"/>
        <v>1</v>
      </c>
      <c r="P37" s="154">
        <f t="shared" si="2"/>
        <v>1</v>
      </c>
      <c r="R37" s="155">
        <v>0.53</v>
      </c>
      <c r="S37" s="155">
        <v>0.23</v>
      </c>
      <c r="T37" s="155">
        <v>0.24</v>
      </c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  <c r="AU37" s="155"/>
      <c r="AV37" s="155"/>
      <c r="AW37" s="155"/>
      <c r="AX37" s="155"/>
      <c r="AY37" s="155"/>
      <c r="AZ37" s="155"/>
      <c r="BA37" s="155"/>
      <c r="BB37" s="155"/>
      <c r="BC37" s="155"/>
      <c r="BD37" s="155"/>
      <c r="BE37" s="155"/>
      <c r="BF37" s="155"/>
      <c r="BG37" s="155"/>
      <c r="BH37" s="155"/>
      <c r="BI37" s="155"/>
      <c r="BJ37" s="155"/>
      <c r="BK37" s="155"/>
      <c r="BL37" s="155"/>
      <c r="BM37" s="155"/>
      <c r="BN37" s="155"/>
      <c r="BO37" s="155"/>
      <c r="BP37" s="155"/>
      <c r="BQ37" s="155"/>
      <c r="BR37" s="155"/>
      <c r="BS37" s="155"/>
      <c r="BT37" s="155"/>
      <c r="BU37" s="155"/>
      <c r="BV37" s="155"/>
      <c r="BW37" s="155"/>
      <c r="BX37" s="155"/>
      <c r="BY37" s="155"/>
      <c r="BZ37" s="155"/>
      <c r="CA37" s="155"/>
      <c r="CB37" s="155"/>
      <c r="CC37" s="155"/>
      <c r="CD37" s="155"/>
      <c r="CE37" s="155"/>
      <c r="CF37" s="155"/>
      <c r="CG37" s="155"/>
      <c r="CH37" s="155"/>
      <c r="CI37" s="155"/>
      <c r="CJ37" s="152"/>
      <c r="CK37" s="152"/>
      <c r="CL37" s="152"/>
      <c r="CM37" s="152"/>
      <c r="CN37" s="152"/>
      <c r="CO37" s="152"/>
      <c r="CP37" s="152"/>
      <c r="CQ37" s="152"/>
      <c r="CR37" s="152"/>
      <c r="CS37" s="152"/>
      <c r="CT37" s="152"/>
      <c r="CU37" s="152"/>
      <c r="CV37" s="152"/>
      <c r="CW37" s="152"/>
      <c r="CX37" s="152"/>
      <c r="CY37" s="152"/>
      <c r="CZ37" s="152"/>
      <c r="DA37" s="152"/>
      <c r="DB37" s="152"/>
      <c r="DC37" s="152"/>
      <c r="DD37" s="152"/>
      <c r="DE37" s="152"/>
      <c r="DF37" s="152"/>
      <c r="DG37" s="152"/>
      <c r="DH37" s="152"/>
      <c r="DI37" s="152"/>
      <c r="DJ37" s="152"/>
      <c r="DK37" s="152"/>
      <c r="DL37" s="152"/>
      <c r="DM37" s="152"/>
      <c r="DN37" s="152"/>
      <c r="DO37" s="152"/>
      <c r="DP37" s="152"/>
      <c r="DQ37" s="152"/>
      <c r="DR37" s="152"/>
      <c r="DS37" s="152"/>
      <c r="DT37" s="152"/>
      <c r="DU37" s="152"/>
      <c r="DV37" s="152"/>
      <c r="DW37" s="152"/>
      <c r="DX37" s="152"/>
      <c r="DY37" s="152"/>
      <c r="DZ37" s="152"/>
      <c r="EA37" s="152"/>
      <c r="EB37" s="152"/>
      <c r="EC37" s="152"/>
      <c r="ED37" s="152"/>
      <c r="EE37" s="152"/>
      <c r="EF37" s="152"/>
      <c r="EG37" s="152"/>
      <c r="EH37" s="152"/>
      <c r="EI37" s="152"/>
      <c r="EJ37" s="152"/>
      <c r="EK37" s="152"/>
      <c r="EL37" s="152"/>
      <c r="EM37" s="152"/>
      <c r="EN37" s="152"/>
      <c r="EO37" s="152"/>
      <c r="EP37" s="152"/>
      <c r="EQ37" s="152"/>
      <c r="ER37" s="152"/>
      <c r="ES37" s="152"/>
      <c r="ET37" s="152"/>
      <c r="EU37" s="152"/>
      <c r="EV37" s="152"/>
      <c r="EW37" s="152"/>
      <c r="EX37" s="152"/>
      <c r="EY37" s="152"/>
      <c r="EZ37" s="152"/>
      <c r="FA37" s="152"/>
      <c r="FB37" s="152"/>
      <c r="FC37" s="152"/>
      <c r="FD37" s="152"/>
      <c r="FE37" s="152"/>
      <c r="FF37" s="152"/>
      <c r="FG37" s="152"/>
      <c r="FH37" s="152"/>
      <c r="FI37" s="152"/>
      <c r="FJ37" s="152"/>
      <c r="FK37" s="152"/>
      <c r="FL37" s="152"/>
      <c r="FM37" s="152"/>
      <c r="FN37" s="152"/>
      <c r="FO37" s="152"/>
      <c r="FP37" s="152"/>
      <c r="FQ37" s="152"/>
      <c r="FR37" s="152"/>
      <c r="FS37" s="152"/>
      <c r="FT37" s="152"/>
      <c r="FU37" s="152"/>
      <c r="FV37" s="152"/>
      <c r="FW37" s="152"/>
      <c r="FX37" s="152"/>
      <c r="FY37" s="152"/>
      <c r="FZ37" s="152"/>
      <c r="GA37" s="152"/>
      <c r="GB37" s="152"/>
      <c r="GC37" s="152"/>
      <c r="GD37" s="152"/>
      <c r="GE37" s="152"/>
      <c r="GF37" s="152"/>
      <c r="GG37" s="152"/>
      <c r="GH37" s="152"/>
      <c r="GI37" s="152"/>
      <c r="GJ37" s="152"/>
      <c r="GK37" s="152"/>
      <c r="GL37" s="152"/>
      <c r="GM37" s="152"/>
      <c r="GN37" s="152"/>
      <c r="GO37" s="152"/>
      <c r="GP37" s="152"/>
      <c r="GQ37" s="152"/>
      <c r="GR37" s="152"/>
      <c r="GS37" s="152"/>
      <c r="GT37" s="152"/>
      <c r="GU37" s="152"/>
      <c r="GV37" s="152"/>
      <c r="GW37" s="152"/>
      <c r="GX37" s="152"/>
      <c r="GY37" s="152"/>
      <c r="GZ37" s="152"/>
      <c r="HA37" s="152"/>
      <c r="HB37" s="152"/>
      <c r="HC37" s="152"/>
      <c r="HD37" s="152"/>
      <c r="HE37" s="152"/>
      <c r="HF37" s="152"/>
      <c r="HG37" s="152"/>
      <c r="HH37" s="152"/>
      <c r="HI37" s="152"/>
      <c r="HJ37" s="152"/>
      <c r="HK37" s="152"/>
      <c r="HL37" s="152"/>
      <c r="HM37" s="152"/>
      <c r="HN37" s="152"/>
      <c r="HO37" s="152"/>
      <c r="HP37" s="152"/>
      <c r="HQ37" s="152"/>
      <c r="HR37" s="152"/>
      <c r="HS37" s="152"/>
      <c r="HT37" s="152"/>
      <c r="HU37" s="152"/>
      <c r="HV37" s="152"/>
      <c r="HW37" s="152"/>
      <c r="HX37" s="152"/>
      <c r="HY37" s="152"/>
      <c r="HZ37" s="152"/>
      <c r="IA37" s="152"/>
      <c r="IB37" s="152"/>
      <c r="IC37" s="152"/>
      <c r="ID37" s="152"/>
      <c r="IE37" s="152"/>
      <c r="IF37" s="152"/>
      <c r="IG37" s="152"/>
      <c r="IH37" s="152"/>
      <c r="II37" s="152"/>
    </row>
    <row r="38" spans="1:243" ht="12.75" customHeight="1" x14ac:dyDescent="0.25">
      <c r="C38" t="e">
        <f>InputC!#REF!</f>
        <v>#REF!</v>
      </c>
      <c r="J38" s="54" t="s">
        <v>6</v>
      </c>
      <c r="L38" s="20" t="b">
        <f t="shared" si="1"/>
        <v>1</v>
      </c>
      <c r="P38" s="154">
        <f t="shared" si="2"/>
        <v>1</v>
      </c>
      <c r="R38" s="155">
        <v>0.51</v>
      </c>
      <c r="S38" s="155">
        <v>0.28000000000000003</v>
      </c>
      <c r="T38" s="155">
        <v>0.20999999999999996</v>
      </c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  <c r="AU38" s="155"/>
      <c r="AV38" s="155"/>
      <c r="AW38" s="155"/>
      <c r="AX38" s="155"/>
      <c r="AY38" s="155"/>
      <c r="AZ38" s="155"/>
      <c r="BA38" s="155"/>
      <c r="BB38" s="155"/>
      <c r="BC38" s="155"/>
      <c r="BD38" s="155"/>
      <c r="BE38" s="155"/>
      <c r="BF38" s="155"/>
      <c r="BG38" s="155"/>
      <c r="BH38" s="155"/>
      <c r="BI38" s="155"/>
      <c r="BJ38" s="155"/>
      <c r="BK38" s="155"/>
      <c r="BL38" s="155"/>
      <c r="BM38" s="155"/>
      <c r="BN38" s="155"/>
      <c r="BO38" s="155"/>
      <c r="BP38" s="155"/>
      <c r="BQ38" s="155"/>
      <c r="BR38" s="155"/>
      <c r="BS38" s="155"/>
      <c r="BT38" s="155"/>
      <c r="BU38" s="155"/>
      <c r="BV38" s="155"/>
      <c r="BW38" s="155"/>
      <c r="BX38" s="155"/>
      <c r="BY38" s="155"/>
      <c r="BZ38" s="155"/>
      <c r="CA38" s="155"/>
      <c r="CB38" s="155"/>
      <c r="CC38" s="155"/>
      <c r="CD38" s="155"/>
      <c r="CE38" s="155"/>
      <c r="CF38" s="155"/>
      <c r="CG38" s="155"/>
      <c r="CH38" s="155"/>
      <c r="CI38" s="155"/>
      <c r="CJ38" s="152"/>
      <c r="CK38" s="152"/>
      <c r="CL38" s="152"/>
      <c r="CM38" s="152"/>
      <c r="CN38" s="152"/>
      <c r="CO38" s="152"/>
      <c r="CP38" s="152"/>
      <c r="CQ38" s="152"/>
      <c r="CR38" s="152"/>
      <c r="CS38" s="152"/>
      <c r="CT38" s="152"/>
      <c r="CU38" s="152"/>
      <c r="CV38" s="152"/>
      <c r="CW38" s="152"/>
      <c r="CX38" s="152"/>
      <c r="CY38" s="152"/>
      <c r="CZ38" s="152"/>
      <c r="DA38" s="152"/>
      <c r="DB38" s="152"/>
      <c r="DC38" s="152"/>
      <c r="DD38" s="152"/>
      <c r="DE38" s="152"/>
      <c r="DF38" s="152"/>
      <c r="DG38" s="152"/>
      <c r="DH38" s="152"/>
      <c r="DI38" s="152"/>
      <c r="DJ38" s="152"/>
      <c r="DK38" s="152"/>
      <c r="DL38" s="152"/>
      <c r="DM38" s="152"/>
      <c r="DN38" s="152"/>
      <c r="DO38" s="152"/>
      <c r="DP38" s="152"/>
      <c r="DQ38" s="152"/>
      <c r="DR38" s="152"/>
      <c r="DS38" s="152"/>
      <c r="DT38" s="152"/>
      <c r="DU38" s="152"/>
      <c r="DV38" s="152"/>
      <c r="DW38" s="152"/>
      <c r="DX38" s="152"/>
      <c r="DY38" s="152"/>
      <c r="DZ38" s="152"/>
      <c r="EA38" s="152"/>
      <c r="EB38" s="152"/>
      <c r="EC38" s="152"/>
      <c r="ED38" s="152"/>
      <c r="EE38" s="152"/>
      <c r="EF38" s="152"/>
      <c r="EG38" s="152"/>
      <c r="EH38" s="152"/>
      <c r="EI38" s="152"/>
      <c r="EJ38" s="152"/>
      <c r="EK38" s="152"/>
      <c r="EL38" s="152"/>
      <c r="EM38" s="152"/>
      <c r="EN38" s="152"/>
      <c r="EO38" s="152"/>
      <c r="EP38" s="152"/>
      <c r="EQ38" s="152"/>
      <c r="ER38" s="152"/>
      <c r="ES38" s="152"/>
      <c r="ET38" s="152"/>
      <c r="EU38" s="152"/>
      <c r="EV38" s="152"/>
      <c r="EW38" s="152"/>
      <c r="EX38" s="152"/>
      <c r="EY38" s="152"/>
      <c r="EZ38" s="152"/>
      <c r="FA38" s="152"/>
      <c r="FB38" s="152"/>
      <c r="FC38" s="152"/>
      <c r="FD38" s="152"/>
      <c r="FE38" s="152"/>
      <c r="FF38" s="152"/>
      <c r="FG38" s="152"/>
      <c r="FH38" s="152"/>
      <c r="FI38" s="152"/>
      <c r="FJ38" s="152"/>
      <c r="FK38" s="152"/>
      <c r="FL38" s="152"/>
      <c r="FM38" s="152"/>
      <c r="FN38" s="152"/>
      <c r="FO38" s="152"/>
      <c r="FP38" s="152"/>
      <c r="FQ38" s="152"/>
      <c r="FR38" s="152"/>
      <c r="FS38" s="152"/>
      <c r="FT38" s="152"/>
      <c r="FU38" s="152"/>
      <c r="FV38" s="152"/>
      <c r="FW38" s="152"/>
      <c r="FX38" s="152"/>
      <c r="FY38" s="152"/>
      <c r="FZ38" s="152"/>
      <c r="GA38" s="152"/>
      <c r="GB38" s="152"/>
      <c r="GC38" s="152"/>
      <c r="GD38" s="152"/>
      <c r="GE38" s="152"/>
      <c r="GF38" s="152"/>
      <c r="GG38" s="152"/>
      <c r="GH38" s="152"/>
      <c r="GI38" s="152"/>
      <c r="GJ38" s="152"/>
      <c r="GK38" s="152"/>
      <c r="GL38" s="152"/>
      <c r="GM38" s="152"/>
      <c r="GN38" s="152"/>
      <c r="GO38" s="152"/>
      <c r="GP38" s="152"/>
      <c r="GQ38" s="152"/>
      <c r="GR38" s="152"/>
      <c r="GS38" s="152"/>
      <c r="GT38" s="152"/>
      <c r="GU38" s="152"/>
      <c r="GV38" s="152"/>
      <c r="GW38" s="152"/>
      <c r="GX38" s="152"/>
      <c r="GY38" s="152"/>
      <c r="GZ38" s="152"/>
      <c r="HA38" s="152"/>
      <c r="HB38" s="152"/>
      <c r="HC38" s="152"/>
      <c r="HD38" s="152"/>
      <c r="HE38" s="152"/>
      <c r="HF38" s="152"/>
      <c r="HG38" s="152"/>
      <c r="HH38" s="152"/>
      <c r="HI38" s="152"/>
      <c r="HJ38" s="152"/>
      <c r="HK38" s="152"/>
      <c r="HL38" s="152"/>
      <c r="HM38" s="152"/>
      <c r="HN38" s="152"/>
      <c r="HO38" s="152"/>
      <c r="HP38" s="152"/>
      <c r="HQ38" s="152"/>
      <c r="HR38" s="152"/>
      <c r="HS38" s="152"/>
      <c r="HT38" s="152"/>
      <c r="HU38" s="152"/>
      <c r="HV38" s="152"/>
      <c r="HW38" s="152"/>
      <c r="HX38" s="152"/>
      <c r="HY38" s="152"/>
      <c r="HZ38" s="152"/>
      <c r="IA38" s="152"/>
      <c r="IB38" s="152"/>
      <c r="IC38" s="152"/>
      <c r="ID38" s="152"/>
      <c r="IE38" s="152"/>
      <c r="IF38" s="152"/>
      <c r="IG38" s="152"/>
      <c r="IH38" s="152"/>
      <c r="II38" s="152"/>
    </row>
    <row r="39" spans="1:243" ht="12.75" customHeight="1" x14ac:dyDescent="0.25">
      <c r="C39" t="e">
        <f>InputC!#REF!</f>
        <v>#REF!</v>
      </c>
      <c r="J39" s="54" t="s">
        <v>6</v>
      </c>
      <c r="L39" s="156"/>
      <c r="P39" s="154">
        <f t="shared" si="2"/>
        <v>0</v>
      </c>
      <c r="R39" s="155"/>
      <c r="S39" s="155"/>
      <c r="T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  <c r="AU39" s="155"/>
      <c r="AV39" s="155"/>
      <c r="AW39" s="155"/>
      <c r="AX39" s="155"/>
      <c r="AY39" s="155"/>
      <c r="AZ39" s="155"/>
      <c r="BA39" s="155"/>
      <c r="BB39" s="155"/>
      <c r="BC39" s="155"/>
      <c r="BD39" s="155"/>
      <c r="BE39" s="155"/>
      <c r="BF39" s="155"/>
      <c r="BG39" s="155"/>
      <c r="BH39" s="155"/>
      <c r="BI39" s="155"/>
      <c r="BJ39" s="155"/>
      <c r="BK39" s="155"/>
      <c r="BL39" s="155"/>
      <c r="BM39" s="155"/>
      <c r="BN39" s="155"/>
      <c r="BO39" s="155"/>
      <c r="BP39" s="155"/>
      <c r="BQ39" s="155"/>
      <c r="BR39" s="155"/>
      <c r="BS39" s="155"/>
      <c r="BT39" s="155"/>
      <c r="BU39" s="155"/>
      <c r="BV39" s="155"/>
      <c r="BW39" s="155"/>
      <c r="BX39" s="155"/>
      <c r="BY39" s="155"/>
      <c r="BZ39" s="155"/>
      <c r="CA39" s="155"/>
      <c r="CB39" s="155"/>
      <c r="CC39" s="155"/>
      <c r="CD39" s="155"/>
      <c r="CE39" s="155"/>
      <c r="CF39" s="155"/>
      <c r="CG39" s="155"/>
      <c r="CH39" s="155"/>
      <c r="CI39" s="155"/>
      <c r="CJ39" s="152"/>
      <c r="CK39" s="152"/>
      <c r="CL39" s="152"/>
      <c r="CM39" s="152"/>
      <c r="CN39" s="152"/>
      <c r="CO39" s="152"/>
      <c r="CP39" s="152"/>
      <c r="CQ39" s="152"/>
      <c r="CR39" s="152"/>
      <c r="CS39" s="152"/>
      <c r="CT39" s="152"/>
      <c r="CU39" s="152"/>
      <c r="CV39" s="152"/>
      <c r="CW39" s="152"/>
      <c r="CX39" s="152"/>
      <c r="CY39" s="152"/>
      <c r="CZ39" s="152"/>
      <c r="DA39" s="152"/>
      <c r="DB39" s="152"/>
      <c r="DC39" s="152"/>
      <c r="DD39" s="152"/>
      <c r="DE39" s="152"/>
      <c r="DF39" s="152"/>
      <c r="DG39" s="152"/>
      <c r="DH39" s="152"/>
      <c r="DI39" s="152"/>
      <c r="DJ39" s="152"/>
      <c r="DK39" s="152"/>
      <c r="DL39" s="152"/>
      <c r="DM39" s="152"/>
      <c r="DN39" s="152"/>
      <c r="DO39" s="152"/>
      <c r="DP39" s="152"/>
      <c r="DQ39" s="152"/>
      <c r="DR39" s="152"/>
      <c r="DS39" s="152"/>
      <c r="DT39" s="152"/>
      <c r="DU39" s="152"/>
      <c r="DV39" s="152"/>
      <c r="DW39" s="152"/>
      <c r="DX39" s="152"/>
      <c r="DY39" s="152"/>
      <c r="DZ39" s="152"/>
      <c r="EA39" s="152"/>
      <c r="EB39" s="152"/>
      <c r="EC39" s="152"/>
      <c r="ED39" s="152"/>
      <c r="EE39" s="152"/>
      <c r="EF39" s="152"/>
      <c r="EG39" s="152"/>
      <c r="EH39" s="152"/>
      <c r="EI39" s="152"/>
      <c r="EJ39" s="152"/>
      <c r="EK39" s="152"/>
      <c r="EL39" s="152"/>
      <c r="EM39" s="152"/>
      <c r="EN39" s="152"/>
      <c r="EO39" s="152"/>
      <c r="EP39" s="152"/>
      <c r="EQ39" s="152"/>
      <c r="ER39" s="152"/>
      <c r="ES39" s="152"/>
      <c r="ET39" s="152"/>
      <c r="EU39" s="152"/>
      <c r="EV39" s="152"/>
      <c r="EW39" s="152"/>
      <c r="EX39" s="152"/>
      <c r="EY39" s="152"/>
      <c r="EZ39" s="152"/>
      <c r="FA39" s="152"/>
      <c r="FB39" s="152"/>
      <c r="FC39" s="152"/>
      <c r="FD39" s="152"/>
      <c r="FE39" s="152"/>
      <c r="FF39" s="152"/>
      <c r="FG39" s="152"/>
      <c r="FH39" s="152"/>
      <c r="FI39" s="152"/>
      <c r="FJ39" s="152"/>
      <c r="FK39" s="152"/>
      <c r="FL39" s="152"/>
      <c r="FM39" s="152"/>
      <c r="FN39" s="152"/>
      <c r="FO39" s="152"/>
      <c r="FP39" s="152"/>
      <c r="FQ39" s="152"/>
      <c r="FR39" s="152"/>
      <c r="FS39" s="152"/>
      <c r="FT39" s="152"/>
      <c r="FU39" s="152"/>
      <c r="FV39" s="152"/>
      <c r="FW39" s="152"/>
      <c r="FX39" s="152"/>
      <c r="FY39" s="152"/>
      <c r="FZ39" s="152"/>
      <c r="GA39" s="152"/>
      <c r="GB39" s="152"/>
      <c r="GC39" s="152"/>
      <c r="GD39" s="152"/>
      <c r="GE39" s="152"/>
      <c r="GF39" s="152"/>
      <c r="GG39" s="152"/>
      <c r="GH39" s="152"/>
      <c r="GI39" s="152"/>
      <c r="GJ39" s="152"/>
      <c r="GK39" s="152"/>
      <c r="GL39" s="152"/>
      <c r="GM39" s="152"/>
      <c r="GN39" s="152"/>
      <c r="GO39" s="152"/>
      <c r="GP39" s="152"/>
      <c r="GQ39" s="152"/>
      <c r="GR39" s="152"/>
      <c r="GS39" s="152"/>
      <c r="GT39" s="152"/>
      <c r="GU39" s="152"/>
      <c r="GV39" s="152"/>
      <c r="GW39" s="152"/>
      <c r="GX39" s="152"/>
      <c r="GY39" s="152"/>
      <c r="GZ39" s="152"/>
      <c r="HA39" s="152"/>
      <c r="HB39" s="152"/>
      <c r="HC39" s="152"/>
      <c r="HD39" s="152"/>
      <c r="HE39" s="152"/>
      <c r="HF39" s="152"/>
      <c r="HG39" s="152"/>
      <c r="HH39" s="152"/>
      <c r="HI39" s="152"/>
      <c r="HJ39" s="152"/>
      <c r="HK39" s="152"/>
      <c r="HL39" s="152"/>
      <c r="HM39" s="152"/>
      <c r="HN39" s="152"/>
      <c r="HO39" s="152"/>
      <c r="HP39" s="152"/>
      <c r="HQ39" s="152"/>
      <c r="HR39" s="152"/>
      <c r="HS39" s="152"/>
      <c r="HT39" s="152"/>
      <c r="HU39" s="152"/>
      <c r="HV39" s="152"/>
      <c r="HW39" s="152"/>
      <c r="HX39" s="152"/>
      <c r="HY39" s="152"/>
      <c r="HZ39" s="152"/>
      <c r="IA39" s="152"/>
      <c r="IB39" s="152"/>
      <c r="IC39" s="152"/>
      <c r="ID39" s="152"/>
      <c r="IE39" s="152"/>
      <c r="IF39" s="152"/>
      <c r="IG39" s="152"/>
      <c r="IH39" s="152"/>
      <c r="II39" s="152"/>
    </row>
    <row r="40" spans="1:243" ht="12.75" customHeight="1" x14ac:dyDescent="0.25">
      <c r="C40" t="str">
        <f>InputC!C30</f>
        <v>[Spare]</v>
      </c>
      <c r="J40" s="54" t="s">
        <v>6</v>
      </c>
      <c r="L40" s="156"/>
      <c r="P40" s="154">
        <f t="shared" si="2"/>
        <v>0</v>
      </c>
      <c r="R40" s="155"/>
      <c r="S40" s="155"/>
      <c r="T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2"/>
      <c r="CK40" s="152"/>
      <c r="CL40" s="152"/>
      <c r="CM40" s="152"/>
      <c r="CN40" s="152"/>
      <c r="CO40" s="152"/>
      <c r="CP40" s="152"/>
      <c r="CQ40" s="152"/>
      <c r="CR40" s="152"/>
      <c r="CS40" s="152"/>
      <c r="CT40" s="152"/>
      <c r="CU40" s="152"/>
      <c r="CV40" s="152"/>
      <c r="CW40" s="152"/>
      <c r="CX40" s="152"/>
      <c r="CY40" s="152"/>
      <c r="CZ40" s="152"/>
      <c r="DA40" s="152"/>
      <c r="DB40" s="152"/>
      <c r="DC40" s="152"/>
      <c r="DD40" s="152"/>
      <c r="DE40" s="152"/>
      <c r="DF40" s="152"/>
      <c r="DG40" s="152"/>
      <c r="DH40" s="152"/>
      <c r="DI40" s="152"/>
      <c r="DJ40" s="152"/>
      <c r="DK40" s="152"/>
      <c r="DL40" s="152"/>
      <c r="DM40" s="152"/>
      <c r="DN40" s="152"/>
      <c r="DO40" s="152"/>
      <c r="DP40" s="152"/>
      <c r="DQ40" s="152"/>
      <c r="DR40" s="152"/>
      <c r="DS40" s="152"/>
      <c r="DT40" s="152"/>
      <c r="DU40" s="152"/>
      <c r="DV40" s="152"/>
      <c r="DW40" s="152"/>
      <c r="DX40" s="152"/>
      <c r="DY40" s="152"/>
      <c r="DZ40" s="152"/>
      <c r="EA40" s="152"/>
      <c r="EB40" s="152"/>
      <c r="EC40" s="152"/>
      <c r="ED40" s="152"/>
      <c r="EE40" s="152"/>
      <c r="EF40" s="152"/>
      <c r="EG40" s="152"/>
      <c r="EH40" s="152"/>
      <c r="EI40" s="152"/>
      <c r="EJ40" s="152"/>
      <c r="EK40" s="152"/>
      <c r="EL40" s="152"/>
      <c r="EM40" s="152"/>
      <c r="EN40" s="152"/>
      <c r="EO40" s="152"/>
      <c r="EP40" s="152"/>
      <c r="EQ40" s="152"/>
      <c r="ER40" s="152"/>
      <c r="ES40" s="152"/>
      <c r="ET40" s="152"/>
      <c r="EU40" s="152"/>
      <c r="EV40" s="152"/>
      <c r="EW40" s="152"/>
      <c r="EX40" s="152"/>
      <c r="EY40" s="152"/>
      <c r="EZ40" s="152"/>
      <c r="FA40" s="152"/>
      <c r="FB40" s="152"/>
      <c r="FC40" s="152"/>
      <c r="FD40" s="152"/>
      <c r="FE40" s="152"/>
      <c r="FF40" s="152"/>
      <c r="FG40" s="152"/>
      <c r="FH40" s="152"/>
      <c r="FI40" s="152"/>
      <c r="FJ40" s="152"/>
      <c r="FK40" s="152"/>
      <c r="FL40" s="152"/>
      <c r="FM40" s="152"/>
      <c r="FN40" s="152"/>
      <c r="FO40" s="152"/>
      <c r="FP40" s="152"/>
      <c r="FQ40" s="152"/>
      <c r="FR40" s="152"/>
      <c r="FS40" s="152"/>
      <c r="FT40" s="152"/>
      <c r="FU40" s="152"/>
      <c r="FV40" s="152"/>
      <c r="FW40" s="152"/>
      <c r="FX40" s="152"/>
      <c r="FY40" s="152"/>
      <c r="FZ40" s="152"/>
      <c r="GA40" s="152"/>
      <c r="GB40" s="152"/>
      <c r="GC40" s="152"/>
      <c r="GD40" s="152"/>
      <c r="GE40" s="152"/>
      <c r="GF40" s="152"/>
      <c r="GG40" s="152"/>
      <c r="GH40" s="152"/>
      <c r="GI40" s="152"/>
      <c r="GJ40" s="152"/>
      <c r="GK40" s="152"/>
      <c r="GL40" s="152"/>
      <c r="GM40" s="152"/>
      <c r="GN40" s="152"/>
      <c r="GO40" s="152"/>
      <c r="GP40" s="152"/>
      <c r="GQ40" s="152"/>
      <c r="GR40" s="152"/>
      <c r="GS40" s="152"/>
      <c r="GT40" s="152"/>
      <c r="GU40" s="152"/>
      <c r="GV40" s="152"/>
      <c r="GW40" s="152"/>
      <c r="GX40" s="152"/>
      <c r="GY40" s="152"/>
      <c r="GZ40" s="152"/>
      <c r="HA40" s="152"/>
      <c r="HB40" s="152"/>
      <c r="HC40" s="152"/>
      <c r="HD40" s="152"/>
      <c r="HE40" s="152"/>
      <c r="HF40" s="152"/>
      <c r="HG40" s="152"/>
      <c r="HH40" s="152"/>
      <c r="HI40" s="152"/>
      <c r="HJ40" s="152"/>
      <c r="HK40" s="152"/>
      <c r="HL40" s="152"/>
      <c r="HM40" s="152"/>
      <c r="HN40" s="152"/>
      <c r="HO40" s="152"/>
      <c r="HP40" s="152"/>
      <c r="HQ40" s="152"/>
      <c r="HR40" s="152"/>
      <c r="HS40" s="152"/>
      <c r="HT40" s="152"/>
      <c r="HU40" s="152"/>
      <c r="HV40" s="152"/>
      <c r="HW40" s="152"/>
      <c r="HX40" s="152"/>
      <c r="HY40" s="152"/>
      <c r="HZ40" s="152"/>
      <c r="IA40" s="152"/>
      <c r="IB40" s="152"/>
      <c r="IC40" s="152"/>
      <c r="ID40" s="152"/>
      <c r="IE40" s="152"/>
      <c r="IF40" s="152"/>
      <c r="IG40" s="152"/>
      <c r="IH40" s="152"/>
      <c r="II40" s="152"/>
    </row>
    <row r="41" spans="1:243" ht="12.75" customHeight="1" x14ac:dyDescent="0.25">
      <c r="C41" t="str">
        <f>InputC!C31</f>
        <v>[Spare]</v>
      </c>
      <c r="J41" s="54" t="s">
        <v>6</v>
      </c>
      <c r="L41" s="156"/>
      <c r="P41" s="154">
        <f t="shared" si="2"/>
        <v>0</v>
      </c>
      <c r="R41" s="155"/>
      <c r="S41" s="155"/>
      <c r="T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2"/>
      <c r="CK41" s="152"/>
      <c r="CL41" s="152"/>
      <c r="CM41" s="152"/>
      <c r="CN41" s="152"/>
      <c r="CO41" s="152"/>
      <c r="CP41" s="152"/>
      <c r="CQ41" s="152"/>
      <c r="CR41" s="152"/>
      <c r="CS41" s="152"/>
      <c r="CT41" s="152"/>
      <c r="CU41" s="152"/>
      <c r="CV41" s="152"/>
      <c r="CW41" s="152"/>
      <c r="CX41" s="152"/>
      <c r="CY41" s="152"/>
      <c r="CZ41" s="152"/>
      <c r="DA41" s="152"/>
      <c r="DB41" s="152"/>
      <c r="DC41" s="152"/>
      <c r="DD41" s="152"/>
      <c r="DE41" s="152"/>
      <c r="DF41" s="152"/>
      <c r="DG41" s="152"/>
      <c r="DH41" s="152"/>
      <c r="DI41" s="152"/>
      <c r="DJ41" s="152"/>
      <c r="DK41" s="152"/>
      <c r="DL41" s="152"/>
      <c r="DM41" s="152"/>
      <c r="DN41" s="152"/>
      <c r="DO41" s="152"/>
      <c r="DP41" s="152"/>
      <c r="DQ41" s="152"/>
      <c r="DR41" s="152"/>
      <c r="DS41" s="152"/>
      <c r="DT41" s="152"/>
      <c r="DU41" s="152"/>
      <c r="DV41" s="152"/>
      <c r="DW41" s="152"/>
      <c r="DX41" s="152"/>
      <c r="DY41" s="152"/>
      <c r="DZ41" s="152"/>
      <c r="EA41" s="152"/>
      <c r="EB41" s="152"/>
      <c r="EC41" s="152"/>
      <c r="ED41" s="152"/>
      <c r="EE41" s="152"/>
      <c r="EF41" s="152"/>
      <c r="EG41" s="152"/>
      <c r="EH41" s="152"/>
      <c r="EI41" s="152"/>
      <c r="EJ41" s="152"/>
      <c r="EK41" s="152"/>
      <c r="EL41" s="152"/>
      <c r="EM41" s="152"/>
      <c r="EN41" s="152"/>
      <c r="EO41" s="152"/>
      <c r="EP41" s="152"/>
      <c r="EQ41" s="152"/>
      <c r="ER41" s="152"/>
      <c r="ES41" s="152"/>
      <c r="ET41" s="152"/>
      <c r="EU41" s="152"/>
      <c r="EV41" s="152"/>
      <c r="EW41" s="152"/>
      <c r="EX41" s="152"/>
      <c r="EY41" s="152"/>
      <c r="EZ41" s="152"/>
      <c r="FA41" s="152"/>
      <c r="FB41" s="152"/>
      <c r="FC41" s="152"/>
      <c r="FD41" s="152"/>
      <c r="FE41" s="152"/>
      <c r="FF41" s="152"/>
      <c r="FG41" s="152"/>
      <c r="FH41" s="152"/>
      <c r="FI41" s="152"/>
      <c r="FJ41" s="152"/>
      <c r="FK41" s="152"/>
      <c r="FL41" s="152"/>
      <c r="FM41" s="152"/>
      <c r="FN41" s="152"/>
      <c r="FO41" s="152"/>
      <c r="FP41" s="152"/>
      <c r="FQ41" s="152"/>
      <c r="FR41" s="152"/>
      <c r="FS41" s="152"/>
      <c r="FT41" s="152"/>
      <c r="FU41" s="152"/>
      <c r="FV41" s="152"/>
      <c r="FW41" s="152"/>
      <c r="FX41" s="152"/>
      <c r="FY41" s="152"/>
      <c r="FZ41" s="152"/>
      <c r="GA41" s="152"/>
      <c r="GB41" s="152"/>
      <c r="GC41" s="152"/>
      <c r="GD41" s="152"/>
      <c r="GE41" s="152"/>
      <c r="GF41" s="152"/>
      <c r="GG41" s="152"/>
      <c r="GH41" s="152"/>
      <c r="GI41" s="152"/>
      <c r="GJ41" s="152"/>
      <c r="GK41" s="152"/>
      <c r="GL41" s="152"/>
      <c r="GM41" s="152"/>
      <c r="GN41" s="152"/>
      <c r="GO41" s="152"/>
      <c r="GP41" s="152"/>
      <c r="GQ41" s="152"/>
      <c r="GR41" s="152"/>
      <c r="GS41" s="152"/>
      <c r="GT41" s="152"/>
      <c r="GU41" s="152"/>
      <c r="GV41" s="152"/>
      <c r="GW41" s="152"/>
      <c r="GX41" s="152"/>
      <c r="GY41" s="152"/>
      <c r="GZ41" s="152"/>
      <c r="HA41" s="152"/>
      <c r="HB41" s="152"/>
      <c r="HC41" s="152"/>
      <c r="HD41" s="152"/>
      <c r="HE41" s="152"/>
      <c r="HF41" s="152"/>
      <c r="HG41" s="152"/>
      <c r="HH41" s="152"/>
      <c r="HI41" s="152"/>
      <c r="HJ41" s="152"/>
      <c r="HK41" s="152"/>
      <c r="HL41" s="152"/>
      <c r="HM41" s="152"/>
      <c r="HN41" s="152"/>
      <c r="HO41" s="152"/>
      <c r="HP41" s="152"/>
      <c r="HQ41" s="152"/>
      <c r="HR41" s="152"/>
      <c r="HS41" s="152"/>
      <c r="HT41" s="152"/>
      <c r="HU41" s="152"/>
      <c r="HV41" s="152"/>
      <c r="HW41" s="152"/>
      <c r="HX41" s="152"/>
      <c r="HY41" s="152"/>
      <c r="HZ41" s="152"/>
      <c r="IA41" s="152"/>
      <c r="IB41" s="152"/>
      <c r="IC41" s="152"/>
      <c r="ID41" s="152"/>
      <c r="IE41" s="152"/>
      <c r="IF41" s="152"/>
      <c r="IG41" s="152"/>
      <c r="IH41" s="152"/>
      <c r="II41" s="152"/>
    </row>
    <row r="42" spans="1:243" ht="12.75" customHeight="1" x14ac:dyDescent="0.25">
      <c r="J42" s="54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  <c r="AU42" s="155"/>
      <c r="AV42" s="155"/>
      <c r="AW42" s="155"/>
      <c r="AX42" s="155"/>
      <c r="AY42" s="155"/>
      <c r="AZ42" s="155"/>
      <c r="BA42" s="155"/>
      <c r="BB42" s="155"/>
      <c r="BC42" s="155"/>
      <c r="BD42" s="155"/>
      <c r="BE42" s="155"/>
      <c r="BF42" s="155"/>
      <c r="BG42" s="155"/>
      <c r="BH42" s="155"/>
      <c r="BI42" s="155"/>
      <c r="BJ42" s="155"/>
      <c r="BK42" s="155"/>
      <c r="BL42" s="155"/>
      <c r="BM42" s="155"/>
      <c r="BN42" s="155"/>
      <c r="BO42" s="155"/>
      <c r="BP42" s="155"/>
      <c r="BQ42" s="155"/>
      <c r="BR42" s="155"/>
      <c r="BS42" s="155"/>
      <c r="BT42" s="155"/>
      <c r="BU42" s="155"/>
      <c r="BV42" s="155"/>
      <c r="BW42" s="155"/>
      <c r="BX42" s="155"/>
      <c r="BY42" s="155"/>
      <c r="BZ42" s="155"/>
      <c r="CA42" s="155"/>
      <c r="CB42" s="155"/>
      <c r="CC42" s="155"/>
      <c r="CD42" s="155"/>
      <c r="CE42" s="155"/>
      <c r="CF42" s="155"/>
      <c r="CG42" s="155"/>
      <c r="CH42" s="155"/>
      <c r="CI42" s="155"/>
      <c r="CJ42" s="152"/>
      <c r="CK42" s="152"/>
      <c r="CL42" s="152"/>
      <c r="CM42" s="152"/>
      <c r="CN42" s="152"/>
      <c r="CO42" s="152"/>
      <c r="CP42" s="152"/>
      <c r="CQ42" s="152"/>
      <c r="CR42" s="152"/>
      <c r="CS42" s="152"/>
      <c r="CT42" s="152"/>
      <c r="CU42" s="152"/>
      <c r="CV42" s="152"/>
      <c r="CW42" s="152"/>
      <c r="CX42" s="152"/>
      <c r="CY42" s="152"/>
      <c r="CZ42" s="152"/>
      <c r="DA42" s="152"/>
      <c r="DB42" s="152"/>
      <c r="DC42" s="152"/>
      <c r="DD42" s="152"/>
      <c r="DE42" s="152"/>
      <c r="DF42" s="152"/>
      <c r="DG42" s="152"/>
      <c r="DH42" s="152"/>
      <c r="DI42" s="152"/>
      <c r="DJ42" s="152"/>
      <c r="DK42" s="152"/>
      <c r="DL42" s="152"/>
      <c r="DM42" s="152"/>
      <c r="DN42" s="152"/>
      <c r="DO42" s="152"/>
      <c r="DP42" s="152"/>
      <c r="DQ42" s="152"/>
      <c r="DR42" s="152"/>
      <c r="DS42" s="152"/>
      <c r="DT42" s="152"/>
      <c r="DU42" s="152"/>
      <c r="DV42" s="152"/>
      <c r="DW42" s="152"/>
      <c r="DX42" s="152"/>
      <c r="DY42" s="152"/>
      <c r="DZ42" s="152"/>
      <c r="EA42" s="152"/>
      <c r="EB42" s="152"/>
      <c r="EC42" s="152"/>
      <c r="ED42" s="152"/>
      <c r="EE42" s="152"/>
      <c r="EF42" s="152"/>
      <c r="EG42" s="152"/>
      <c r="EH42" s="152"/>
      <c r="EI42" s="152"/>
      <c r="EJ42" s="152"/>
      <c r="EK42" s="152"/>
      <c r="EL42" s="152"/>
      <c r="EM42" s="152"/>
      <c r="EN42" s="152"/>
      <c r="EO42" s="152"/>
      <c r="EP42" s="152"/>
      <c r="EQ42" s="152"/>
      <c r="ER42" s="152"/>
      <c r="ES42" s="152"/>
      <c r="ET42" s="152"/>
      <c r="EU42" s="152"/>
      <c r="EV42" s="152"/>
      <c r="EW42" s="152"/>
      <c r="EX42" s="152"/>
      <c r="EY42" s="152"/>
      <c r="EZ42" s="152"/>
      <c r="FA42" s="152"/>
      <c r="FB42" s="152"/>
      <c r="FC42" s="152"/>
      <c r="FD42" s="152"/>
      <c r="FE42" s="152"/>
      <c r="FF42" s="152"/>
      <c r="FG42" s="152"/>
      <c r="FH42" s="152"/>
      <c r="FI42" s="152"/>
      <c r="FJ42" s="152"/>
      <c r="FK42" s="152"/>
      <c r="FL42" s="152"/>
      <c r="FM42" s="152"/>
      <c r="FN42" s="152"/>
      <c r="FO42" s="152"/>
      <c r="FP42" s="152"/>
      <c r="FQ42" s="152"/>
      <c r="FR42" s="152"/>
      <c r="FS42" s="152"/>
      <c r="FT42" s="152"/>
      <c r="FU42" s="152"/>
      <c r="FV42" s="152"/>
      <c r="FW42" s="152"/>
      <c r="FX42" s="152"/>
      <c r="FY42" s="152"/>
      <c r="FZ42" s="152"/>
      <c r="GA42" s="152"/>
      <c r="GB42" s="152"/>
      <c r="GC42" s="152"/>
      <c r="GD42" s="152"/>
      <c r="GE42" s="152"/>
      <c r="GF42" s="152"/>
      <c r="GG42" s="152"/>
      <c r="GH42" s="152"/>
      <c r="GI42" s="152"/>
      <c r="GJ42" s="152"/>
      <c r="GK42" s="152"/>
      <c r="GL42" s="152"/>
      <c r="GM42" s="152"/>
      <c r="GN42" s="152"/>
      <c r="GO42" s="152"/>
      <c r="GP42" s="152"/>
      <c r="GQ42" s="152"/>
      <c r="GR42" s="152"/>
      <c r="GS42" s="152"/>
      <c r="GT42" s="152"/>
      <c r="GU42" s="152"/>
      <c r="GV42" s="152"/>
      <c r="GW42" s="152"/>
      <c r="GX42" s="152"/>
      <c r="GY42" s="152"/>
      <c r="GZ42" s="152"/>
      <c r="HA42" s="152"/>
      <c r="HB42" s="152"/>
      <c r="HC42" s="152"/>
      <c r="HD42" s="152"/>
      <c r="HE42" s="152"/>
      <c r="HF42" s="152"/>
      <c r="HG42" s="152"/>
      <c r="HH42" s="152"/>
      <c r="HI42" s="152"/>
      <c r="HJ42" s="152"/>
      <c r="HK42" s="152"/>
      <c r="HL42" s="152"/>
      <c r="HM42" s="152"/>
      <c r="HN42" s="152"/>
      <c r="HO42" s="152"/>
      <c r="HP42" s="152"/>
      <c r="HQ42" s="152"/>
      <c r="HR42" s="152"/>
      <c r="HS42" s="152"/>
      <c r="HT42" s="152"/>
      <c r="HU42" s="152"/>
      <c r="HV42" s="152"/>
      <c r="HW42" s="152"/>
      <c r="HX42" s="152"/>
      <c r="HY42" s="152"/>
      <c r="HZ42" s="152"/>
      <c r="IA42" s="152"/>
      <c r="IB42" s="152"/>
      <c r="IC42" s="152"/>
      <c r="ID42" s="152"/>
      <c r="IE42" s="152"/>
      <c r="IF42" s="152"/>
      <c r="IG42" s="152"/>
      <c r="IH42" s="152"/>
      <c r="II42" s="152"/>
    </row>
    <row r="43" spans="1:243" ht="12.75" customHeight="1" x14ac:dyDescent="0.25">
      <c r="B43" s="65" t="s">
        <v>24</v>
      </c>
      <c r="J43" s="54" t="s">
        <v>25</v>
      </c>
      <c r="L43" s="157" t="b">
        <f>AND(L24:L41)</f>
        <v>1</v>
      </c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  <c r="BK43" s="155"/>
      <c r="BL43" s="155"/>
      <c r="BM43" s="155"/>
      <c r="BN43" s="155"/>
      <c r="BO43" s="155"/>
      <c r="BP43" s="155"/>
      <c r="BQ43" s="155"/>
      <c r="BR43" s="155"/>
      <c r="BS43" s="155"/>
      <c r="BT43" s="155"/>
      <c r="BU43" s="155"/>
      <c r="BV43" s="155"/>
      <c r="BW43" s="155"/>
      <c r="BX43" s="155"/>
      <c r="BY43" s="155"/>
      <c r="BZ43" s="155"/>
      <c r="CA43" s="155"/>
      <c r="CB43" s="155"/>
      <c r="CC43" s="155"/>
      <c r="CD43" s="155"/>
      <c r="CE43" s="155"/>
      <c r="CF43" s="155"/>
      <c r="CG43" s="155"/>
      <c r="CH43" s="155"/>
      <c r="CI43" s="155"/>
      <c r="CJ43" s="152"/>
      <c r="CK43" s="152"/>
      <c r="CL43" s="152"/>
      <c r="CM43" s="152"/>
      <c r="CN43" s="152"/>
      <c r="CO43" s="152"/>
      <c r="CP43" s="152"/>
      <c r="CQ43" s="152"/>
      <c r="CR43" s="152"/>
      <c r="CS43" s="152"/>
      <c r="CT43" s="152"/>
      <c r="CU43" s="152"/>
      <c r="CV43" s="152"/>
      <c r="CW43" s="152"/>
      <c r="CX43" s="152"/>
      <c r="CY43" s="152"/>
      <c r="CZ43" s="152"/>
      <c r="DA43" s="152"/>
      <c r="DB43" s="152"/>
      <c r="DC43" s="152"/>
      <c r="DD43" s="152"/>
      <c r="DE43" s="152"/>
      <c r="DF43" s="152"/>
      <c r="DG43" s="152"/>
      <c r="DH43" s="152"/>
      <c r="DI43" s="152"/>
      <c r="DJ43" s="152"/>
      <c r="DK43" s="152"/>
      <c r="DL43" s="152"/>
      <c r="DM43" s="152"/>
      <c r="DN43" s="152"/>
      <c r="DO43" s="152"/>
      <c r="DP43" s="152"/>
      <c r="DQ43" s="152"/>
      <c r="DR43" s="152"/>
      <c r="DS43" s="152"/>
      <c r="DT43" s="152"/>
      <c r="DU43" s="152"/>
      <c r="DV43" s="152"/>
      <c r="DW43" s="152"/>
      <c r="DX43" s="152"/>
      <c r="DY43" s="152"/>
      <c r="DZ43" s="152"/>
      <c r="EA43" s="152"/>
      <c r="EB43" s="152"/>
      <c r="EC43" s="152"/>
      <c r="ED43" s="152"/>
      <c r="EE43" s="152"/>
      <c r="EF43" s="152"/>
      <c r="EG43" s="152"/>
      <c r="EH43" s="152"/>
      <c r="EI43" s="152"/>
      <c r="EJ43" s="152"/>
      <c r="EK43" s="152"/>
      <c r="EL43" s="152"/>
      <c r="EM43" s="152"/>
      <c r="EN43" s="152"/>
      <c r="EO43" s="152"/>
      <c r="EP43" s="152"/>
      <c r="EQ43" s="152"/>
      <c r="ER43" s="152"/>
      <c r="ES43" s="152"/>
      <c r="ET43" s="152"/>
      <c r="EU43" s="152"/>
      <c r="EV43" s="152"/>
      <c r="EW43" s="152"/>
      <c r="EX43" s="152"/>
      <c r="EY43" s="152"/>
      <c r="EZ43" s="152"/>
      <c r="FA43" s="152"/>
      <c r="FB43" s="152"/>
      <c r="FC43" s="152"/>
      <c r="FD43" s="152"/>
      <c r="FE43" s="152"/>
      <c r="FF43" s="152"/>
      <c r="FG43" s="152"/>
      <c r="FH43" s="152"/>
      <c r="FI43" s="152"/>
      <c r="FJ43" s="152"/>
      <c r="FK43" s="152"/>
      <c r="FL43" s="152"/>
      <c r="FM43" s="152"/>
      <c r="FN43" s="152"/>
      <c r="FO43" s="152"/>
      <c r="FP43" s="152"/>
      <c r="FQ43" s="152"/>
      <c r="FR43" s="152"/>
      <c r="FS43" s="152"/>
      <c r="FT43" s="152"/>
      <c r="FU43" s="152"/>
      <c r="FV43" s="152"/>
      <c r="FW43" s="152"/>
      <c r="FX43" s="152"/>
      <c r="FY43" s="152"/>
      <c r="FZ43" s="152"/>
      <c r="GA43" s="152"/>
      <c r="GB43" s="152"/>
      <c r="GC43" s="152"/>
      <c r="GD43" s="152"/>
      <c r="GE43" s="152"/>
      <c r="GF43" s="152"/>
      <c r="GG43" s="152"/>
      <c r="GH43" s="152"/>
      <c r="GI43" s="152"/>
      <c r="GJ43" s="152"/>
      <c r="GK43" s="152"/>
      <c r="GL43" s="152"/>
      <c r="GM43" s="152"/>
      <c r="GN43" s="152"/>
      <c r="GO43" s="152"/>
      <c r="GP43" s="152"/>
      <c r="GQ43" s="152"/>
      <c r="GR43" s="152"/>
      <c r="GS43" s="152"/>
      <c r="GT43" s="152"/>
      <c r="GU43" s="152"/>
      <c r="GV43" s="152"/>
      <c r="GW43" s="152"/>
      <c r="GX43" s="152"/>
      <c r="GY43" s="152"/>
      <c r="GZ43" s="152"/>
      <c r="HA43" s="152"/>
      <c r="HB43" s="152"/>
      <c r="HC43" s="152"/>
      <c r="HD43" s="152"/>
      <c r="HE43" s="152"/>
      <c r="HF43" s="152"/>
      <c r="HG43" s="152"/>
      <c r="HH43" s="152"/>
      <c r="HI43" s="152"/>
      <c r="HJ43" s="152"/>
      <c r="HK43" s="152"/>
      <c r="HL43" s="152"/>
      <c r="HM43" s="152"/>
      <c r="HN43" s="152"/>
      <c r="HO43" s="152"/>
      <c r="HP43" s="152"/>
      <c r="HQ43" s="152"/>
      <c r="HR43" s="152"/>
      <c r="HS43" s="152"/>
      <c r="HT43" s="152"/>
      <c r="HU43" s="152"/>
      <c r="HV43" s="152"/>
      <c r="HW43" s="152"/>
      <c r="HX43" s="152"/>
      <c r="HY43" s="152"/>
      <c r="HZ43" s="152"/>
      <c r="IA43" s="152"/>
      <c r="IB43" s="152"/>
      <c r="IC43" s="152"/>
      <c r="ID43" s="152"/>
      <c r="IE43" s="152"/>
      <c r="IF43" s="152"/>
      <c r="IG43" s="152"/>
      <c r="IH43" s="152"/>
      <c r="II43" s="152"/>
    </row>
    <row r="44" spans="1:243" ht="12.75" customHeight="1" x14ac:dyDescent="0.25">
      <c r="K44" s="91"/>
      <c r="L44" s="54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5"/>
      <c r="AU44" s="155"/>
      <c r="AV44" s="155"/>
      <c r="AW44" s="155"/>
      <c r="AX44" s="155"/>
      <c r="AY44" s="155"/>
      <c r="AZ44" s="155"/>
      <c r="BA44" s="155"/>
      <c r="BB44" s="155"/>
      <c r="BC44" s="155"/>
      <c r="BD44" s="155"/>
      <c r="BE44" s="155"/>
      <c r="BF44" s="155"/>
      <c r="BG44" s="155"/>
      <c r="BH44" s="155"/>
      <c r="BI44" s="155"/>
      <c r="BJ44" s="155"/>
      <c r="BK44" s="155"/>
      <c r="BL44" s="155"/>
      <c r="BM44" s="155"/>
      <c r="BN44" s="155"/>
      <c r="BO44" s="155"/>
      <c r="BP44" s="155"/>
      <c r="BQ44" s="155"/>
      <c r="BR44" s="155"/>
      <c r="BS44" s="155"/>
      <c r="BT44" s="155"/>
      <c r="BU44" s="155"/>
      <c r="BV44" s="155"/>
      <c r="BW44" s="155"/>
      <c r="BX44" s="155"/>
      <c r="BY44" s="155"/>
      <c r="BZ44" s="155"/>
      <c r="CA44" s="155"/>
      <c r="CB44" s="155"/>
      <c r="CC44" s="155"/>
      <c r="CD44" s="155"/>
      <c r="CE44" s="155"/>
      <c r="CF44" s="155"/>
      <c r="CG44" s="155"/>
      <c r="CH44" s="155"/>
      <c r="CI44" s="155"/>
      <c r="CJ44" s="152"/>
      <c r="CK44" s="152"/>
      <c r="CL44" s="152"/>
      <c r="CM44" s="152"/>
      <c r="CN44" s="152"/>
      <c r="CO44" s="152"/>
      <c r="CP44" s="152"/>
      <c r="CQ44" s="152"/>
      <c r="CR44" s="152"/>
      <c r="CS44" s="152"/>
      <c r="CT44" s="152"/>
      <c r="CU44" s="152"/>
      <c r="CV44" s="152"/>
      <c r="CW44" s="152"/>
      <c r="CX44" s="152"/>
      <c r="CY44" s="152"/>
      <c r="CZ44" s="152"/>
      <c r="DA44" s="152"/>
      <c r="DB44" s="152"/>
      <c r="DC44" s="152"/>
      <c r="DD44" s="152"/>
      <c r="DE44" s="152"/>
      <c r="DF44" s="152"/>
      <c r="DG44" s="152"/>
      <c r="DH44" s="152"/>
      <c r="DI44" s="152"/>
      <c r="DJ44" s="152"/>
      <c r="DK44" s="152"/>
      <c r="DL44" s="152"/>
      <c r="DM44" s="152"/>
      <c r="DN44" s="152"/>
      <c r="DO44" s="152"/>
      <c r="DP44" s="152"/>
      <c r="DQ44" s="152"/>
      <c r="DR44" s="152"/>
      <c r="DS44" s="152"/>
      <c r="DT44" s="152"/>
      <c r="DU44" s="152"/>
      <c r="DV44" s="152"/>
      <c r="DW44" s="152"/>
      <c r="DX44" s="152"/>
      <c r="DY44" s="152"/>
      <c r="DZ44" s="152"/>
      <c r="EA44" s="152"/>
      <c r="EB44" s="152"/>
      <c r="EC44" s="152"/>
      <c r="ED44" s="152"/>
      <c r="EE44" s="152"/>
      <c r="EF44" s="152"/>
      <c r="EG44" s="152"/>
      <c r="EH44" s="152"/>
      <c r="EI44" s="152"/>
      <c r="EJ44" s="152"/>
      <c r="EK44" s="152"/>
      <c r="EL44" s="152"/>
      <c r="EM44" s="152"/>
      <c r="EN44" s="152"/>
      <c r="EO44" s="152"/>
      <c r="EP44" s="152"/>
      <c r="EQ44" s="152"/>
      <c r="ER44" s="152"/>
      <c r="ES44" s="152"/>
      <c r="ET44" s="152"/>
      <c r="EU44" s="152"/>
      <c r="EV44" s="152"/>
      <c r="EW44" s="152"/>
      <c r="EX44" s="152"/>
      <c r="EY44" s="152"/>
      <c r="EZ44" s="152"/>
      <c r="FA44" s="152"/>
      <c r="FB44" s="152"/>
      <c r="FC44" s="152"/>
      <c r="FD44" s="152"/>
      <c r="FE44" s="152"/>
      <c r="FF44" s="152"/>
      <c r="FG44" s="152"/>
      <c r="FH44" s="152"/>
      <c r="FI44" s="152"/>
      <c r="FJ44" s="152"/>
      <c r="FK44" s="152"/>
      <c r="FL44" s="152"/>
      <c r="FM44" s="152"/>
      <c r="FN44" s="152"/>
      <c r="FO44" s="152"/>
      <c r="FP44" s="152"/>
      <c r="FQ44" s="152"/>
      <c r="FR44" s="152"/>
      <c r="FS44" s="152"/>
      <c r="FT44" s="152"/>
      <c r="FU44" s="152"/>
      <c r="FV44" s="152"/>
      <c r="FW44" s="152"/>
      <c r="FX44" s="152"/>
      <c r="FY44" s="152"/>
      <c r="FZ44" s="152"/>
      <c r="GA44" s="152"/>
      <c r="GB44" s="152"/>
      <c r="GC44" s="152"/>
      <c r="GD44" s="152"/>
      <c r="GE44" s="152"/>
      <c r="GF44" s="152"/>
      <c r="GG44" s="152"/>
      <c r="GH44" s="152"/>
      <c r="GI44" s="152"/>
      <c r="GJ44" s="152"/>
      <c r="GK44" s="152"/>
      <c r="GL44" s="152"/>
      <c r="GM44" s="152"/>
      <c r="GN44" s="152"/>
      <c r="GO44" s="152"/>
      <c r="GP44" s="152"/>
      <c r="GQ44" s="152"/>
      <c r="GR44" s="152"/>
      <c r="GS44" s="152"/>
      <c r="GT44" s="152"/>
      <c r="GU44" s="152"/>
      <c r="GV44" s="152"/>
      <c r="GW44" s="152"/>
      <c r="GX44" s="152"/>
      <c r="GY44" s="152"/>
      <c r="GZ44" s="152"/>
      <c r="HA44" s="152"/>
      <c r="HB44" s="152"/>
      <c r="HC44" s="152"/>
      <c r="HD44" s="152"/>
      <c r="HE44" s="152"/>
      <c r="HF44" s="152"/>
      <c r="HG44" s="152"/>
      <c r="HH44" s="152"/>
      <c r="HI44" s="152"/>
      <c r="HJ44" s="152"/>
      <c r="HK44" s="152"/>
      <c r="HL44" s="152"/>
      <c r="HM44" s="152"/>
      <c r="HN44" s="152"/>
      <c r="HO44" s="152"/>
      <c r="HP44" s="152"/>
      <c r="HQ44" s="152"/>
      <c r="HR44" s="152"/>
      <c r="HS44" s="152"/>
      <c r="HT44" s="152"/>
      <c r="HU44" s="152"/>
      <c r="HV44" s="152"/>
      <c r="HW44" s="152"/>
      <c r="HX44" s="152"/>
      <c r="HY44" s="152"/>
      <c r="HZ44" s="152"/>
      <c r="IA44" s="152"/>
      <c r="IB44" s="152"/>
      <c r="IC44" s="152"/>
      <c r="ID44" s="152"/>
      <c r="IE44" s="152"/>
      <c r="IF44" s="152"/>
      <c r="IG44" s="152"/>
      <c r="IH44" s="152"/>
      <c r="II44" s="152"/>
    </row>
    <row r="45" spans="1:243" s="292" customFormat="1" ht="12.75" customHeight="1" x14ac:dyDescent="0.25">
      <c r="A45" s="287" t="s">
        <v>53</v>
      </c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7"/>
      <c r="S45" s="287"/>
      <c r="T45" s="287"/>
      <c r="U45" s="287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7"/>
      <c r="AJ45" s="287"/>
      <c r="AK45" s="287"/>
      <c r="AL45" s="287"/>
      <c r="AM45" s="287"/>
      <c r="AN45" s="287"/>
      <c r="AO45" s="287"/>
      <c r="AP45" s="287"/>
      <c r="AQ45" s="287"/>
      <c r="AR45" s="287"/>
      <c r="AS45" s="287"/>
      <c r="AT45" s="287"/>
      <c r="AU45" s="287"/>
      <c r="AV45" s="287"/>
      <c r="AW45" s="287"/>
      <c r="AX45" s="287"/>
      <c r="AY45" s="287"/>
      <c r="AZ45" s="287"/>
      <c r="BA45" s="287"/>
      <c r="BB45" s="287"/>
      <c r="BC45" s="287"/>
      <c r="BD45" s="287"/>
      <c r="BE45" s="287"/>
      <c r="BF45" s="287"/>
      <c r="BG45" s="287"/>
      <c r="BH45" s="287"/>
      <c r="BI45" s="287"/>
      <c r="BJ45" s="287"/>
      <c r="BK45" s="287"/>
      <c r="BL45" s="287"/>
      <c r="BM45" s="287"/>
      <c r="BN45" s="287"/>
      <c r="BO45" s="287"/>
      <c r="BP45" s="287"/>
      <c r="BQ45" s="287"/>
      <c r="BR45" s="287"/>
      <c r="BS45" s="287"/>
      <c r="BT45" s="287"/>
      <c r="BU45" s="287"/>
      <c r="BV45" s="287"/>
      <c r="BW45" s="287"/>
      <c r="BX45" s="287"/>
      <c r="BY45" s="287"/>
      <c r="BZ45" s="287"/>
      <c r="CA45" s="287"/>
      <c r="CB45" s="287"/>
      <c r="CC45" s="287"/>
      <c r="CD45" s="287"/>
      <c r="CE45" s="287"/>
      <c r="CF45" s="287"/>
      <c r="CG45" s="287"/>
      <c r="CH45" s="287"/>
      <c r="CI45" s="287"/>
      <c r="CJ45" s="287"/>
      <c r="CK45" s="287"/>
      <c r="CL45" s="287"/>
      <c r="CM45" s="287"/>
      <c r="CN45" s="287"/>
      <c r="CO45" s="287"/>
      <c r="CP45" s="287"/>
      <c r="CQ45" s="287"/>
      <c r="CR45" s="287"/>
      <c r="CS45" s="287"/>
      <c r="CT45" s="287"/>
      <c r="CU45" s="287"/>
      <c r="CV45" s="287"/>
      <c r="CW45" s="287"/>
      <c r="CX45" s="287"/>
      <c r="CY45" s="287"/>
      <c r="CZ45" s="287"/>
      <c r="DA45" s="287"/>
      <c r="DB45" s="287"/>
      <c r="DC45" s="287"/>
      <c r="DD45" s="287"/>
    </row>
    <row r="46" spans="1:243" ht="12.75" hidden="1" customHeight="1" x14ac:dyDescent="0.25">
      <c r="J46" s="9"/>
      <c r="P46" s="10"/>
    </row>
    <row r="47" spans="1:243" ht="12.75" hidden="1" customHeight="1" x14ac:dyDescent="0.25">
      <c r="D47" s="88"/>
      <c r="E47" s="49"/>
      <c r="J47" s="9"/>
      <c r="P47" s="10"/>
    </row>
    <row r="48" spans="1:243" ht="12.75" hidden="1" customHeight="1" x14ac:dyDescent="0.25">
      <c r="D48" s="89"/>
      <c r="E48" s="10"/>
      <c r="J48" s="9"/>
      <c r="P48" s="10"/>
    </row>
    <row r="49" spans="4:16" ht="12.75" hidden="1" customHeight="1" x14ac:dyDescent="0.25">
      <c r="D49" s="89"/>
      <c r="E49" s="10"/>
      <c r="J49" s="9"/>
      <c r="P49" s="10"/>
    </row>
    <row r="50" spans="4:16" ht="12.75" hidden="1" customHeight="1" x14ac:dyDescent="0.25">
      <c r="D50" s="89"/>
      <c r="E50" s="10"/>
      <c r="J50" s="9"/>
      <c r="P50" s="10"/>
    </row>
    <row r="51" spans="4:16" ht="12.75" hidden="1" customHeight="1" x14ac:dyDescent="0.25">
      <c r="D51" s="89"/>
      <c r="E51" s="10"/>
      <c r="J51" s="9"/>
      <c r="P51" s="10"/>
    </row>
    <row r="52" spans="4:16" ht="12.75" hidden="1" customHeight="1" x14ac:dyDescent="0.25">
      <c r="D52" s="89"/>
      <c r="E52" s="10"/>
      <c r="J52" s="9"/>
      <c r="P52" s="10"/>
    </row>
    <row r="53" spans="4:16" ht="12.75" hidden="1" customHeight="1" x14ac:dyDescent="0.25">
      <c r="D53" s="89"/>
      <c r="E53" s="10"/>
      <c r="J53" s="9"/>
      <c r="P53" s="10"/>
    </row>
    <row r="54" spans="4:16" ht="12.75" hidden="1" customHeight="1" x14ac:dyDescent="0.25">
      <c r="D54" s="89"/>
      <c r="E54" s="10"/>
      <c r="J54" s="9"/>
      <c r="P54" s="10"/>
    </row>
    <row r="55" spans="4:16" ht="12.75" hidden="1" customHeight="1" x14ac:dyDescent="0.25">
      <c r="D55" s="89"/>
      <c r="E55" s="10"/>
      <c r="J55" s="9"/>
      <c r="P55" s="10"/>
    </row>
    <row r="56" spans="4:16" ht="12.75" hidden="1" customHeight="1" x14ac:dyDescent="0.25">
      <c r="D56" s="89"/>
      <c r="E56" s="10"/>
      <c r="J56" s="9"/>
      <c r="P56" s="10"/>
    </row>
    <row r="57" spans="4:16" ht="12.75" hidden="1" customHeight="1" x14ac:dyDescent="0.25">
      <c r="D57" s="89"/>
      <c r="E57" s="10"/>
      <c r="J57" s="9"/>
      <c r="P57" s="10"/>
    </row>
    <row r="58" spans="4:16" ht="12.75" hidden="1" customHeight="1" x14ac:dyDescent="0.25">
      <c r="D58" s="89"/>
      <c r="E58" s="10"/>
      <c r="J58" s="9"/>
      <c r="P58" s="10"/>
    </row>
    <row r="59" spans="4:16" ht="12.75" hidden="1" customHeight="1" x14ac:dyDescent="0.25">
      <c r="D59" s="89"/>
      <c r="E59" s="10"/>
      <c r="J59" s="9"/>
      <c r="P59" s="10"/>
    </row>
    <row r="60" spans="4:16" ht="12.75" hidden="1" customHeight="1" x14ac:dyDescent="0.25">
      <c r="D60" s="89"/>
      <c r="E60" s="10"/>
      <c r="J60" s="9"/>
      <c r="P60" s="10"/>
    </row>
    <row r="61" spans="4:16" ht="12.75" hidden="1" customHeight="1" x14ac:dyDescent="0.25">
      <c r="D61" s="89"/>
      <c r="E61" s="10"/>
      <c r="J61" s="9"/>
      <c r="P61" s="10"/>
    </row>
    <row r="62" spans="4:16" ht="12.75" hidden="1" customHeight="1" x14ac:dyDescent="0.25">
      <c r="D62" s="89"/>
      <c r="E62" s="10"/>
      <c r="J62" s="9"/>
      <c r="P62" s="10"/>
    </row>
    <row r="63" spans="4:16" ht="12.75" hidden="1" customHeight="1" x14ac:dyDescent="0.25">
      <c r="J63" s="9"/>
      <c r="P63" s="10"/>
    </row>
    <row r="64" spans="4:16" ht="12.75" hidden="1" customHeight="1" x14ac:dyDescent="0.25">
      <c r="D64" s="88"/>
      <c r="E64" s="90"/>
      <c r="J64" s="9"/>
      <c r="P64" s="10"/>
    </row>
    <row r="65" spans="1:100" ht="12.75" hidden="1" customHeight="1" x14ac:dyDescent="0.25">
      <c r="D65" s="89"/>
      <c r="E65" s="87"/>
      <c r="J65" s="9"/>
      <c r="P65" s="10"/>
    </row>
    <row r="66" spans="1:100" ht="12.75" hidden="1" customHeight="1" x14ac:dyDescent="0.25">
      <c r="D66" s="89"/>
      <c r="E66" s="87"/>
      <c r="J66" s="9"/>
      <c r="P66" s="10"/>
    </row>
    <row r="67" spans="1:100" ht="12.75" hidden="1" customHeight="1" x14ac:dyDescent="0.25">
      <c r="D67" s="89"/>
      <c r="E67" s="87"/>
      <c r="J67" s="9"/>
      <c r="P67" s="10"/>
    </row>
    <row r="68" spans="1:100" ht="12.75" hidden="1" customHeight="1" x14ac:dyDescent="0.25">
      <c r="D68" s="89"/>
      <c r="E68" s="87"/>
      <c r="J68" s="9"/>
      <c r="P68" s="10"/>
    </row>
    <row r="69" spans="1:100" ht="12.75" hidden="1" customHeight="1" x14ac:dyDescent="0.25">
      <c r="D69" s="89"/>
      <c r="E69" s="87"/>
      <c r="J69" s="9"/>
      <c r="P69" s="10"/>
    </row>
    <row r="70" spans="1:100" ht="12.75" hidden="1" customHeight="1" x14ac:dyDescent="0.25">
      <c r="D70" s="89"/>
      <c r="E70" s="87"/>
      <c r="J70" s="9"/>
      <c r="P70" s="10"/>
    </row>
    <row r="71" spans="1:100" ht="12.75" hidden="1" customHeight="1" x14ac:dyDescent="0.25">
      <c r="D71" s="89"/>
      <c r="E71" s="87"/>
      <c r="J71" s="9"/>
      <c r="P71" s="10"/>
    </row>
    <row r="72" spans="1:100" ht="12.75" hidden="1" customHeight="1" x14ac:dyDescent="0.25">
      <c r="D72" s="89"/>
      <c r="E72" s="87"/>
      <c r="J72" s="9"/>
      <c r="P72" s="10"/>
    </row>
    <row r="73" spans="1:100" ht="12.75" hidden="1" customHeight="1" x14ac:dyDescent="0.25">
      <c r="D73" s="89"/>
      <c r="E73" s="87"/>
      <c r="J73" s="9"/>
      <c r="P73" s="10"/>
    </row>
    <row r="74" spans="1:100" ht="12.75" hidden="1" customHeight="1" x14ac:dyDescent="0.25">
      <c r="D74" s="89"/>
      <c r="E74" s="87"/>
      <c r="J74" s="9"/>
      <c r="P74" s="10"/>
    </row>
    <row r="75" spans="1:100" ht="12.75" hidden="1" customHeight="1" x14ac:dyDescent="0.25">
      <c r="D75" s="89"/>
      <c r="E75" s="87"/>
      <c r="J75" s="9"/>
      <c r="P75" s="10"/>
    </row>
    <row r="76" spans="1:100" ht="12.75" hidden="1" customHeight="1" x14ac:dyDescent="0.25">
      <c r="D76" s="89"/>
      <c r="E76" s="87"/>
      <c r="J76" s="9"/>
      <c r="P76" s="10"/>
    </row>
    <row r="77" spans="1:100" ht="12.75" hidden="1" customHeight="1" x14ac:dyDescent="0.25">
      <c r="A77" s="41"/>
      <c r="D77" s="89"/>
      <c r="E77" s="87"/>
      <c r="J77" s="9"/>
      <c r="K77" s="91"/>
      <c r="L77" s="54"/>
    </row>
    <row r="78" spans="1:100" ht="12.75" hidden="1" customHeight="1" x14ac:dyDescent="0.25">
      <c r="D78" s="89"/>
      <c r="E78" s="87"/>
      <c r="J78" s="9"/>
      <c r="L78" s="65"/>
      <c r="P78" s="89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2"/>
      <c r="BB78" s="92"/>
      <c r="BC78" s="92"/>
      <c r="BD78" s="92"/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  <c r="CI78" s="92"/>
      <c r="CJ78" s="92"/>
      <c r="CK78" s="92"/>
      <c r="CL78" s="92"/>
      <c r="CM78" s="92"/>
      <c r="CN78" s="92"/>
      <c r="CO78" s="92"/>
      <c r="CP78" s="92"/>
      <c r="CQ78" s="92"/>
      <c r="CR78" s="92"/>
      <c r="CS78" s="92"/>
      <c r="CT78" s="92"/>
      <c r="CU78" s="92"/>
      <c r="CV78" s="92"/>
    </row>
    <row r="79" spans="1:100" ht="12.75" hidden="1" customHeight="1" x14ac:dyDescent="0.25">
      <c r="D79" s="89"/>
      <c r="E79" s="87"/>
      <c r="J79" s="9"/>
      <c r="P79" s="10"/>
    </row>
    <row r="80" spans="1:100" ht="12.75" hidden="1" customHeight="1" x14ac:dyDescent="0.25">
      <c r="J80" s="9"/>
      <c r="P80" s="10"/>
    </row>
    <row r="81" spans="1:16" ht="12.75" hidden="1" customHeight="1" x14ac:dyDescent="0.25">
      <c r="A81" s="41"/>
      <c r="B81" s="21"/>
      <c r="J81" s="9"/>
      <c r="P81" s="10"/>
    </row>
  </sheetData>
  <conditionalFormatting sqref="E64">
    <cfRule type="expression" dxfId="177" priority="21">
      <formula>E$7="Actuals"</formula>
    </cfRule>
  </conditionalFormatting>
  <conditionalFormatting sqref="E65:E77">
    <cfRule type="expression" dxfId="176" priority="20">
      <formula>E$7="Actuals"</formula>
    </cfRule>
  </conditionalFormatting>
  <conditionalFormatting sqref="E78:E79">
    <cfRule type="expression" dxfId="175" priority="19">
      <formula>E$7="Actuals"</formula>
    </cfRule>
  </conditionalFormatting>
  <conditionalFormatting sqref="CW8:DF8">
    <cfRule type="expression" dxfId="174" priority="18">
      <formula>CW$8="Hold"</formula>
    </cfRule>
  </conditionalFormatting>
  <conditionalFormatting sqref="CW7:DF7">
    <cfRule type="expression" dxfId="173" priority="16">
      <formula>CW7="Ops"</formula>
    </cfRule>
    <cfRule type="expression" dxfId="172" priority="17">
      <formula>CW7="Const"</formula>
    </cfRule>
  </conditionalFormatting>
  <conditionalFormatting sqref="R7:CV7">
    <cfRule type="expression" dxfId="171" priority="13">
      <formula>R7="Ops"</formula>
    </cfRule>
    <cfRule type="expression" dxfId="170" priority="14">
      <formula>R7="Const"</formula>
    </cfRule>
  </conditionalFormatting>
  <conditionalFormatting sqref="R8:CV8">
    <cfRule type="expression" dxfId="169" priority="15">
      <formula>R$8="Hold"</formula>
    </cfRule>
  </conditionalFormatting>
  <conditionalFormatting sqref="X24:II41">
    <cfRule type="expression" dxfId="168" priority="8">
      <formula>X$7="Const"</formula>
    </cfRule>
  </conditionalFormatting>
  <conditionalFormatting sqref="L24:L38">
    <cfRule type="containsText" dxfId="167" priority="6" operator="containsText" text="TRUE">
      <formula>NOT(ISERROR(SEARCH("TRUE",L24)))</formula>
    </cfRule>
    <cfRule type="cellIs" dxfId="166" priority="7" operator="equal">
      <formula>FALSE</formula>
    </cfRule>
  </conditionalFormatting>
  <conditionalFormatting sqref="L43">
    <cfRule type="containsText" dxfId="165" priority="4" operator="containsText" text="TRUE">
      <formula>NOT(ISERROR(SEARCH("TRUE",L43)))</formula>
    </cfRule>
    <cfRule type="cellIs" dxfId="164" priority="5" operator="equal">
      <formula>FALSE</formula>
    </cfRule>
  </conditionalFormatting>
  <conditionalFormatting sqref="AQ26:BC26">
    <cfRule type="expression" dxfId="163" priority="9">
      <formula>AF$7="Const"</formula>
    </cfRule>
  </conditionalFormatting>
  <conditionalFormatting sqref="BJ25:BL25">
    <cfRule type="expression" dxfId="162" priority="10">
      <formula>AC$7="Const"</formula>
    </cfRule>
  </conditionalFormatting>
  <conditionalFormatting sqref="BM26:BO26">
    <cfRule type="expression" dxfId="161" priority="11">
      <formula>X$7="Const"</formula>
    </cfRule>
  </conditionalFormatting>
  <conditionalFormatting sqref="U13:ER13">
    <cfRule type="expression" dxfId="160" priority="3">
      <formula>ISNUMBER(U13)</formula>
    </cfRule>
  </conditionalFormatting>
  <conditionalFormatting sqref="CJ17:ER17">
    <cfRule type="expression" dxfId="159" priority="2">
      <formula>ISNUMBER(CJ17)</formula>
    </cfRule>
  </conditionalFormatting>
  <conditionalFormatting sqref="CJ14:II14 CJ18:ER18">
    <cfRule type="expression" dxfId="158" priority="12">
      <formula>ISNUMBER(CJ$5)</formula>
    </cfRule>
  </conditionalFormatting>
  <conditionalFormatting sqref="R17:CF17">
    <cfRule type="expression" dxfId="157" priority="1">
      <formula>ISNUMBER(R17)</formula>
    </cfRule>
  </conditionalFormatting>
  <conditionalFormatting sqref="R14:CF14 R18:CF18">
    <cfRule type="expression" dxfId="156" priority="23">
      <formula>ISNUMBER(R$5)</formula>
    </cfRule>
  </conditionalFormatting>
  <conditionalFormatting sqref="R24:CV41">
    <cfRule type="expression" dxfId="155" priority="25">
      <formula>R$7="Const"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E157-5B1D-4F09-B88A-4DAF0871D590}">
  <sheetPr codeName="Sheet10">
    <tabColor theme="8" tint="-0.499984740745262"/>
  </sheetPr>
  <dimension ref="A1:DD34"/>
  <sheetViews>
    <sheetView showGridLines="0" zoomScale="50" zoomScaleNormal="50" workbookViewId="0">
      <pane xSplit="14" ySplit="8" topLeftCell="O9" activePane="bottomRight" state="frozen"/>
      <selection activeCell="I11" sqref="I11"/>
      <selection pane="topRight" activeCell="I11" sqref="I11"/>
      <selection pane="bottomLeft" activeCell="I11" sqref="I11"/>
      <selection pane="bottomRight" activeCell="P10" sqref="P10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5" width="14.28515625" customWidth="1"/>
    <col min="96" max="98" width="11.140625" customWidth="1"/>
    <col min="99" max="16384" width="9.140625" hidden="1"/>
  </cols>
  <sheetData>
    <row r="1" spans="2:108" s="282" customFormat="1" ht="12.75" customHeight="1" x14ac:dyDescent="0.2">
      <c r="H1" s="284"/>
    </row>
    <row r="2" spans="2:108" s="282" customFormat="1" ht="12.75" customHeight="1" x14ac:dyDescent="0.2">
      <c r="H2" s="284"/>
      <c r="J2" s="285"/>
    </row>
    <row r="3" spans="2:108" s="282" customFormat="1" ht="12.75" customHeight="1" x14ac:dyDescent="0.2">
      <c r="H3" s="284"/>
      <c r="J3" s="286"/>
    </row>
    <row r="4" spans="2:108" s="282" customFormat="1" ht="12.75" customHeight="1" x14ac:dyDescent="0.2">
      <c r="H4" s="284"/>
    </row>
    <row r="5" spans="2:108" s="282" customFormat="1" ht="12.75" customHeight="1" x14ac:dyDescent="0.2">
      <c r="H5" s="284"/>
      <c r="J5" s="285"/>
      <c r="M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2:108" s="282" customFormat="1" ht="12.75" customHeight="1" x14ac:dyDescent="0.2">
      <c r="H6" s="284"/>
      <c r="J6" s="286"/>
      <c r="M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2:108" s="282" customFormat="1" ht="12.75" customHeight="1" x14ac:dyDescent="0.2">
      <c r="H7" s="284"/>
      <c r="J7" s="286"/>
      <c r="M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2:108" s="282" customFormat="1" ht="12.75" customHeight="1" x14ac:dyDescent="0.2">
      <c r="H8" s="284"/>
    </row>
    <row r="9" spans="2:108" ht="12.75" customHeight="1" x14ac:dyDescent="0.25"/>
    <row r="10" spans="2:108" ht="12.75" customHeight="1" x14ac:dyDescent="0.25">
      <c r="B10" s="17" t="s">
        <v>34</v>
      </c>
      <c r="C10" t="s">
        <v>205</v>
      </c>
      <c r="H10" s="54" t="s">
        <v>3</v>
      </c>
      <c r="J10" s="16"/>
      <c r="N10" s="25" t="e">
        <f>SUM(P10:DD10)</f>
        <v>#REF!</v>
      </c>
      <c r="O10" s="10"/>
      <c r="P10" s="10">
        <f>Ops!P39</f>
        <v>0</v>
      </c>
      <c r="Q10" s="10">
        <f>Ops!Q39</f>
        <v>0</v>
      </c>
      <c r="R10" s="10">
        <f>Ops!R39</f>
        <v>0</v>
      </c>
      <c r="S10" s="10">
        <f>Ops!S39</f>
        <v>4074.2858019829564</v>
      </c>
      <c r="T10" s="10" t="e">
        <f>Ops!T39</f>
        <v>#REF!</v>
      </c>
      <c r="U10" s="10">
        <f>Ops!U39</f>
        <v>4074.2858019829564</v>
      </c>
      <c r="V10" s="10" t="e">
        <f>Ops!V39</f>
        <v>#REF!</v>
      </c>
      <c r="W10" s="10">
        <f>Ops!W39</f>
        <v>4074.2858019829564</v>
      </c>
      <c r="X10" s="10" t="e">
        <f>Ops!X39</f>
        <v>#REF!</v>
      </c>
      <c r="Y10" s="10">
        <f>Ops!Y39</f>
        <v>4074.2858019829564</v>
      </c>
      <c r="Z10" s="10" t="e">
        <f>Ops!Z39</f>
        <v>#REF!</v>
      </c>
      <c r="AA10" s="10">
        <f>Ops!AA39</f>
        <v>4074.2858019829564</v>
      </c>
      <c r="AB10" s="10" t="e">
        <f>Ops!AB39</f>
        <v>#REF!</v>
      </c>
      <c r="AC10" s="10">
        <f>Ops!AC39</f>
        <v>4074.2858019829564</v>
      </c>
      <c r="AD10" s="10" t="e">
        <f>Ops!AD39</f>
        <v>#REF!</v>
      </c>
      <c r="AE10" s="10">
        <f>Ops!AE39</f>
        <v>4074.2858019829564</v>
      </c>
      <c r="AF10" s="10" t="e">
        <f>Ops!AF39</f>
        <v>#REF!</v>
      </c>
      <c r="AG10" s="10">
        <f>Ops!AG39</f>
        <v>4074.2858019829564</v>
      </c>
      <c r="AH10" s="10" t="e">
        <f>Ops!AH39</f>
        <v>#REF!</v>
      </c>
      <c r="AI10" s="10">
        <f>Ops!AI39</f>
        <v>4074.2858019829564</v>
      </c>
      <c r="AJ10" s="10" t="e">
        <f>Ops!AJ39</f>
        <v>#REF!</v>
      </c>
      <c r="AK10" s="10">
        <f>Ops!AK39</f>
        <v>4074.2858019829564</v>
      </c>
      <c r="AL10" s="10" t="e">
        <f>Ops!AL39</f>
        <v>#REF!</v>
      </c>
      <c r="AM10" s="10">
        <f>Ops!AM39</f>
        <v>4074.2858019829564</v>
      </c>
      <c r="AN10" s="10" t="e">
        <f>Ops!AN39</f>
        <v>#REF!</v>
      </c>
      <c r="AO10" s="10">
        <f>Ops!AO39</f>
        <v>4074.2858019829564</v>
      </c>
      <c r="AP10" s="10" t="e">
        <f>Ops!AP39</f>
        <v>#REF!</v>
      </c>
      <c r="AQ10" s="10">
        <f>Ops!AQ39</f>
        <v>4074.2858019829564</v>
      </c>
      <c r="AR10" s="10" t="e">
        <f>Ops!AR39</f>
        <v>#REF!</v>
      </c>
      <c r="AS10" s="10">
        <f>Ops!AS39</f>
        <v>4074.2858019829564</v>
      </c>
      <c r="AT10" s="10" t="e">
        <f>Ops!AT39</f>
        <v>#REF!</v>
      </c>
      <c r="AU10" s="10">
        <f>Ops!AU39</f>
        <v>4074.2858019829564</v>
      </c>
      <c r="AV10" s="10" t="e">
        <f>Ops!AV39</f>
        <v>#REF!</v>
      </c>
      <c r="AW10" s="10">
        <f>Ops!AW39</f>
        <v>4074.2858019829564</v>
      </c>
      <c r="AX10" s="10" t="e">
        <f>Ops!AX39</f>
        <v>#REF!</v>
      </c>
      <c r="AY10" s="10">
        <f>Ops!AY39</f>
        <v>4074.2858019829564</v>
      </c>
      <c r="AZ10" s="10" t="e">
        <f>Ops!AZ39</f>
        <v>#REF!</v>
      </c>
      <c r="BA10" s="10">
        <f>Ops!BA39</f>
        <v>4074.2858019829564</v>
      </c>
      <c r="BB10" s="10" t="e">
        <f>Ops!BB39</f>
        <v>#REF!</v>
      </c>
      <c r="BC10" s="10">
        <f>Ops!BC39</f>
        <v>4074.2858019829564</v>
      </c>
      <c r="BD10" s="10" t="e">
        <f>Ops!BD39</f>
        <v>#REF!</v>
      </c>
      <c r="BE10" s="10">
        <f>Ops!BE39</f>
        <v>4074.2858019829564</v>
      </c>
      <c r="BF10" s="10" t="e">
        <f>Ops!BF39</f>
        <v>#REF!</v>
      </c>
      <c r="BG10" s="10">
        <f>Ops!BG39</f>
        <v>4074.2858019829564</v>
      </c>
      <c r="BH10" s="10" t="e">
        <f>Ops!BH39</f>
        <v>#REF!</v>
      </c>
      <c r="BI10" s="10">
        <f>Ops!BI39</f>
        <v>4074.2858019829564</v>
      </c>
      <c r="BJ10" s="10" t="e">
        <f>Ops!BJ39</f>
        <v>#REF!</v>
      </c>
      <c r="BK10" s="10">
        <f>Ops!BK39</f>
        <v>4074.2858019829564</v>
      </c>
      <c r="BL10" s="10" t="e">
        <f>Ops!BL39</f>
        <v>#REF!</v>
      </c>
      <c r="BM10" s="10">
        <f>Ops!BM39</f>
        <v>4074.2858019829564</v>
      </c>
      <c r="BN10" s="10" t="e">
        <f>Ops!BN39</f>
        <v>#REF!</v>
      </c>
      <c r="BO10" s="10">
        <f>Ops!BO39</f>
        <v>4074.2858019829564</v>
      </c>
      <c r="BP10" s="10" t="e">
        <f>Ops!BP39</f>
        <v>#REF!</v>
      </c>
      <c r="BQ10" s="10">
        <f>Ops!BQ39</f>
        <v>4074.2858019829564</v>
      </c>
      <c r="BR10" s="10">
        <f>Ops!BR39</f>
        <v>0</v>
      </c>
      <c r="BS10" s="10">
        <f>Ops!BS39</f>
        <v>0</v>
      </c>
      <c r="BT10" s="10">
        <f>Ops!BT39</f>
        <v>0</v>
      </c>
      <c r="BU10" s="10">
        <f>Ops!BU39</f>
        <v>0</v>
      </c>
      <c r="BV10" s="10">
        <f>Ops!BV39</f>
        <v>0</v>
      </c>
      <c r="BW10" s="10">
        <f>Ops!BW39</f>
        <v>0</v>
      </c>
      <c r="BX10" s="10">
        <f>Ops!BX39</f>
        <v>0</v>
      </c>
      <c r="BY10" s="10">
        <f>Ops!BY39</f>
        <v>0</v>
      </c>
      <c r="BZ10" s="10">
        <f>Ops!BZ39</f>
        <v>0</v>
      </c>
      <c r="CA10" s="10">
        <f>Ops!CA39</f>
        <v>0</v>
      </c>
      <c r="CB10" s="10">
        <f>Ops!CB39</f>
        <v>0</v>
      </c>
      <c r="CC10" s="10">
        <f>Ops!CC39</f>
        <v>0</v>
      </c>
      <c r="CD10" s="10">
        <f>Ops!CD39</f>
        <v>0</v>
      </c>
      <c r="CE10" s="10">
        <f>Ops!CE39</f>
        <v>0</v>
      </c>
      <c r="CF10" s="10">
        <f>Ops!CF39</f>
        <v>0</v>
      </c>
      <c r="CG10" s="10">
        <f>Ops!CG39</f>
        <v>0</v>
      </c>
      <c r="CH10" s="10">
        <f>Ops!CH39</f>
        <v>0</v>
      </c>
      <c r="CI10" s="10">
        <f>Ops!CI39</f>
        <v>0</v>
      </c>
      <c r="CJ10" s="10">
        <f>Ops!CJ39</f>
        <v>0</v>
      </c>
      <c r="CK10" s="10">
        <f>Ops!CK39</f>
        <v>0</v>
      </c>
      <c r="CL10" s="10">
        <f>Ops!CL39</f>
        <v>0</v>
      </c>
      <c r="CM10" s="10">
        <f>Ops!CM39</f>
        <v>0</v>
      </c>
      <c r="CN10" s="10">
        <f>Ops!CN39</f>
        <v>0</v>
      </c>
      <c r="CO10" s="10">
        <f>Ops!CO39</f>
        <v>0</v>
      </c>
      <c r="CP10" s="10">
        <f>Ops!CP39</f>
        <v>0</v>
      </c>
      <c r="CQ10" s="10">
        <f>Ops!CQ39</f>
        <v>0</v>
      </c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</row>
    <row r="11" spans="2:108" ht="12.75" customHeight="1" x14ac:dyDescent="0.25">
      <c r="B11" s="17" t="s">
        <v>32</v>
      </c>
      <c r="C11" t="s">
        <v>286</v>
      </c>
      <c r="H11" s="54" t="s">
        <v>3</v>
      </c>
      <c r="N11" s="25" t="e">
        <f>SUM(P11:DD11)</f>
        <v>#REF!</v>
      </c>
      <c r="O11" s="26"/>
      <c r="P11" s="26" t="e">
        <f>Ops!P61</f>
        <v>#REF!</v>
      </c>
      <c r="Q11" s="26" t="e">
        <f>Ops!Q61</f>
        <v>#REF!</v>
      </c>
      <c r="R11" s="26" t="e">
        <f>Ops!R61</f>
        <v>#REF!</v>
      </c>
      <c r="S11" s="26" t="e">
        <f>Ops!S61</f>
        <v>#REF!</v>
      </c>
      <c r="T11" s="26" t="e">
        <f>Ops!T61</f>
        <v>#REF!</v>
      </c>
      <c r="U11" s="26" t="e">
        <f>Ops!U61</f>
        <v>#REF!</v>
      </c>
      <c r="V11" s="26" t="e">
        <f>Ops!V61</f>
        <v>#REF!</v>
      </c>
      <c r="W11" s="26" t="e">
        <f>Ops!W61</f>
        <v>#REF!</v>
      </c>
      <c r="X11" s="26" t="e">
        <f>Ops!X61</f>
        <v>#REF!</v>
      </c>
      <c r="Y11" s="26" t="e">
        <f>Ops!Y61</f>
        <v>#REF!</v>
      </c>
      <c r="Z11" s="26" t="e">
        <f>Ops!Z61</f>
        <v>#REF!</v>
      </c>
      <c r="AA11" s="26" t="e">
        <f>Ops!AA61</f>
        <v>#REF!</v>
      </c>
      <c r="AB11" s="26" t="e">
        <f>Ops!AB61</f>
        <v>#REF!</v>
      </c>
      <c r="AC11" s="26" t="e">
        <f>Ops!AC61</f>
        <v>#REF!</v>
      </c>
      <c r="AD11" s="26" t="e">
        <f>Ops!AD61</f>
        <v>#REF!</v>
      </c>
      <c r="AE11" s="26" t="e">
        <f>Ops!AE61</f>
        <v>#REF!</v>
      </c>
      <c r="AF11" s="26" t="e">
        <f>Ops!AF61</f>
        <v>#REF!</v>
      </c>
      <c r="AG11" s="26" t="e">
        <f>Ops!AG61</f>
        <v>#REF!</v>
      </c>
      <c r="AH11" s="26" t="e">
        <f>Ops!AH61</f>
        <v>#REF!</v>
      </c>
      <c r="AI11" s="26" t="e">
        <f>Ops!AI61</f>
        <v>#REF!</v>
      </c>
      <c r="AJ11" s="26" t="e">
        <f>Ops!AJ61</f>
        <v>#REF!</v>
      </c>
      <c r="AK11" s="26" t="e">
        <f>Ops!AK61</f>
        <v>#REF!</v>
      </c>
      <c r="AL11" s="26" t="e">
        <f>Ops!AL61</f>
        <v>#REF!</v>
      </c>
      <c r="AM11" s="26" t="e">
        <f>Ops!AM61</f>
        <v>#REF!</v>
      </c>
      <c r="AN11" s="26" t="e">
        <f>Ops!AN61</f>
        <v>#REF!</v>
      </c>
      <c r="AO11" s="26" t="e">
        <f>Ops!AO61</f>
        <v>#REF!</v>
      </c>
      <c r="AP11" s="26" t="e">
        <f>Ops!AP61</f>
        <v>#REF!</v>
      </c>
      <c r="AQ11" s="26" t="e">
        <f>Ops!AQ61</f>
        <v>#REF!</v>
      </c>
      <c r="AR11" s="26" t="e">
        <f>Ops!AR61</f>
        <v>#REF!</v>
      </c>
      <c r="AS11" s="26" t="e">
        <f>Ops!AS61</f>
        <v>#REF!</v>
      </c>
      <c r="AT11" s="26" t="e">
        <f>Ops!AT61</f>
        <v>#REF!</v>
      </c>
      <c r="AU11" s="26" t="e">
        <f>Ops!AU61</f>
        <v>#REF!</v>
      </c>
      <c r="AV11" s="26" t="e">
        <f>Ops!AV61</f>
        <v>#REF!</v>
      </c>
      <c r="AW11" s="26" t="e">
        <f>Ops!AW61</f>
        <v>#REF!</v>
      </c>
      <c r="AX11" s="26" t="e">
        <f>Ops!AX61</f>
        <v>#REF!</v>
      </c>
      <c r="AY11" s="26" t="e">
        <f>Ops!AY61</f>
        <v>#REF!</v>
      </c>
      <c r="AZ11" s="26" t="e">
        <f>Ops!AZ61</f>
        <v>#REF!</v>
      </c>
      <c r="BA11" s="26" t="e">
        <f>Ops!BA61</f>
        <v>#REF!</v>
      </c>
      <c r="BB11" s="26" t="e">
        <f>Ops!BB61</f>
        <v>#REF!</v>
      </c>
      <c r="BC11" s="26" t="e">
        <f>Ops!BC61</f>
        <v>#REF!</v>
      </c>
      <c r="BD11" s="26" t="e">
        <f>Ops!BD61</f>
        <v>#REF!</v>
      </c>
      <c r="BE11" s="26" t="e">
        <f>Ops!BE61</f>
        <v>#REF!</v>
      </c>
      <c r="BF11" s="26" t="e">
        <f>Ops!BF61</f>
        <v>#REF!</v>
      </c>
      <c r="BG11" s="26" t="e">
        <f>Ops!BG61</f>
        <v>#REF!</v>
      </c>
      <c r="BH11" s="26" t="e">
        <f>Ops!BH61</f>
        <v>#REF!</v>
      </c>
      <c r="BI11" s="26" t="e">
        <f>Ops!BI61</f>
        <v>#REF!</v>
      </c>
      <c r="BJ11" s="26" t="e">
        <f>Ops!BJ61</f>
        <v>#REF!</v>
      </c>
      <c r="BK11" s="26" t="e">
        <f>Ops!BK61</f>
        <v>#REF!</v>
      </c>
      <c r="BL11" s="26" t="e">
        <f>Ops!BL61</f>
        <v>#REF!</v>
      </c>
      <c r="BM11" s="26" t="e">
        <f>Ops!BM61</f>
        <v>#REF!</v>
      </c>
      <c r="BN11" s="26" t="e">
        <f>Ops!BN61</f>
        <v>#REF!</v>
      </c>
      <c r="BO11" s="26" t="e">
        <f>Ops!BO61</f>
        <v>#REF!</v>
      </c>
      <c r="BP11" s="26" t="e">
        <f>Ops!BP61</f>
        <v>#REF!</v>
      </c>
      <c r="BQ11" s="26" t="e">
        <f>Ops!BQ61</f>
        <v>#REF!</v>
      </c>
      <c r="BR11" s="26" t="e">
        <f>Ops!BR61</f>
        <v>#REF!</v>
      </c>
      <c r="BS11" s="26" t="e">
        <f>Ops!BS61</f>
        <v>#REF!</v>
      </c>
      <c r="BT11" s="26" t="e">
        <f>Ops!BT61</f>
        <v>#REF!</v>
      </c>
      <c r="BU11" s="26" t="e">
        <f>Ops!BU61</f>
        <v>#REF!</v>
      </c>
      <c r="BV11" s="26" t="e">
        <f>Ops!BV61</f>
        <v>#REF!</v>
      </c>
      <c r="BW11" s="26" t="e">
        <f>Ops!BW61</f>
        <v>#REF!</v>
      </c>
      <c r="BX11" s="26" t="e">
        <f>Ops!BX61</f>
        <v>#REF!</v>
      </c>
      <c r="BY11" s="26" t="e">
        <f>Ops!BY61</f>
        <v>#REF!</v>
      </c>
      <c r="BZ11" s="26" t="e">
        <f>Ops!BZ61</f>
        <v>#REF!</v>
      </c>
      <c r="CA11" s="26" t="e">
        <f>Ops!CA61</f>
        <v>#REF!</v>
      </c>
      <c r="CB11" s="26" t="e">
        <f>Ops!CB61</f>
        <v>#REF!</v>
      </c>
      <c r="CC11" s="26" t="e">
        <f>Ops!CC61</f>
        <v>#REF!</v>
      </c>
      <c r="CD11" s="26" t="e">
        <f>Ops!CD61</f>
        <v>#REF!</v>
      </c>
      <c r="CE11" s="26" t="e">
        <f>Ops!CE61</f>
        <v>#REF!</v>
      </c>
      <c r="CF11" s="26" t="e">
        <f>Ops!CF61</f>
        <v>#REF!</v>
      </c>
      <c r="CG11" s="26" t="e">
        <f>Ops!CG61</f>
        <v>#REF!</v>
      </c>
      <c r="CH11" s="26" t="e">
        <f>Ops!CH61</f>
        <v>#REF!</v>
      </c>
      <c r="CI11" s="26" t="e">
        <f>Ops!CI61</f>
        <v>#REF!</v>
      </c>
      <c r="CJ11" s="26" t="e">
        <f>Ops!CJ61</f>
        <v>#REF!</v>
      </c>
      <c r="CK11" s="26" t="e">
        <f>Ops!CK61</f>
        <v>#REF!</v>
      </c>
      <c r="CL11" s="26" t="e">
        <f>Ops!CL61</f>
        <v>#REF!</v>
      </c>
      <c r="CM11" s="26" t="e">
        <f>Ops!CM61</f>
        <v>#REF!</v>
      </c>
      <c r="CN11" s="26" t="e">
        <f>Ops!CN61</f>
        <v>#REF!</v>
      </c>
      <c r="CO11" s="26" t="e">
        <f>Ops!CO61</f>
        <v>#REF!</v>
      </c>
      <c r="CP11" s="26" t="e">
        <f>Ops!CP61</f>
        <v>#REF!</v>
      </c>
      <c r="CQ11" s="26" t="e">
        <f>Ops!CQ61</f>
        <v>#REF!</v>
      </c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</row>
    <row r="12" spans="2:108" ht="12.75" customHeight="1" x14ac:dyDescent="0.25">
      <c r="B12" s="184"/>
      <c r="H12" s="54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</row>
    <row r="13" spans="2:108" ht="12.75" customHeight="1" x14ac:dyDescent="0.25">
      <c r="B13" s="43" t="s">
        <v>48</v>
      </c>
      <c r="H13" s="54" t="s">
        <v>3</v>
      </c>
      <c r="N13" s="25" t="e">
        <f>SUM(P13:DD13)</f>
        <v>#REF!</v>
      </c>
      <c r="O13" s="10"/>
      <c r="P13" s="10" t="e">
        <f t="shared" ref="P13:CA13" si="1">P10-P11</f>
        <v>#REF!</v>
      </c>
      <c r="Q13" s="10" t="e">
        <f t="shared" si="1"/>
        <v>#REF!</v>
      </c>
      <c r="R13" s="37" t="e">
        <f t="shared" si="1"/>
        <v>#REF!</v>
      </c>
      <c r="S13" s="37" t="e">
        <f t="shared" si="1"/>
        <v>#REF!</v>
      </c>
      <c r="T13" s="37" t="e">
        <f t="shared" si="1"/>
        <v>#REF!</v>
      </c>
      <c r="U13" s="37" t="e">
        <f t="shared" si="1"/>
        <v>#REF!</v>
      </c>
      <c r="V13" s="37" t="e">
        <f t="shared" si="1"/>
        <v>#REF!</v>
      </c>
      <c r="W13" s="37" t="e">
        <f t="shared" si="1"/>
        <v>#REF!</v>
      </c>
      <c r="X13" s="37" t="e">
        <f t="shared" si="1"/>
        <v>#REF!</v>
      </c>
      <c r="Y13" s="37" t="e">
        <f t="shared" si="1"/>
        <v>#REF!</v>
      </c>
      <c r="Z13" s="37" t="e">
        <f t="shared" si="1"/>
        <v>#REF!</v>
      </c>
      <c r="AA13" s="37" t="e">
        <f t="shared" si="1"/>
        <v>#REF!</v>
      </c>
      <c r="AB13" s="37" t="e">
        <f t="shared" si="1"/>
        <v>#REF!</v>
      </c>
      <c r="AC13" s="37" t="e">
        <f t="shared" si="1"/>
        <v>#REF!</v>
      </c>
      <c r="AD13" s="37" t="e">
        <f t="shared" si="1"/>
        <v>#REF!</v>
      </c>
      <c r="AE13" s="37" t="e">
        <f t="shared" si="1"/>
        <v>#REF!</v>
      </c>
      <c r="AF13" s="37" t="e">
        <f t="shared" si="1"/>
        <v>#REF!</v>
      </c>
      <c r="AG13" s="37" t="e">
        <f t="shared" si="1"/>
        <v>#REF!</v>
      </c>
      <c r="AH13" s="37" t="e">
        <f t="shared" si="1"/>
        <v>#REF!</v>
      </c>
      <c r="AI13" s="37" t="e">
        <f t="shared" si="1"/>
        <v>#REF!</v>
      </c>
      <c r="AJ13" s="37" t="e">
        <f t="shared" si="1"/>
        <v>#REF!</v>
      </c>
      <c r="AK13" s="37" t="e">
        <f t="shared" si="1"/>
        <v>#REF!</v>
      </c>
      <c r="AL13" s="37" t="e">
        <f t="shared" si="1"/>
        <v>#REF!</v>
      </c>
      <c r="AM13" s="37" t="e">
        <f t="shared" si="1"/>
        <v>#REF!</v>
      </c>
      <c r="AN13" s="37" t="e">
        <f t="shared" si="1"/>
        <v>#REF!</v>
      </c>
      <c r="AO13" s="37" t="e">
        <f t="shared" si="1"/>
        <v>#REF!</v>
      </c>
      <c r="AP13" s="37" t="e">
        <f t="shared" si="1"/>
        <v>#REF!</v>
      </c>
      <c r="AQ13" s="37" t="e">
        <f t="shared" si="1"/>
        <v>#REF!</v>
      </c>
      <c r="AR13" s="37" t="e">
        <f t="shared" si="1"/>
        <v>#REF!</v>
      </c>
      <c r="AS13" s="37" t="e">
        <f t="shared" si="1"/>
        <v>#REF!</v>
      </c>
      <c r="AT13" s="37" t="e">
        <f t="shared" si="1"/>
        <v>#REF!</v>
      </c>
      <c r="AU13" s="37" t="e">
        <f t="shared" si="1"/>
        <v>#REF!</v>
      </c>
      <c r="AV13" s="37" t="e">
        <f t="shared" si="1"/>
        <v>#REF!</v>
      </c>
      <c r="AW13" s="37" t="e">
        <f t="shared" si="1"/>
        <v>#REF!</v>
      </c>
      <c r="AX13" s="37" t="e">
        <f t="shared" si="1"/>
        <v>#REF!</v>
      </c>
      <c r="AY13" s="37" t="e">
        <f t="shared" si="1"/>
        <v>#REF!</v>
      </c>
      <c r="AZ13" s="37" t="e">
        <f t="shared" si="1"/>
        <v>#REF!</v>
      </c>
      <c r="BA13" s="37" t="e">
        <f t="shared" si="1"/>
        <v>#REF!</v>
      </c>
      <c r="BB13" s="37" t="e">
        <f t="shared" si="1"/>
        <v>#REF!</v>
      </c>
      <c r="BC13" s="37" t="e">
        <f t="shared" si="1"/>
        <v>#REF!</v>
      </c>
      <c r="BD13" s="37" t="e">
        <f t="shared" si="1"/>
        <v>#REF!</v>
      </c>
      <c r="BE13" s="37" t="e">
        <f t="shared" si="1"/>
        <v>#REF!</v>
      </c>
      <c r="BF13" s="37" t="e">
        <f t="shared" si="1"/>
        <v>#REF!</v>
      </c>
      <c r="BG13" s="37" t="e">
        <f t="shared" si="1"/>
        <v>#REF!</v>
      </c>
      <c r="BH13" s="37" t="e">
        <f t="shared" si="1"/>
        <v>#REF!</v>
      </c>
      <c r="BI13" s="37" t="e">
        <f t="shared" si="1"/>
        <v>#REF!</v>
      </c>
      <c r="BJ13" s="37" t="e">
        <f t="shared" si="1"/>
        <v>#REF!</v>
      </c>
      <c r="BK13" s="37" t="e">
        <f t="shared" si="1"/>
        <v>#REF!</v>
      </c>
      <c r="BL13" s="37" t="e">
        <f t="shared" si="1"/>
        <v>#REF!</v>
      </c>
      <c r="BM13" s="37" t="e">
        <f t="shared" si="1"/>
        <v>#REF!</v>
      </c>
      <c r="BN13" s="37" t="e">
        <f t="shared" si="1"/>
        <v>#REF!</v>
      </c>
      <c r="BO13" s="37" t="e">
        <f t="shared" si="1"/>
        <v>#REF!</v>
      </c>
      <c r="BP13" s="37" t="e">
        <f t="shared" si="1"/>
        <v>#REF!</v>
      </c>
      <c r="BQ13" s="37" t="e">
        <f t="shared" si="1"/>
        <v>#REF!</v>
      </c>
      <c r="BR13" s="37" t="e">
        <f t="shared" si="1"/>
        <v>#REF!</v>
      </c>
      <c r="BS13" s="37" t="e">
        <f t="shared" si="1"/>
        <v>#REF!</v>
      </c>
      <c r="BT13" s="37" t="e">
        <f t="shared" si="1"/>
        <v>#REF!</v>
      </c>
      <c r="BU13" s="37" t="e">
        <f t="shared" si="1"/>
        <v>#REF!</v>
      </c>
      <c r="BV13" s="37" t="e">
        <f t="shared" si="1"/>
        <v>#REF!</v>
      </c>
      <c r="BW13" s="37" t="e">
        <f t="shared" si="1"/>
        <v>#REF!</v>
      </c>
      <c r="BX13" s="37" t="e">
        <f t="shared" si="1"/>
        <v>#REF!</v>
      </c>
      <c r="BY13" s="37" t="e">
        <f t="shared" si="1"/>
        <v>#REF!</v>
      </c>
      <c r="BZ13" s="37" t="e">
        <f t="shared" si="1"/>
        <v>#REF!</v>
      </c>
      <c r="CA13" s="37" t="e">
        <f t="shared" si="1"/>
        <v>#REF!</v>
      </c>
      <c r="CB13" s="37" t="e">
        <f t="shared" ref="CB13:CQ13" si="2">CB10-CB11</f>
        <v>#REF!</v>
      </c>
      <c r="CC13" s="37" t="e">
        <f t="shared" si="2"/>
        <v>#REF!</v>
      </c>
      <c r="CD13" s="37" t="e">
        <f t="shared" si="2"/>
        <v>#REF!</v>
      </c>
      <c r="CE13" s="37" t="e">
        <f t="shared" si="2"/>
        <v>#REF!</v>
      </c>
      <c r="CF13" s="37" t="e">
        <f t="shared" si="2"/>
        <v>#REF!</v>
      </c>
      <c r="CG13" s="37" t="e">
        <f t="shared" si="2"/>
        <v>#REF!</v>
      </c>
      <c r="CH13" s="37" t="e">
        <f t="shared" si="2"/>
        <v>#REF!</v>
      </c>
      <c r="CI13" s="37" t="e">
        <f t="shared" si="2"/>
        <v>#REF!</v>
      </c>
      <c r="CJ13" s="37" t="e">
        <f t="shared" si="2"/>
        <v>#REF!</v>
      </c>
      <c r="CK13" s="37" t="e">
        <f t="shared" si="2"/>
        <v>#REF!</v>
      </c>
      <c r="CL13" s="37" t="e">
        <f t="shared" si="2"/>
        <v>#REF!</v>
      </c>
      <c r="CM13" s="37" t="e">
        <f t="shared" si="2"/>
        <v>#REF!</v>
      </c>
      <c r="CN13" s="37" t="e">
        <f t="shared" si="2"/>
        <v>#REF!</v>
      </c>
      <c r="CO13" s="37" t="e">
        <f t="shared" si="2"/>
        <v>#REF!</v>
      </c>
      <c r="CP13" s="37" t="e">
        <f t="shared" si="2"/>
        <v>#REF!</v>
      </c>
      <c r="CQ13" s="37" t="e">
        <f t="shared" si="2"/>
        <v>#REF!</v>
      </c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</row>
    <row r="14" spans="2:108" ht="12.75" customHeight="1" x14ac:dyDescent="0.25">
      <c r="B14" s="184" t="s">
        <v>287</v>
      </c>
      <c r="H14" s="54" t="s">
        <v>6</v>
      </c>
      <c r="J14" s="16"/>
      <c r="K14" s="16"/>
      <c r="N14" s="19"/>
      <c r="O14" s="199"/>
      <c r="P14" s="199">
        <f t="shared" ref="P14:CA14" si="3">IFERROR(P13/P10,0)</f>
        <v>0</v>
      </c>
      <c r="Q14" s="199">
        <f t="shared" si="3"/>
        <v>0</v>
      </c>
      <c r="R14" s="199">
        <f t="shared" si="3"/>
        <v>0</v>
      </c>
      <c r="S14" s="199">
        <f t="shared" si="3"/>
        <v>0</v>
      </c>
      <c r="T14" s="199">
        <f t="shared" si="3"/>
        <v>0</v>
      </c>
      <c r="U14" s="199">
        <f t="shared" si="3"/>
        <v>0</v>
      </c>
      <c r="V14" s="199">
        <f t="shared" si="3"/>
        <v>0</v>
      </c>
      <c r="W14" s="199">
        <f t="shared" si="3"/>
        <v>0</v>
      </c>
      <c r="X14" s="199">
        <f t="shared" si="3"/>
        <v>0</v>
      </c>
      <c r="Y14" s="199">
        <f t="shared" si="3"/>
        <v>0</v>
      </c>
      <c r="Z14" s="199">
        <f t="shared" si="3"/>
        <v>0</v>
      </c>
      <c r="AA14" s="199">
        <f t="shared" si="3"/>
        <v>0</v>
      </c>
      <c r="AB14" s="199">
        <f t="shared" si="3"/>
        <v>0</v>
      </c>
      <c r="AC14" s="199">
        <f t="shared" si="3"/>
        <v>0</v>
      </c>
      <c r="AD14" s="199">
        <f t="shared" si="3"/>
        <v>0</v>
      </c>
      <c r="AE14" s="199">
        <f t="shared" si="3"/>
        <v>0</v>
      </c>
      <c r="AF14" s="199">
        <f t="shared" si="3"/>
        <v>0</v>
      </c>
      <c r="AG14" s="199">
        <f t="shared" si="3"/>
        <v>0</v>
      </c>
      <c r="AH14" s="199">
        <f t="shared" si="3"/>
        <v>0</v>
      </c>
      <c r="AI14" s="199">
        <f t="shared" si="3"/>
        <v>0</v>
      </c>
      <c r="AJ14" s="199">
        <f t="shared" si="3"/>
        <v>0</v>
      </c>
      <c r="AK14" s="199">
        <f t="shared" si="3"/>
        <v>0</v>
      </c>
      <c r="AL14" s="199">
        <f t="shared" si="3"/>
        <v>0</v>
      </c>
      <c r="AM14" s="199">
        <f t="shared" si="3"/>
        <v>0</v>
      </c>
      <c r="AN14" s="199">
        <f t="shared" si="3"/>
        <v>0</v>
      </c>
      <c r="AO14" s="199">
        <f t="shared" si="3"/>
        <v>0</v>
      </c>
      <c r="AP14" s="199">
        <f t="shared" si="3"/>
        <v>0</v>
      </c>
      <c r="AQ14" s="199">
        <f t="shared" si="3"/>
        <v>0</v>
      </c>
      <c r="AR14" s="199">
        <f t="shared" si="3"/>
        <v>0</v>
      </c>
      <c r="AS14" s="199">
        <f t="shared" si="3"/>
        <v>0</v>
      </c>
      <c r="AT14" s="199">
        <f t="shared" si="3"/>
        <v>0</v>
      </c>
      <c r="AU14" s="199">
        <f t="shared" si="3"/>
        <v>0</v>
      </c>
      <c r="AV14" s="199">
        <f t="shared" si="3"/>
        <v>0</v>
      </c>
      <c r="AW14" s="199">
        <f t="shared" si="3"/>
        <v>0</v>
      </c>
      <c r="AX14" s="199">
        <f t="shared" si="3"/>
        <v>0</v>
      </c>
      <c r="AY14" s="199">
        <f t="shared" si="3"/>
        <v>0</v>
      </c>
      <c r="AZ14" s="199">
        <f t="shared" si="3"/>
        <v>0</v>
      </c>
      <c r="BA14" s="199">
        <f t="shared" si="3"/>
        <v>0</v>
      </c>
      <c r="BB14" s="199">
        <f t="shared" si="3"/>
        <v>0</v>
      </c>
      <c r="BC14" s="199">
        <f t="shared" si="3"/>
        <v>0</v>
      </c>
      <c r="BD14" s="199">
        <f t="shared" si="3"/>
        <v>0</v>
      </c>
      <c r="BE14" s="199">
        <f t="shared" si="3"/>
        <v>0</v>
      </c>
      <c r="BF14" s="199">
        <f t="shared" si="3"/>
        <v>0</v>
      </c>
      <c r="BG14" s="199">
        <f t="shared" si="3"/>
        <v>0</v>
      </c>
      <c r="BH14" s="199">
        <f t="shared" si="3"/>
        <v>0</v>
      </c>
      <c r="BI14" s="199">
        <f t="shared" si="3"/>
        <v>0</v>
      </c>
      <c r="BJ14" s="199">
        <f t="shared" si="3"/>
        <v>0</v>
      </c>
      <c r="BK14" s="199">
        <f t="shared" si="3"/>
        <v>0</v>
      </c>
      <c r="BL14" s="199">
        <f t="shared" si="3"/>
        <v>0</v>
      </c>
      <c r="BM14" s="199">
        <f t="shared" si="3"/>
        <v>0</v>
      </c>
      <c r="BN14" s="199">
        <f t="shared" si="3"/>
        <v>0</v>
      </c>
      <c r="BO14" s="199">
        <f t="shared" si="3"/>
        <v>0</v>
      </c>
      <c r="BP14" s="199">
        <f t="shared" si="3"/>
        <v>0</v>
      </c>
      <c r="BQ14" s="199">
        <f t="shared" si="3"/>
        <v>0</v>
      </c>
      <c r="BR14" s="199">
        <f t="shared" si="3"/>
        <v>0</v>
      </c>
      <c r="BS14" s="199">
        <f t="shared" si="3"/>
        <v>0</v>
      </c>
      <c r="BT14" s="199">
        <f t="shared" si="3"/>
        <v>0</v>
      </c>
      <c r="BU14" s="199">
        <f t="shared" si="3"/>
        <v>0</v>
      </c>
      <c r="BV14" s="199">
        <f t="shared" si="3"/>
        <v>0</v>
      </c>
      <c r="BW14" s="199">
        <f t="shared" si="3"/>
        <v>0</v>
      </c>
      <c r="BX14" s="199">
        <f t="shared" si="3"/>
        <v>0</v>
      </c>
      <c r="BY14" s="199">
        <f t="shared" si="3"/>
        <v>0</v>
      </c>
      <c r="BZ14" s="199">
        <f t="shared" si="3"/>
        <v>0</v>
      </c>
      <c r="CA14" s="199">
        <f t="shared" si="3"/>
        <v>0</v>
      </c>
      <c r="CB14" s="199">
        <f t="shared" ref="CB14:CQ14" si="4">IFERROR(CB13/CB10,0)</f>
        <v>0</v>
      </c>
      <c r="CC14" s="199">
        <f t="shared" si="4"/>
        <v>0</v>
      </c>
      <c r="CD14" s="199">
        <f t="shared" si="4"/>
        <v>0</v>
      </c>
      <c r="CE14" s="199">
        <f t="shared" si="4"/>
        <v>0</v>
      </c>
      <c r="CF14" s="199">
        <f t="shared" si="4"/>
        <v>0</v>
      </c>
      <c r="CG14" s="199">
        <f t="shared" si="4"/>
        <v>0</v>
      </c>
      <c r="CH14" s="199">
        <f t="shared" si="4"/>
        <v>0</v>
      </c>
      <c r="CI14" s="199">
        <f t="shared" si="4"/>
        <v>0</v>
      </c>
      <c r="CJ14" s="199">
        <f t="shared" si="4"/>
        <v>0</v>
      </c>
      <c r="CK14" s="199">
        <f t="shared" si="4"/>
        <v>0</v>
      </c>
      <c r="CL14" s="199">
        <f t="shared" si="4"/>
        <v>0</v>
      </c>
      <c r="CM14" s="199">
        <f t="shared" si="4"/>
        <v>0</v>
      </c>
      <c r="CN14" s="199">
        <f t="shared" si="4"/>
        <v>0</v>
      </c>
      <c r="CO14" s="199">
        <f t="shared" si="4"/>
        <v>0</v>
      </c>
      <c r="CP14" s="199">
        <f t="shared" si="4"/>
        <v>0</v>
      </c>
      <c r="CQ14" s="199">
        <f t="shared" si="4"/>
        <v>0</v>
      </c>
      <c r="CR14" s="199"/>
      <c r="CS14" s="199"/>
      <c r="CT14" s="199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</row>
    <row r="15" spans="2:108" ht="12.75" customHeight="1" x14ac:dyDescent="0.25">
      <c r="B15" s="184"/>
      <c r="H15" s="54"/>
      <c r="J15" s="16"/>
      <c r="K15" s="16"/>
      <c r="N15" s="19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</row>
    <row r="16" spans="2:108" ht="12.75" customHeight="1" x14ac:dyDescent="0.25">
      <c r="B16" s="17" t="s">
        <v>32</v>
      </c>
      <c r="C16" t="s">
        <v>277</v>
      </c>
      <c r="H16" s="54" t="s">
        <v>3</v>
      </c>
      <c r="J16" s="16"/>
      <c r="K16" s="16"/>
      <c r="N16" s="25" t="e">
        <f>SUM(P16:DD16)</f>
        <v>#REF!</v>
      </c>
      <c r="O16" s="10"/>
      <c r="P16" s="10" t="e">
        <f>'T&amp;D'!P46</f>
        <v>#REF!</v>
      </c>
      <c r="Q16" s="10" t="e">
        <f>'T&amp;D'!Q46</f>
        <v>#REF!</v>
      </c>
      <c r="R16" s="10" t="e">
        <f>'T&amp;D'!R46</f>
        <v>#REF!</v>
      </c>
      <c r="S16" s="10" t="e">
        <f>'T&amp;D'!S46</f>
        <v>#REF!</v>
      </c>
      <c r="T16" s="10" t="e">
        <f>'T&amp;D'!T46</f>
        <v>#REF!</v>
      </c>
      <c r="U16" s="10" t="e">
        <f>'T&amp;D'!U46</f>
        <v>#REF!</v>
      </c>
      <c r="V16" s="10" t="e">
        <f>'T&amp;D'!V46</f>
        <v>#REF!</v>
      </c>
      <c r="W16" s="10" t="e">
        <f>'T&amp;D'!W46</f>
        <v>#REF!</v>
      </c>
      <c r="X16" s="10" t="e">
        <f>'T&amp;D'!X46</f>
        <v>#REF!</v>
      </c>
      <c r="Y16" s="10" t="e">
        <f>'T&amp;D'!Y46</f>
        <v>#REF!</v>
      </c>
      <c r="Z16" s="10" t="e">
        <f>'T&amp;D'!Z46</f>
        <v>#REF!</v>
      </c>
      <c r="AA16" s="10" t="e">
        <f>'T&amp;D'!AA46</f>
        <v>#REF!</v>
      </c>
      <c r="AB16" s="10" t="e">
        <f>'T&amp;D'!AB46</f>
        <v>#REF!</v>
      </c>
      <c r="AC16" s="10" t="e">
        <f>'T&amp;D'!AC46</f>
        <v>#REF!</v>
      </c>
      <c r="AD16" s="10" t="e">
        <f>'T&amp;D'!AD46</f>
        <v>#REF!</v>
      </c>
      <c r="AE16" s="10" t="e">
        <f>'T&amp;D'!AE46</f>
        <v>#REF!</v>
      </c>
      <c r="AF16" s="10" t="e">
        <f>'T&amp;D'!AF46</f>
        <v>#REF!</v>
      </c>
      <c r="AG16" s="10" t="e">
        <f>'T&amp;D'!AG46</f>
        <v>#REF!</v>
      </c>
      <c r="AH16" s="10" t="e">
        <f>'T&amp;D'!AH46</f>
        <v>#REF!</v>
      </c>
      <c r="AI16" s="10" t="e">
        <f>'T&amp;D'!AI46</f>
        <v>#REF!</v>
      </c>
      <c r="AJ16" s="10" t="e">
        <f>'T&amp;D'!AJ46</f>
        <v>#REF!</v>
      </c>
      <c r="AK16" s="10" t="e">
        <f>'T&amp;D'!AK46</f>
        <v>#REF!</v>
      </c>
      <c r="AL16" s="10" t="e">
        <f>'T&amp;D'!AL46</f>
        <v>#REF!</v>
      </c>
      <c r="AM16" s="10" t="e">
        <f>'T&amp;D'!AM46</f>
        <v>#REF!</v>
      </c>
      <c r="AN16" s="10" t="e">
        <f>'T&amp;D'!AN46</f>
        <v>#REF!</v>
      </c>
      <c r="AO16" s="10" t="e">
        <f>'T&amp;D'!AO46</f>
        <v>#REF!</v>
      </c>
      <c r="AP16" s="10" t="e">
        <f>'T&amp;D'!AP46</f>
        <v>#REF!</v>
      </c>
      <c r="AQ16" s="10" t="e">
        <f>'T&amp;D'!AQ46</f>
        <v>#REF!</v>
      </c>
      <c r="AR16" s="10" t="e">
        <f>'T&amp;D'!AR46</f>
        <v>#REF!</v>
      </c>
      <c r="AS16" s="10" t="e">
        <f>'T&amp;D'!AS46</f>
        <v>#REF!</v>
      </c>
      <c r="AT16" s="10" t="e">
        <f>'T&amp;D'!AT46</f>
        <v>#REF!</v>
      </c>
      <c r="AU16" s="10" t="e">
        <f>'T&amp;D'!AU46</f>
        <v>#REF!</v>
      </c>
      <c r="AV16" s="10" t="e">
        <f>'T&amp;D'!AV46</f>
        <v>#REF!</v>
      </c>
      <c r="AW16" s="10" t="e">
        <f>'T&amp;D'!AW46</f>
        <v>#REF!</v>
      </c>
      <c r="AX16" s="10" t="e">
        <f>'T&amp;D'!AX46</f>
        <v>#REF!</v>
      </c>
      <c r="AY16" s="10" t="e">
        <f>'T&amp;D'!AY46</f>
        <v>#REF!</v>
      </c>
      <c r="AZ16" s="10" t="e">
        <f>'T&amp;D'!AZ46</f>
        <v>#REF!</v>
      </c>
      <c r="BA16" s="10" t="e">
        <f>'T&amp;D'!BA46</f>
        <v>#REF!</v>
      </c>
      <c r="BB16" s="10" t="e">
        <f>'T&amp;D'!BB46</f>
        <v>#REF!</v>
      </c>
      <c r="BC16" s="10" t="e">
        <f>'T&amp;D'!BC46</f>
        <v>#REF!</v>
      </c>
      <c r="BD16" s="10" t="e">
        <f>'T&amp;D'!BD46</f>
        <v>#REF!</v>
      </c>
      <c r="BE16" s="10" t="e">
        <f>'T&amp;D'!BE46</f>
        <v>#REF!</v>
      </c>
      <c r="BF16" s="10" t="e">
        <f>'T&amp;D'!BF46</f>
        <v>#REF!</v>
      </c>
      <c r="BG16" s="10" t="e">
        <f>'T&amp;D'!BG46</f>
        <v>#REF!</v>
      </c>
      <c r="BH16" s="10" t="e">
        <f>'T&amp;D'!BH46</f>
        <v>#REF!</v>
      </c>
      <c r="BI16" s="10" t="e">
        <f>'T&amp;D'!BI46</f>
        <v>#REF!</v>
      </c>
      <c r="BJ16" s="10" t="e">
        <f>'T&amp;D'!BJ46</f>
        <v>#REF!</v>
      </c>
      <c r="BK16" s="10" t="e">
        <f>'T&amp;D'!BK46</f>
        <v>#REF!</v>
      </c>
      <c r="BL16" s="10" t="e">
        <f>'T&amp;D'!BL46</f>
        <v>#REF!</v>
      </c>
      <c r="BM16" s="10" t="e">
        <f>'T&amp;D'!BM46</f>
        <v>#REF!</v>
      </c>
      <c r="BN16" s="10" t="e">
        <f>'T&amp;D'!BN46</f>
        <v>#REF!</v>
      </c>
      <c r="BO16" s="10" t="e">
        <f>'T&amp;D'!BO46</f>
        <v>#REF!</v>
      </c>
      <c r="BP16" s="10" t="e">
        <f>'T&amp;D'!BP46</f>
        <v>#REF!</v>
      </c>
      <c r="BQ16" s="10" t="e">
        <f>'T&amp;D'!BQ46</f>
        <v>#REF!</v>
      </c>
      <c r="BR16" s="10" t="e">
        <f>'T&amp;D'!BR46</f>
        <v>#REF!</v>
      </c>
      <c r="BS16" s="10" t="e">
        <f>'T&amp;D'!BS46</f>
        <v>#REF!</v>
      </c>
      <c r="BT16" s="10" t="e">
        <f>'T&amp;D'!BT46</f>
        <v>#REF!</v>
      </c>
      <c r="BU16" s="10" t="e">
        <f>'T&amp;D'!BU46</f>
        <v>#REF!</v>
      </c>
      <c r="BV16" s="10" t="e">
        <f>'T&amp;D'!BV46</f>
        <v>#REF!</v>
      </c>
      <c r="BW16" s="10" t="e">
        <f>'T&amp;D'!BW46</f>
        <v>#REF!</v>
      </c>
      <c r="BX16" s="10" t="e">
        <f>'T&amp;D'!BX46</f>
        <v>#REF!</v>
      </c>
      <c r="BY16" s="10" t="e">
        <f>'T&amp;D'!BY46</f>
        <v>#REF!</v>
      </c>
      <c r="BZ16" s="10" t="e">
        <f>'T&amp;D'!BZ46</f>
        <v>#REF!</v>
      </c>
      <c r="CA16" s="10" t="e">
        <f>'T&amp;D'!CA46</f>
        <v>#REF!</v>
      </c>
      <c r="CB16" s="10" t="e">
        <f>'T&amp;D'!CB46</f>
        <v>#REF!</v>
      </c>
      <c r="CC16" s="10" t="e">
        <f>'T&amp;D'!CC46</f>
        <v>#REF!</v>
      </c>
      <c r="CD16" s="10" t="e">
        <f>'T&amp;D'!CD46</f>
        <v>#REF!</v>
      </c>
      <c r="CE16" s="10" t="e">
        <f>'T&amp;D'!CE46</f>
        <v>#REF!</v>
      </c>
      <c r="CF16" s="10" t="e">
        <f>'T&amp;D'!CF46</f>
        <v>#REF!</v>
      </c>
      <c r="CG16" s="10" t="e">
        <f>'T&amp;D'!CG46</f>
        <v>#REF!</v>
      </c>
      <c r="CH16" s="10" t="e">
        <f>'T&amp;D'!CH46</f>
        <v>#REF!</v>
      </c>
      <c r="CI16" s="10" t="e">
        <f>'T&amp;D'!CI46</f>
        <v>#REF!</v>
      </c>
      <c r="CJ16" s="10" t="e">
        <f>'T&amp;D'!CJ46</f>
        <v>#REF!</v>
      </c>
      <c r="CK16" s="10" t="e">
        <f>'T&amp;D'!CK46</f>
        <v>#REF!</v>
      </c>
      <c r="CL16" s="10" t="e">
        <f>'T&amp;D'!CL46</f>
        <v>#REF!</v>
      </c>
      <c r="CM16" s="10" t="e">
        <f>'T&amp;D'!CM46</f>
        <v>#REF!</v>
      </c>
      <c r="CN16" s="10" t="e">
        <f>'T&amp;D'!CN46</f>
        <v>#REF!</v>
      </c>
      <c r="CO16" s="10" t="e">
        <f>'T&amp;D'!CO46</f>
        <v>#REF!</v>
      </c>
      <c r="CP16" s="10" t="e">
        <f>'T&amp;D'!CP46</f>
        <v>#REF!</v>
      </c>
      <c r="CQ16" s="10" t="e">
        <f>'T&amp;D'!CQ46</f>
        <v>#REF!</v>
      </c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</row>
    <row r="17" spans="2:108" ht="12.75" customHeight="1" x14ac:dyDescent="0.25">
      <c r="B17" s="184"/>
      <c r="H17" s="54"/>
      <c r="N17" s="10"/>
    </row>
    <row r="18" spans="2:108" ht="12.75" customHeight="1" x14ac:dyDescent="0.25">
      <c r="B18" s="43" t="s">
        <v>288</v>
      </c>
      <c r="H18" s="54" t="s">
        <v>3</v>
      </c>
      <c r="N18" s="25" t="e">
        <f>SUM(P18:DD18)</f>
        <v>#REF!</v>
      </c>
      <c r="O18" s="51"/>
      <c r="P18" s="51" t="e">
        <f t="shared" ref="P18:CA18" si="5">P13-P16</f>
        <v>#REF!</v>
      </c>
      <c r="Q18" s="51" t="e">
        <f t="shared" si="5"/>
        <v>#REF!</v>
      </c>
      <c r="R18" s="51" t="e">
        <f t="shared" si="5"/>
        <v>#REF!</v>
      </c>
      <c r="S18" s="51" t="e">
        <f t="shared" si="5"/>
        <v>#REF!</v>
      </c>
      <c r="T18" s="51" t="e">
        <f t="shared" si="5"/>
        <v>#REF!</v>
      </c>
      <c r="U18" s="51" t="e">
        <f t="shared" si="5"/>
        <v>#REF!</v>
      </c>
      <c r="V18" s="51" t="e">
        <f t="shared" si="5"/>
        <v>#REF!</v>
      </c>
      <c r="W18" s="51" t="e">
        <f t="shared" si="5"/>
        <v>#REF!</v>
      </c>
      <c r="X18" s="51" t="e">
        <f t="shared" si="5"/>
        <v>#REF!</v>
      </c>
      <c r="Y18" s="51" t="e">
        <f t="shared" si="5"/>
        <v>#REF!</v>
      </c>
      <c r="Z18" s="51" t="e">
        <f t="shared" si="5"/>
        <v>#REF!</v>
      </c>
      <c r="AA18" s="51" t="e">
        <f t="shared" si="5"/>
        <v>#REF!</v>
      </c>
      <c r="AB18" s="51" t="e">
        <f t="shared" si="5"/>
        <v>#REF!</v>
      </c>
      <c r="AC18" s="51" t="e">
        <f t="shared" si="5"/>
        <v>#REF!</v>
      </c>
      <c r="AD18" s="51" t="e">
        <f t="shared" si="5"/>
        <v>#REF!</v>
      </c>
      <c r="AE18" s="51" t="e">
        <f t="shared" si="5"/>
        <v>#REF!</v>
      </c>
      <c r="AF18" s="51" t="e">
        <f t="shared" si="5"/>
        <v>#REF!</v>
      </c>
      <c r="AG18" s="51" t="e">
        <f t="shared" si="5"/>
        <v>#REF!</v>
      </c>
      <c r="AH18" s="51" t="e">
        <f t="shared" si="5"/>
        <v>#REF!</v>
      </c>
      <c r="AI18" s="51" t="e">
        <f t="shared" si="5"/>
        <v>#REF!</v>
      </c>
      <c r="AJ18" s="51" t="e">
        <f t="shared" si="5"/>
        <v>#REF!</v>
      </c>
      <c r="AK18" s="51" t="e">
        <f t="shared" si="5"/>
        <v>#REF!</v>
      </c>
      <c r="AL18" s="51" t="e">
        <f t="shared" si="5"/>
        <v>#REF!</v>
      </c>
      <c r="AM18" s="51" t="e">
        <f t="shared" si="5"/>
        <v>#REF!</v>
      </c>
      <c r="AN18" s="51" t="e">
        <f t="shared" si="5"/>
        <v>#REF!</v>
      </c>
      <c r="AO18" s="51" t="e">
        <f t="shared" si="5"/>
        <v>#REF!</v>
      </c>
      <c r="AP18" s="51" t="e">
        <f t="shared" si="5"/>
        <v>#REF!</v>
      </c>
      <c r="AQ18" s="51" t="e">
        <f t="shared" si="5"/>
        <v>#REF!</v>
      </c>
      <c r="AR18" s="51" t="e">
        <f t="shared" si="5"/>
        <v>#REF!</v>
      </c>
      <c r="AS18" s="51" t="e">
        <f t="shared" si="5"/>
        <v>#REF!</v>
      </c>
      <c r="AT18" s="51" t="e">
        <f t="shared" si="5"/>
        <v>#REF!</v>
      </c>
      <c r="AU18" s="51" t="e">
        <f t="shared" si="5"/>
        <v>#REF!</v>
      </c>
      <c r="AV18" s="51" t="e">
        <f t="shared" si="5"/>
        <v>#REF!</v>
      </c>
      <c r="AW18" s="51" t="e">
        <f t="shared" si="5"/>
        <v>#REF!</v>
      </c>
      <c r="AX18" s="51" t="e">
        <f t="shared" si="5"/>
        <v>#REF!</v>
      </c>
      <c r="AY18" s="51" t="e">
        <f t="shared" si="5"/>
        <v>#REF!</v>
      </c>
      <c r="AZ18" s="51" t="e">
        <f t="shared" si="5"/>
        <v>#REF!</v>
      </c>
      <c r="BA18" s="51" t="e">
        <f t="shared" si="5"/>
        <v>#REF!</v>
      </c>
      <c r="BB18" s="51" t="e">
        <f t="shared" si="5"/>
        <v>#REF!</v>
      </c>
      <c r="BC18" s="51" t="e">
        <f t="shared" si="5"/>
        <v>#REF!</v>
      </c>
      <c r="BD18" s="51" t="e">
        <f t="shared" si="5"/>
        <v>#REF!</v>
      </c>
      <c r="BE18" s="51" t="e">
        <f t="shared" si="5"/>
        <v>#REF!</v>
      </c>
      <c r="BF18" s="51" t="e">
        <f t="shared" si="5"/>
        <v>#REF!</v>
      </c>
      <c r="BG18" s="51" t="e">
        <f t="shared" si="5"/>
        <v>#REF!</v>
      </c>
      <c r="BH18" s="51" t="e">
        <f t="shared" si="5"/>
        <v>#REF!</v>
      </c>
      <c r="BI18" s="51" t="e">
        <f t="shared" si="5"/>
        <v>#REF!</v>
      </c>
      <c r="BJ18" s="51" t="e">
        <f t="shared" si="5"/>
        <v>#REF!</v>
      </c>
      <c r="BK18" s="51" t="e">
        <f t="shared" si="5"/>
        <v>#REF!</v>
      </c>
      <c r="BL18" s="51" t="e">
        <f t="shared" si="5"/>
        <v>#REF!</v>
      </c>
      <c r="BM18" s="51" t="e">
        <f t="shared" si="5"/>
        <v>#REF!</v>
      </c>
      <c r="BN18" s="51" t="e">
        <f t="shared" si="5"/>
        <v>#REF!</v>
      </c>
      <c r="BO18" s="51" t="e">
        <f t="shared" si="5"/>
        <v>#REF!</v>
      </c>
      <c r="BP18" s="51" t="e">
        <f t="shared" si="5"/>
        <v>#REF!</v>
      </c>
      <c r="BQ18" s="51" t="e">
        <f t="shared" si="5"/>
        <v>#REF!</v>
      </c>
      <c r="BR18" s="51" t="e">
        <f t="shared" si="5"/>
        <v>#REF!</v>
      </c>
      <c r="BS18" s="51" t="e">
        <f t="shared" si="5"/>
        <v>#REF!</v>
      </c>
      <c r="BT18" s="51" t="e">
        <f t="shared" si="5"/>
        <v>#REF!</v>
      </c>
      <c r="BU18" s="51" t="e">
        <f t="shared" si="5"/>
        <v>#REF!</v>
      </c>
      <c r="BV18" s="51" t="e">
        <f t="shared" si="5"/>
        <v>#REF!</v>
      </c>
      <c r="BW18" s="51" t="e">
        <f t="shared" si="5"/>
        <v>#REF!</v>
      </c>
      <c r="BX18" s="51" t="e">
        <f t="shared" si="5"/>
        <v>#REF!</v>
      </c>
      <c r="BY18" s="51" t="e">
        <f t="shared" si="5"/>
        <v>#REF!</v>
      </c>
      <c r="BZ18" s="51" t="e">
        <f t="shared" si="5"/>
        <v>#REF!</v>
      </c>
      <c r="CA18" s="51" t="e">
        <f t="shared" si="5"/>
        <v>#REF!</v>
      </c>
      <c r="CB18" s="51" t="e">
        <f t="shared" ref="CB18:CQ18" si="6">CB13-CB16</f>
        <v>#REF!</v>
      </c>
      <c r="CC18" s="51" t="e">
        <f t="shared" si="6"/>
        <v>#REF!</v>
      </c>
      <c r="CD18" s="51" t="e">
        <f t="shared" si="6"/>
        <v>#REF!</v>
      </c>
      <c r="CE18" s="51" t="e">
        <f t="shared" si="6"/>
        <v>#REF!</v>
      </c>
      <c r="CF18" s="51" t="e">
        <f t="shared" si="6"/>
        <v>#REF!</v>
      </c>
      <c r="CG18" s="51" t="e">
        <f t="shared" si="6"/>
        <v>#REF!</v>
      </c>
      <c r="CH18" s="51" t="e">
        <f t="shared" si="6"/>
        <v>#REF!</v>
      </c>
      <c r="CI18" s="51" t="e">
        <f t="shared" si="6"/>
        <v>#REF!</v>
      </c>
      <c r="CJ18" s="51" t="e">
        <f t="shared" si="6"/>
        <v>#REF!</v>
      </c>
      <c r="CK18" s="51" t="e">
        <f t="shared" si="6"/>
        <v>#REF!</v>
      </c>
      <c r="CL18" s="51" t="e">
        <f t="shared" si="6"/>
        <v>#REF!</v>
      </c>
      <c r="CM18" s="51" t="e">
        <f t="shared" si="6"/>
        <v>#REF!</v>
      </c>
      <c r="CN18" s="51" t="e">
        <f t="shared" si="6"/>
        <v>#REF!</v>
      </c>
      <c r="CO18" s="51" t="e">
        <f t="shared" si="6"/>
        <v>#REF!</v>
      </c>
      <c r="CP18" s="51" t="e">
        <f t="shared" si="6"/>
        <v>#REF!</v>
      </c>
      <c r="CQ18" s="51" t="e">
        <f t="shared" si="6"/>
        <v>#REF!</v>
      </c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</row>
    <row r="19" spans="2:108" ht="12.75" customHeight="1" x14ac:dyDescent="0.25">
      <c r="B19" s="43"/>
      <c r="H19" s="54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</row>
    <row r="20" spans="2:108" ht="12.75" customHeight="1" x14ac:dyDescent="0.25">
      <c r="B20" s="17" t="s">
        <v>32</v>
      </c>
      <c r="C20" t="s">
        <v>289</v>
      </c>
      <c r="H20" s="54" t="s">
        <v>3</v>
      </c>
      <c r="J20" s="16"/>
      <c r="N20" s="25" t="e">
        <f>SUM(P20:DD20)</f>
        <v>#REF!</v>
      </c>
      <c r="O20" s="26"/>
      <c r="P20" s="26">
        <f>Financing!P108</f>
        <v>0</v>
      </c>
      <c r="Q20" s="26" t="e">
        <f>Financing!Q108</f>
        <v>#REF!</v>
      </c>
      <c r="R20" s="26" t="e">
        <f>Financing!R108</f>
        <v>#REF!</v>
      </c>
      <c r="S20" s="26" t="e">
        <f>Financing!S108</f>
        <v>#REF!</v>
      </c>
      <c r="T20" s="26" t="e">
        <f>Financing!T108</f>
        <v>#REF!</v>
      </c>
      <c r="U20" s="26" t="e">
        <f>Financing!U108</f>
        <v>#REF!</v>
      </c>
      <c r="V20" s="26" t="e">
        <f>Financing!V108</f>
        <v>#REF!</v>
      </c>
      <c r="W20" s="26" t="e">
        <f>Financing!W108</f>
        <v>#REF!</v>
      </c>
      <c r="X20" s="26" t="e">
        <f>Financing!X108</f>
        <v>#REF!</v>
      </c>
      <c r="Y20" s="26" t="e">
        <f>Financing!Y108</f>
        <v>#REF!</v>
      </c>
      <c r="Z20" s="26" t="e">
        <f>Financing!Z108</f>
        <v>#REF!</v>
      </c>
      <c r="AA20" s="26" t="e">
        <f>Financing!AA108</f>
        <v>#REF!</v>
      </c>
      <c r="AB20" s="26" t="e">
        <f>Financing!AB108</f>
        <v>#REF!</v>
      </c>
      <c r="AC20" s="26" t="e">
        <f>Financing!AC108</f>
        <v>#REF!</v>
      </c>
      <c r="AD20" s="26" t="e">
        <f>Financing!AD108</f>
        <v>#REF!</v>
      </c>
      <c r="AE20" s="26" t="e">
        <f>Financing!AE108</f>
        <v>#REF!</v>
      </c>
      <c r="AF20" s="26" t="e">
        <f>Financing!AF108</f>
        <v>#REF!</v>
      </c>
      <c r="AG20" s="26" t="e">
        <f>Financing!AG108</f>
        <v>#REF!</v>
      </c>
      <c r="AH20" s="26" t="e">
        <f>Financing!AH108</f>
        <v>#REF!</v>
      </c>
      <c r="AI20" s="26" t="e">
        <f>Financing!AI108</f>
        <v>#REF!</v>
      </c>
      <c r="AJ20" s="26" t="e">
        <f>Financing!AJ108</f>
        <v>#REF!</v>
      </c>
      <c r="AK20" s="26" t="e">
        <f>Financing!AK108</f>
        <v>#REF!</v>
      </c>
      <c r="AL20" s="26" t="e">
        <f>Financing!AL108</f>
        <v>#REF!</v>
      </c>
      <c r="AM20" s="26" t="e">
        <f>Financing!AM108</f>
        <v>#REF!</v>
      </c>
      <c r="AN20" s="26" t="e">
        <f>Financing!AN108</f>
        <v>#REF!</v>
      </c>
      <c r="AO20" s="26" t="e">
        <f>Financing!AO108</f>
        <v>#REF!</v>
      </c>
      <c r="AP20" s="26" t="e">
        <f>Financing!AP108</f>
        <v>#REF!</v>
      </c>
      <c r="AQ20" s="26" t="e">
        <f>Financing!AQ108</f>
        <v>#REF!</v>
      </c>
      <c r="AR20" s="26" t="e">
        <f>Financing!AR108</f>
        <v>#REF!</v>
      </c>
      <c r="AS20" s="26" t="e">
        <f>Financing!AS108</f>
        <v>#REF!</v>
      </c>
      <c r="AT20" s="26" t="e">
        <f>Financing!AT108</f>
        <v>#REF!</v>
      </c>
      <c r="AU20" s="26" t="e">
        <f>Financing!AU108</f>
        <v>#REF!</v>
      </c>
      <c r="AV20" s="26" t="e">
        <f>Financing!AV108</f>
        <v>#REF!</v>
      </c>
      <c r="AW20" s="26" t="e">
        <f>Financing!AW108</f>
        <v>#REF!</v>
      </c>
      <c r="AX20" s="26" t="e">
        <f>Financing!AX108</f>
        <v>#REF!</v>
      </c>
      <c r="AY20" s="26" t="e">
        <f>Financing!AY108</f>
        <v>#REF!</v>
      </c>
      <c r="AZ20" s="26" t="e">
        <f>Financing!AZ108</f>
        <v>#REF!</v>
      </c>
      <c r="BA20" s="26" t="e">
        <f>Financing!BA108</f>
        <v>#REF!</v>
      </c>
      <c r="BB20" s="26" t="e">
        <f>Financing!BB108</f>
        <v>#REF!</v>
      </c>
      <c r="BC20" s="26" t="e">
        <f>Financing!BC108</f>
        <v>#REF!</v>
      </c>
      <c r="BD20" s="26" t="e">
        <f>Financing!BD108</f>
        <v>#REF!</v>
      </c>
      <c r="BE20" s="26" t="e">
        <f>Financing!BE108</f>
        <v>#REF!</v>
      </c>
      <c r="BF20" s="26" t="e">
        <f>Financing!BF108</f>
        <v>#REF!</v>
      </c>
      <c r="BG20" s="26" t="e">
        <f>Financing!BG108</f>
        <v>#REF!</v>
      </c>
      <c r="BH20" s="26" t="e">
        <f>Financing!BH108</f>
        <v>#REF!</v>
      </c>
      <c r="BI20" s="26" t="e">
        <f>Financing!BI108</f>
        <v>#REF!</v>
      </c>
      <c r="BJ20" s="26" t="e">
        <f>Financing!BJ108</f>
        <v>#REF!</v>
      </c>
      <c r="BK20" s="26" t="e">
        <f>Financing!BK108</f>
        <v>#REF!</v>
      </c>
      <c r="BL20" s="26" t="e">
        <f>Financing!BL108</f>
        <v>#REF!</v>
      </c>
      <c r="BM20" s="26" t="e">
        <f>Financing!BM108</f>
        <v>#REF!</v>
      </c>
      <c r="BN20" s="26" t="e">
        <f>Financing!BN108</f>
        <v>#REF!</v>
      </c>
      <c r="BO20" s="26" t="e">
        <f>Financing!BO108</f>
        <v>#REF!</v>
      </c>
      <c r="BP20" s="26" t="e">
        <f>Financing!BP108</f>
        <v>#REF!</v>
      </c>
      <c r="BQ20" s="26" t="e">
        <f>Financing!BQ108</f>
        <v>#REF!</v>
      </c>
      <c r="BR20" s="26" t="e">
        <f>Financing!BR108</f>
        <v>#REF!</v>
      </c>
      <c r="BS20" s="26" t="e">
        <f>Financing!BS108</f>
        <v>#REF!</v>
      </c>
      <c r="BT20" s="26" t="e">
        <f>Financing!BT108</f>
        <v>#REF!</v>
      </c>
      <c r="BU20" s="26" t="e">
        <f>Financing!BU108</f>
        <v>#REF!</v>
      </c>
      <c r="BV20" s="26" t="e">
        <f>Financing!BV108</f>
        <v>#REF!</v>
      </c>
      <c r="BW20" s="26" t="e">
        <f>Financing!BW108</f>
        <v>#REF!</v>
      </c>
      <c r="BX20" s="26" t="e">
        <f>Financing!BX108</f>
        <v>#REF!</v>
      </c>
      <c r="BY20" s="26" t="e">
        <f>Financing!BY108</f>
        <v>#REF!</v>
      </c>
      <c r="BZ20" s="26" t="e">
        <f>Financing!BZ108</f>
        <v>#REF!</v>
      </c>
      <c r="CA20" s="26" t="e">
        <f>Financing!CA108</f>
        <v>#REF!</v>
      </c>
      <c r="CB20" s="26" t="e">
        <f>Financing!CB108</f>
        <v>#REF!</v>
      </c>
      <c r="CC20" s="26" t="e">
        <f>Financing!CC108</f>
        <v>#REF!</v>
      </c>
      <c r="CD20" s="26" t="e">
        <f>Financing!CD108</f>
        <v>#REF!</v>
      </c>
      <c r="CE20" s="26" t="e">
        <f>Financing!CE108</f>
        <v>#REF!</v>
      </c>
      <c r="CF20" s="26" t="e">
        <f>Financing!CF108</f>
        <v>#REF!</v>
      </c>
      <c r="CG20" s="26" t="e">
        <f>Financing!CG108</f>
        <v>#REF!</v>
      </c>
      <c r="CH20" s="26" t="e">
        <f>Financing!CH108</f>
        <v>#REF!</v>
      </c>
      <c r="CI20" s="26" t="e">
        <f>Financing!CI108</f>
        <v>#REF!</v>
      </c>
      <c r="CJ20" s="26" t="e">
        <f>Financing!CJ108</f>
        <v>#REF!</v>
      </c>
      <c r="CK20" s="26" t="e">
        <f>Financing!CK108</f>
        <v>#REF!</v>
      </c>
      <c r="CL20" s="26" t="e">
        <f>Financing!CL108</f>
        <v>#REF!</v>
      </c>
      <c r="CM20" s="26" t="e">
        <f>Financing!CM108</f>
        <v>#REF!</v>
      </c>
      <c r="CN20" s="26" t="e">
        <f>Financing!CN108</f>
        <v>#REF!</v>
      </c>
      <c r="CO20" s="26" t="e">
        <f>Financing!CO108</f>
        <v>#REF!</v>
      </c>
      <c r="CP20" s="26" t="e">
        <f>Financing!CP108</f>
        <v>#REF!</v>
      </c>
      <c r="CQ20" s="26" t="e">
        <f>Financing!CQ108</f>
        <v>#REF!</v>
      </c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</row>
    <row r="21" spans="2:108" ht="12.75" customHeight="1" x14ac:dyDescent="0.25">
      <c r="B21" s="17" t="s">
        <v>32</v>
      </c>
      <c r="C21" t="s">
        <v>290</v>
      </c>
      <c r="H21" s="54" t="s">
        <v>3</v>
      </c>
      <c r="J21" s="16"/>
      <c r="N21" s="25" t="e">
        <f>SUM(P21:DD21)</f>
        <v>#REF!</v>
      </c>
      <c r="O21" s="168"/>
      <c r="P21" s="168">
        <f>Financing!P138</f>
        <v>0</v>
      </c>
      <c r="Q21" s="168" t="e">
        <f>Financing!Q138</f>
        <v>#REF!</v>
      </c>
      <c r="R21" s="168" t="e">
        <f>Financing!R138</f>
        <v>#REF!</v>
      </c>
      <c r="S21" s="168" t="e">
        <f>Financing!S138</f>
        <v>#REF!</v>
      </c>
      <c r="T21" s="168" t="e">
        <f>Financing!T138</f>
        <v>#REF!</v>
      </c>
      <c r="U21" s="168" t="e">
        <f>Financing!U138</f>
        <v>#REF!</v>
      </c>
      <c r="V21" s="168" t="e">
        <f>Financing!V138</f>
        <v>#REF!</v>
      </c>
      <c r="W21" s="168" t="e">
        <f>Financing!W138</f>
        <v>#REF!</v>
      </c>
      <c r="X21" s="168" t="e">
        <f>Financing!X138</f>
        <v>#REF!</v>
      </c>
      <c r="Y21" s="168" t="e">
        <f>Financing!Y138</f>
        <v>#REF!</v>
      </c>
      <c r="Z21" s="168" t="e">
        <f>Financing!Z138</f>
        <v>#REF!</v>
      </c>
      <c r="AA21" s="168" t="e">
        <f>Financing!AA138</f>
        <v>#REF!</v>
      </c>
      <c r="AB21" s="168" t="e">
        <f>Financing!AB138</f>
        <v>#REF!</v>
      </c>
      <c r="AC21" s="168" t="e">
        <f>Financing!AC138</f>
        <v>#REF!</v>
      </c>
      <c r="AD21" s="168" t="e">
        <f>Financing!AD138</f>
        <v>#REF!</v>
      </c>
      <c r="AE21" s="168" t="e">
        <f>Financing!AE138</f>
        <v>#REF!</v>
      </c>
      <c r="AF21" s="168" t="e">
        <f>Financing!AF138</f>
        <v>#REF!</v>
      </c>
      <c r="AG21" s="168" t="e">
        <f>Financing!AG138</f>
        <v>#REF!</v>
      </c>
      <c r="AH21" s="168" t="e">
        <f>Financing!AH138</f>
        <v>#REF!</v>
      </c>
      <c r="AI21" s="168" t="e">
        <f>Financing!AI138</f>
        <v>#REF!</v>
      </c>
      <c r="AJ21" s="168" t="e">
        <f>Financing!AJ138</f>
        <v>#REF!</v>
      </c>
      <c r="AK21" s="168" t="e">
        <f>Financing!AK138</f>
        <v>#REF!</v>
      </c>
      <c r="AL21" s="168" t="e">
        <f>Financing!AL138</f>
        <v>#REF!</v>
      </c>
      <c r="AM21" s="168" t="e">
        <f>Financing!AM138</f>
        <v>#REF!</v>
      </c>
      <c r="AN21" s="168" t="e">
        <f>Financing!AN138</f>
        <v>#REF!</v>
      </c>
      <c r="AO21" s="168" t="e">
        <f>Financing!AO138</f>
        <v>#REF!</v>
      </c>
      <c r="AP21" s="168" t="e">
        <f>Financing!AP138</f>
        <v>#REF!</v>
      </c>
      <c r="AQ21" s="168" t="e">
        <f>Financing!AQ138</f>
        <v>#REF!</v>
      </c>
      <c r="AR21" s="168" t="e">
        <f>Financing!AR138</f>
        <v>#REF!</v>
      </c>
      <c r="AS21" s="168" t="e">
        <f>Financing!AS138</f>
        <v>#REF!</v>
      </c>
      <c r="AT21" s="168" t="e">
        <f>Financing!AT138</f>
        <v>#REF!</v>
      </c>
      <c r="AU21" s="168" t="e">
        <f>Financing!AU138</f>
        <v>#REF!</v>
      </c>
      <c r="AV21" s="168" t="e">
        <f>Financing!AV138</f>
        <v>#REF!</v>
      </c>
      <c r="AW21" s="168" t="e">
        <f>Financing!AW138</f>
        <v>#REF!</v>
      </c>
      <c r="AX21" s="168" t="e">
        <f>Financing!AX138</f>
        <v>#REF!</v>
      </c>
      <c r="AY21" s="168" t="e">
        <f>Financing!AY138</f>
        <v>#REF!</v>
      </c>
      <c r="AZ21" s="168" t="e">
        <f>Financing!AZ138</f>
        <v>#REF!</v>
      </c>
      <c r="BA21" s="168" t="e">
        <f>Financing!BA138</f>
        <v>#REF!</v>
      </c>
      <c r="BB21" s="168" t="e">
        <f>Financing!BB138</f>
        <v>#REF!</v>
      </c>
      <c r="BC21" s="168" t="e">
        <f>Financing!BC138</f>
        <v>#REF!</v>
      </c>
      <c r="BD21" s="168" t="e">
        <f>Financing!BD138</f>
        <v>#REF!</v>
      </c>
      <c r="BE21" s="168" t="e">
        <f>Financing!BE138</f>
        <v>#REF!</v>
      </c>
      <c r="BF21" s="168" t="e">
        <f>Financing!BF138</f>
        <v>#REF!</v>
      </c>
      <c r="BG21" s="168" t="e">
        <f>Financing!BG138</f>
        <v>#REF!</v>
      </c>
      <c r="BH21" s="168" t="e">
        <f>Financing!BH138</f>
        <v>#REF!</v>
      </c>
      <c r="BI21" s="168" t="e">
        <f>Financing!BI138</f>
        <v>#REF!</v>
      </c>
      <c r="BJ21" s="168" t="e">
        <f>Financing!BJ138</f>
        <v>#REF!</v>
      </c>
      <c r="BK21" s="168" t="e">
        <f>Financing!BK138</f>
        <v>#REF!</v>
      </c>
      <c r="BL21" s="168" t="e">
        <f>Financing!BL138</f>
        <v>#REF!</v>
      </c>
      <c r="BM21" s="168" t="e">
        <f>Financing!BM138</f>
        <v>#REF!</v>
      </c>
      <c r="BN21" s="168" t="e">
        <f>Financing!BN138</f>
        <v>#REF!</v>
      </c>
      <c r="BO21" s="168" t="e">
        <f>Financing!BO138</f>
        <v>#REF!</v>
      </c>
      <c r="BP21" s="168" t="e">
        <f>Financing!BP138</f>
        <v>#REF!</v>
      </c>
      <c r="BQ21" s="168" t="e">
        <f>Financing!BQ138</f>
        <v>#REF!</v>
      </c>
      <c r="BR21" s="168" t="e">
        <f>Financing!BR138</f>
        <v>#REF!</v>
      </c>
      <c r="BS21" s="168" t="e">
        <f>Financing!BS138</f>
        <v>#REF!</v>
      </c>
      <c r="BT21" s="168" t="e">
        <f>Financing!BT138</f>
        <v>#REF!</v>
      </c>
      <c r="BU21" s="168" t="e">
        <f>Financing!BU138</f>
        <v>#REF!</v>
      </c>
      <c r="BV21" s="168" t="e">
        <f>Financing!BV138</f>
        <v>#REF!</v>
      </c>
      <c r="BW21" s="168" t="e">
        <f>Financing!BW138</f>
        <v>#REF!</v>
      </c>
      <c r="BX21" s="168" t="e">
        <f>Financing!BX138</f>
        <v>#REF!</v>
      </c>
      <c r="BY21" s="168" t="e">
        <f>Financing!BY138</f>
        <v>#REF!</v>
      </c>
      <c r="BZ21" s="168" t="e">
        <f>Financing!BZ138</f>
        <v>#REF!</v>
      </c>
      <c r="CA21" s="168" t="e">
        <f>Financing!CA138</f>
        <v>#REF!</v>
      </c>
      <c r="CB21" s="168" t="e">
        <f>Financing!CB138</f>
        <v>#REF!</v>
      </c>
      <c r="CC21" s="168" t="e">
        <f>Financing!CC138</f>
        <v>#REF!</v>
      </c>
      <c r="CD21" s="168" t="e">
        <f>Financing!CD138</f>
        <v>#REF!</v>
      </c>
      <c r="CE21" s="168" t="e">
        <f>Financing!CE138</f>
        <v>#REF!</v>
      </c>
      <c r="CF21" s="168" t="e">
        <f>Financing!CF138</f>
        <v>#REF!</v>
      </c>
      <c r="CG21" s="168" t="e">
        <f>Financing!CG138</f>
        <v>#REF!</v>
      </c>
      <c r="CH21" s="168" t="e">
        <f>Financing!CH138</f>
        <v>#REF!</v>
      </c>
      <c r="CI21" s="168" t="e">
        <f>Financing!CI138</f>
        <v>#REF!</v>
      </c>
      <c r="CJ21" s="168" t="e">
        <f>Financing!CJ138</f>
        <v>#REF!</v>
      </c>
      <c r="CK21" s="168" t="e">
        <f>Financing!CK138</f>
        <v>#REF!</v>
      </c>
      <c r="CL21" s="168" t="e">
        <f>Financing!CL138</f>
        <v>#REF!</v>
      </c>
      <c r="CM21" s="168" t="e">
        <f>Financing!CM138</f>
        <v>#REF!</v>
      </c>
      <c r="CN21" s="168" t="e">
        <f>Financing!CN138</f>
        <v>#REF!</v>
      </c>
      <c r="CO21" s="168" t="e">
        <f>Financing!CO138</f>
        <v>#REF!</v>
      </c>
      <c r="CP21" s="168" t="e">
        <f>Financing!CP138</f>
        <v>#REF!</v>
      </c>
      <c r="CQ21" s="168" t="e">
        <f>Financing!CQ138</f>
        <v>#REF!</v>
      </c>
      <c r="CR21" s="168"/>
      <c r="CS21" s="168"/>
      <c r="CT21" s="168"/>
      <c r="CU21" s="168"/>
      <c r="CV21" s="168"/>
      <c r="CW21" s="168"/>
      <c r="CX21" s="168"/>
      <c r="CY21" s="168"/>
      <c r="CZ21" s="168"/>
      <c r="DA21" s="168"/>
      <c r="DB21" s="168"/>
      <c r="DC21" s="168"/>
      <c r="DD21" s="168"/>
    </row>
    <row r="22" spans="2:108" ht="12.75" customHeight="1" x14ac:dyDescent="0.25">
      <c r="B22" s="184"/>
      <c r="H22" s="54"/>
      <c r="N22" s="19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</row>
    <row r="23" spans="2:108" ht="12.75" customHeight="1" x14ac:dyDescent="0.25">
      <c r="B23" s="43" t="s">
        <v>291</v>
      </c>
      <c r="H23" s="54" t="s">
        <v>3</v>
      </c>
      <c r="J23" s="16"/>
      <c r="N23" s="25" t="e">
        <f>SUM(P23:DD23)</f>
        <v>#REF!</v>
      </c>
      <c r="O23" s="37"/>
      <c r="P23" s="37" t="e">
        <f t="shared" ref="P23:AU23" si="7">P18-SUM(P20:P21)</f>
        <v>#REF!</v>
      </c>
      <c r="Q23" s="37" t="e">
        <f t="shared" si="7"/>
        <v>#REF!</v>
      </c>
      <c r="R23" s="37" t="e">
        <f t="shared" si="7"/>
        <v>#REF!</v>
      </c>
      <c r="S23" s="37" t="e">
        <f t="shared" si="7"/>
        <v>#REF!</v>
      </c>
      <c r="T23" s="37" t="e">
        <f t="shared" si="7"/>
        <v>#REF!</v>
      </c>
      <c r="U23" s="37" t="e">
        <f t="shared" si="7"/>
        <v>#REF!</v>
      </c>
      <c r="V23" s="37" t="e">
        <f t="shared" si="7"/>
        <v>#REF!</v>
      </c>
      <c r="W23" s="37" t="e">
        <f t="shared" si="7"/>
        <v>#REF!</v>
      </c>
      <c r="X23" s="37" t="e">
        <f t="shared" si="7"/>
        <v>#REF!</v>
      </c>
      <c r="Y23" s="37" t="e">
        <f t="shared" si="7"/>
        <v>#REF!</v>
      </c>
      <c r="Z23" s="37" t="e">
        <f t="shared" si="7"/>
        <v>#REF!</v>
      </c>
      <c r="AA23" s="37" t="e">
        <f t="shared" si="7"/>
        <v>#REF!</v>
      </c>
      <c r="AB23" s="37" t="e">
        <f t="shared" si="7"/>
        <v>#REF!</v>
      </c>
      <c r="AC23" s="37" t="e">
        <f t="shared" si="7"/>
        <v>#REF!</v>
      </c>
      <c r="AD23" s="37" t="e">
        <f t="shared" si="7"/>
        <v>#REF!</v>
      </c>
      <c r="AE23" s="37" t="e">
        <f t="shared" si="7"/>
        <v>#REF!</v>
      </c>
      <c r="AF23" s="37" t="e">
        <f t="shared" si="7"/>
        <v>#REF!</v>
      </c>
      <c r="AG23" s="37" t="e">
        <f t="shared" si="7"/>
        <v>#REF!</v>
      </c>
      <c r="AH23" s="37" t="e">
        <f t="shared" si="7"/>
        <v>#REF!</v>
      </c>
      <c r="AI23" s="37" t="e">
        <f t="shared" si="7"/>
        <v>#REF!</v>
      </c>
      <c r="AJ23" s="37" t="e">
        <f t="shared" si="7"/>
        <v>#REF!</v>
      </c>
      <c r="AK23" s="37" t="e">
        <f t="shared" si="7"/>
        <v>#REF!</v>
      </c>
      <c r="AL23" s="37" t="e">
        <f t="shared" si="7"/>
        <v>#REF!</v>
      </c>
      <c r="AM23" s="37" t="e">
        <f t="shared" si="7"/>
        <v>#REF!</v>
      </c>
      <c r="AN23" s="37" t="e">
        <f t="shared" si="7"/>
        <v>#REF!</v>
      </c>
      <c r="AO23" s="37" t="e">
        <f t="shared" si="7"/>
        <v>#REF!</v>
      </c>
      <c r="AP23" s="37" t="e">
        <f t="shared" si="7"/>
        <v>#REF!</v>
      </c>
      <c r="AQ23" s="37" t="e">
        <f t="shared" si="7"/>
        <v>#REF!</v>
      </c>
      <c r="AR23" s="37" t="e">
        <f t="shared" si="7"/>
        <v>#REF!</v>
      </c>
      <c r="AS23" s="37" t="e">
        <f t="shared" si="7"/>
        <v>#REF!</v>
      </c>
      <c r="AT23" s="37" t="e">
        <f t="shared" si="7"/>
        <v>#REF!</v>
      </c>
      <c r="AU23" s="37" t="e">
        <f t="shared" si="7"/>
        <v>#REF!</v>
      </c>
      <c r="AV23" s="37" t="e">
        <f t="shared" ref="AV23:CA23" si="8">AV18-SUM(AV20:AV21)</f>
        <v>#REF!</v>
      </c>
      <c r="AW23" s="37" t="e">
        <f t="shared" si="8"/>
        <v>#REF!</v>
      </c>
      <c r="AX23" s="37" t="e">
        <f t="shared" si="8"/>
        <v>#REF!</v>
      </c>
      <c r="AY23" s="37" t="e">
        <f t="shared" si="8"/>
        <v>#REF!</v>
      </c>
      <c r="AZ23" s="37" t="e">
        <f t="shared" si="8"/>
        <v>#REF!</v>
      </c>
      <c r="BA23" s="37" t="e">
        <f t="shared" si="8"/>
        <v>#REF!</v>
      </c>
      <c r="BB23" s="37" t="e">
        <f t="shared" si="8"/>
        <v>#REF!</v>
      </c>
      <c r="BC23" s="37" t="e">
        <f t="shared" si="8"/>
        <v>#REF!</v>
      </c>
      <c r="BD23" s="37" t="e">
        <f t="shared" si="8"/>
        <v>#REF!</v>
      </c>
      <c r="BE23" s="37" t="e">
        <f t="shared" si="8"/>
        <v>#REF!</v>
      </c>
      <c r="BF23" s="37" t="e">
        <f t="shared" si="8"/>
        <v>#REF!</v>
      </c>
      <c r="BG23" s="37" t="e">
        <f t="shared" si="8"/>
        <v>#REF!</v>
      </c>
      <c r="BH23" s="37" t="e">
        <f t="shared" si="8"/>
        <v>#REF!</v>
      </c>
      <c r="BI23" s="37" t="e">
        <f t="shared" si="8"/>
        <v>#REF!</v>
      </c>
      <c r="BJ23" s="37" t="e">
        <f t="shared" si="8"/>
        <v>#REF!</v>
      </c>
      <c r="BK23" s="37" t="e">
        <f t="shared" si="8"/>
        <v>#REF!</v>
      </c>
      <c r="BL23" s="37" t="e">
        <f t="shared" si="8"/>
        <v>#REF!</v>
      </c>
      <c r="BM23" s="37" t="e">
        <f t="shared" si="8"/>
        <v>#REF!</v>
      </c>
      <c r="BN23" s="37" t="e">
        <f t="shared" si="8"/>
        <v>#REF!</v>
      </c>
      <c r="BO23" s="37" t="e">
        <f t="shared" si="8"/>
        <v>#REF!</v>
      </c>
      <c r="BP23" s="37" t="e">
        <f t="shared" si="8"/>
        <v>#REF!</v>
      </c>
      <c r="BQ23" s="37" t="e">
        <f t="shared" si="8"/>
        <v>#REF!</v>
      </c>
      <c r="BR23" s="37" t="e">
        <f t="shared" si="8"/>
        <v>#REF!</v>
      </c>
      <c r="BS23" s="37" t="e">
        <f t="shared" si="8"/>
        <v>#REF!</v>
      </c>
      <c r="BT23" s="37" t="e">
        <f t="shared" si="8"/>
        <v>#REF!</v>
      </c>
      <c r="BU23" s="37" t="e">
        <f t="shared" si="8"/>
        <v>#REF!</v>
      </c>
      <c r="BV23" s="37" t="e">
        <f t="shared" si="8"/>
        <v>#REF!</v>
      </c>
      <c r="BW23" s="37" t="e">
        <f t="shared" si="8"/>
        <v>#REF!</v>
      </c>
      <c r="BX23" s="37" t="e">
        <f t="shared" si="8"/>
        <v>#REF!</v>
      </c>
      <c r="BY23" s="37" t="e">
        <f t="shared" si="8"/>
        <v>#REF!</v>
      </c>
      <c r="BZ23" s="37" t="e">
        <f t="shared" si="8"/>
        <v>#REF!</v>
      </c>
      <c r="CA23" s="37" t="e">
        <f t="shared" si="8"/>
        <v>#REF!</v>
      </c>
      <c r="CB23" s="37" t="e">
        <f t="shared" ref="CB23:CQ23" si="9">CB18-SUM(CB20:CB21)</f>
        <v>#REF!</v>
      </c>
      <c r="CC23" s="37" t="e">
        <f t="shared" si="9"/>
        <v>#REF!</v>
      </c>
      <c r="CD23" s="37" t="e">
        <f t="shared" si="9"/>
        <v>#REF!</v>
      </c>
      <c r="CE23" s="37" t="e">
        <f t="shared" si="9"/>
        <v>#REF!</v>
      </c>
      <c r="CF23" s="37" t="e">
        <f t="shared" si="9"/>
        <v>#REF!</v>
      </c>
      <c r="CG23" s="37" t="e">
        <f t="shared" si="9"/>
        <v>#REF!</v>
      </c>
      <c r="CH23" s="37" t="e">
        <f t="shared" si="9"/>
        <v>#REF!</v>
      </c>
      <c r="CI23" s="37" t="e">
        <f t="shared" si="9"/>
        <v>#REF!</v>
      </c>
      <c r="CJ23" s="37" t="e">
        <f t="shared" si="9"/>
        <v>#REF!</v>
      </c>
      <c r="CK23" s="37" t="e">
        <f t="shared" si="9"/>
        <v>#REF!</v>
      </c>
      <c r="CL23" s="37" t="e">
        <f t="shared" si="9"/>
        <v>#REF!</v>
      </c>
      <c r="CM23" s="37" t="e">
        <f t="shared" si="9"/>
        <v>#REF!</v>
      </c>
      <c r="CN23" s="37" t="e">
        <f t="shared" si="9"/>
        <v>#REF!</v>
      </c>
      <c r="CO23" s="37" t="e">
        <f t="shared" si="9"/>
        <v>#REF!</v>
      </c>
      <c r="CP23" s="37" t="e">
        <f t="shared" si="9"/>
        <v>#REF!</v>
      </c>
      <c r="CQ23" s="37" t="e">
        <f t="shared" si="9"/>
        <v>#REF!</v>
      </c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</row>
    <row r="24" spans="2:108" ht="12.75" customHeight="1" x14ac:dyDescent="0.25">
      <c r="B24" s="184"/>
      <c r="H24" s="54"/>
      <c r="J24" s="96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</row>
    <row r="25" spans="2:108" ht="12.75" customHeight="1" x14ac:dyDescent="0.25">
      <c r="B25" s="17" t="s">
        <v>32</v>
      </c>
      <c r="C25" t="s">
        <v>292</v>
      </c>
      <c r="H25" s="54" t="s">
        <v>3</v>
      </c>
      <c r="J25" s="200"/>
      <c r="N25" s="25" t="e">
        <f>SUM(P25:DD25)</f>
        <v>#REF!</v>
      </c>
      <c r="O25" s="10"/>
      <c r="P25" s="10" t="e">
        <f>'T&amp;D'!P27</f>
        <v>#REF!</v>
      </c>
      <c r="Q25" s="10" t="e">
        <f>'T&amp;D'!Q27</f>
        <v>#REF!</v>
      </c>
      <c r="R25" s="10" t="e">
        <f>'T&amp;D'!R27</f>
        <v>#REF!</v>
      </c>
      <c r="S25" s="10" t="e">
        <f>'T&amp;D'!S27</f>
        <v>#REF!</v>
      </c>
      <c r="T25" s="10" t="e">
        <f>'T&amp;D'!T27</f>
        <v>#REF!</v>
      </c>
      <c r="U25" s="10" t="e">
        <f>'T&amp;D'!U27</f>
        <v>#REF!</v>
      </c>
      <c r="V25" s="10" t="e">
        <f>'T&amp;D'!V27</f>
        <v>#REF!</v>
      </c>
      <c r="W25" s="10" t="e">
        <f>'T&amp;D'!W27</f>
        <v>#REF!</v>
      </c>
      <c r="X25" s="10" t="e">
        <f>'T&amp;D'!X27</f>
        <v>#REF!</v>
      </c>
      <c r="Y25" s="10" t="e">
        <f>'T&amp;D'!Y27</f>
        <v>#REF!</v>
      </c>
      <c r="Z25" s="10" t="e">
        <f>'T&amp;D'!Z27</f>
        <v>#REF!</v>
      </c>
      <c r="AA25" s="10" t="e">
        <f>'T&amp;D'!AA27</f>
        <v>#REF!</v>
      </c>
      <c r="AB25" s="10" t="e">
        <f>'T&amp;D'!AB27</f>
        <v>#REF!</v>
      </c>
      <c r="AC25" s="10" t="e">
        <f>'T&amp;D'!AC27</f>
        <v>#REF!</v>
      </c>
      <c r="AD25" s="10" t="e">
        <f>'T&amp;D'!AD27</f>
        <v>#REF!</v>
      </c>
      <c r="AE25" s="10" t="e">
        <f>'T&amp;D'!AE27</f>
        <v>#REF!</v>
      </c>
      <c r="AF25" s="10" t="e">
        <f>'T&amp;D'!AF27</f>
        <v>#REF!</v>
      </c>
      <c r="AG25" s="10" t="e">
        <f>'T&amp;D'!AG27</f>
        <v>#REF!</v>
      </c>
      <c r="AH25" s="10" t="e">
        <f>'T&amp;D'!AH27</f>
        <v>#REF!</v>
      </c>
      <c r="AI25" s="10" t="e">
        <f>'T&amp;D'!AI27</f>
        <v>#REF!</v>
      </c>
      <c r="AJ25" s="10" t="e">
        <f>'T&amp;D'!AJ27</f>
        <v>#REF!</v>
      </c>
      <c r="AK25" s="10" t="e">
        <f>'T&amp;D'!AK27</f>
        <v>#REF!</v>
      </c>
      <c r="AL25" s="10" t="e">
        <f>'T&amp;D'!AL27</f>
        <v>#REF!</v>
      </c>
      <c r="AM25" s="10" t="e">
        <f>'T&amp;D'!AM27</f>
        <v>#REF!</v>
      </c>
      <c r="AN25" s="10" t="e">
        <f>'T&amp;D'!AN27</f>
        <v>#REF!</v>
      </c>
      <c r="AO25" s="10" t="e">
        <f>'T&amp;D'!AO27</f>
        <v>#REF!</v>
      </c>
      <c r="AP25" s="10" t="e">
        <f>'T&amp;D'!AP27</f>
        <v>#REF!</v>
      </c>
      <c r="AQ25" s="10" t="e">
        <f>'T&amp;D'!AQ27</f>
        <v>#REF!</v>
      </c>
      <c r="AR25" s="10" t="e">
        <f>'T&amp;D'!AR27</f>
        <v>#REF!</v>
      </c>
      <c r="AS25" s="10" t="e">
        <f>'T&amp;D'!AS27</f>
        <v>#REF!</v>
      </c>
      <c r="AT25" s="10" t="e">
        <f>'T&amp;D'!AT27</f>
        <v>#REF!</v>
      </c>
      <c r="AU25" s="10" t="e">
        <f>'T&amp;D'!AU27</f>
        <v>#REF!</v>
      </c>
      <c r="AV25" s="10" t="e">
        <f>'T&amp;D'!AV27</f>
        <v>#REF!</v>
      </c>
      <c r="AW25" s="10" t="e">
        <f>'T&amp;D'!AW27</f>
        <v>#REF!</v>
      </c>
      <c r="AX25" s="10" t="e">
        <f>'T&amp;D'!AX27</f>
        <v>#REF!</v>
      </c>
      <c r="AY25" s="10" t="e">
        <f>'T&amp;D'!AY27</f>
        <v>#REF!</v>
      </c>
      <c r="AZ25" s="10" t="e">
        <f>'T&amp;D'!AZ27</f>
        <v>#REF!</v>
      </c>
      <c r="BA25" s="10" t="e">
        <f>'T&amp;D'!BA27</f>
        <v>#REF!</v>
      </c>
      <c r="BB25" s="10" t="e">
        <f>'T&amp;D'!BB27</f>
        <v>#REF!</v>
      </c>
      <c r="BC25" s="10" t="e">
        <f>'T&amp;D'!BC27</f>
        <v>#REF!</v>
      </c>
      <c r="BD25" s="10" t="e">
        <f>'T&amp;D'!BD27</f>
        <v>#REF!</v>
      </c>
      <c r="BE25" s="10" t="e">
        <f>'T&amp;D'!BE27</f>
        <v>#REF!</v>
      </c>
      <c r="BF25" s="10" t="e">
        <f>'T&amp;D'!BF27</f>
        <v>#REF!</v>
      </c>
      <c r="BG25" s="10" t="e">
        <f>'T&amp;D'!BG27</f>
        <v>#REF!</v>
      </c>
      <c r="BH25" s="10" t="e">
        <f>'T&amp;D'!BH27</f>
        <v>#REF!</v>
      </c>
      <c r="BI25" s="10" t="e">
        <f>'T&amp;D'!BI27</f>
        <v>#REF!</v>
      </c>
      <c r="BJ25" s="10" t="e">
        <f>'T&amp;D'!BJ27</f>
        <v>#REF!</v>
      </c>
      <c r="BK25" s="10" t="e">
        <f>'T&amp;D'!BK27</f>
        <v>#REF!</v>
      </c>
      <c r="BL25" s="10" t="e">
        <f>'T&amp;D'!BL27</f>
        <v>#REF!</v>
      </c>
      <c r="BM25" s="10" t="e">
        <f>'T&amp;D'!BM27</f>
        <v>#REF!</v>
      </c>
      <c r="BN25" s="10" t="e">
        <f>'T&amp;D'!BN27</f>
        <v>#REF!</v>
      </c>
      <c r="BO25" s="10" t="e">
        <f>'T&amp;D'!BO27</f>
        <v>#REF!</v>
      </c>
      <c r="BP25" s="10" t="e">
        <f>'T&amp;D'!BP27</f>
        <v>#REF!</v>
      </c>
      <c r="BQ25" s="10" t="e">
        <f>'T&amp;D'!BQ27</f>
        <v>#REF!</v>
      </c>
      <c r="BR25" s="10" t="e">
        <f>'T&amp;D'!BR27</f>
        <v>#REF!</v>
      </c>
      <c r="BS25" s="10" t="e">
        <f>'T&amp;D'!BS27</f>
        <v>#REF!</v>
      </c>
      <c r="BT25" s="10" t="e">
        <f>'T&amp;D'!BT27</f>
        <v>#REF!</v>
      </c>
      <c r="BU25" s="10" t="e">
        <f>'T&amp;D'!BU27</f>
        <v>#REF!</v>
      </c>
      <c r="BV25" s="10" t="e">
        <f>'T&amp;D'!BV27</f>
        <v>#REF!</v>
      </c>
      <c r="BW25" s="10" t="e">
        <f>'T&amp;D'!BW27</f>
        <v>#REF!</v>
      </c>
      <c r="BX25" s="10" t="e">
        <f>'T&amp;D'!BX27</f>
        <v>#REF!</v>
      </c>
      <c r="BY25" s="10" t="e">
        <f>'T&amp;D'!BY27</f>
        <v>#REF!</v>
      </c>
      <c r="BZ25" s="10" t="e">
        <f>'T&amp;D'!BZ27</f>
        <v>#REF!</v>
      </c>
      <c r="CA25" s="10" t="e">
        <f>'T&amp;D'!CA27</f>
        <v>#REF!</v>
      </c>
      <c r="CB25" s="10" t="e">
        <f>'T&amp;D'!CB27</f>
        <v>#REF!</v>
      </c>
      <c r="CC25" s="10" t="e">
        <f>'T&amp;D'!CC27</f>
        <v>#REF!</v>
      </c>
      <c r="CD25" s="10" t="e">
        <f>'T&amp;D'!CD27</f>
        <v>#REF!</v>
      </c>
      <c r="CE25" s="10" t="e">
        <f>'T&amp;D'!CE27</f>
        <v>#REF!</v>
      </c>
      <c r="CF25" s="10" t="e">
        <f>'T&amp;D'!CF27</f>
        <v>#REF!</v>
      </c>
      <c r="CG25" s="10" t="e">
        <f>'T&amp;D'!CG27</f>
        <v>#REF!</v>
      </c>
      <c r="CH25" s="10" t="e">
        <f>'T&amp;D'!CH27</f>
        <v>#REF!</v>
      </c>
      <c r="CI25" s="10" t="e">
        <f>'T&amp;D'!CI27</f>
        <v>#REF!</v>
      </c>
      <c r="CJ25" s="10" t="e">
        <f>'T&amp;D'!CJ27</f>
        <v>#REF!</v>
      </c>
      <c r="CK25" s="10" t="e">
        <f>'T&amp;D'!CK27</f>
        <v>#REF!</v>
      </c>
      <c r="CL25" s="10" t="e">
        <f>'T&amp;D'!CL27</f>
        <v>#REF!</v>
      </c>
      <c r="CM25" s="10" t="e">
        <f>'T&amp;D'!CM27</f>
        <v>#REF!</v>
      </c>
      <c r="CN25" s="10" t="e">
        <f>'T&amp;D'!CN27</f>
        <v>#REF!</v>
      </c>
      <c r="CO25" s="10" t="e">
        <f>'T&amp;D'!CO27</f>
        <v>#REF!</v>
      </c>
      <c r="CP25" s="10" t="e">
        <f>'T&amp;D'!CP27</f>
        <v>#REF!</v>
      </c>
      <c r="CQ25" s="10" t="e">
        <f>'T&amp;D'!CQ27</f>
        <v>#REF!</v>
      </c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</row>
    <row r="26" spans="2:108" ht="12.75" customHeight="1" x14ac:dyDescent="0.25">
      <c r="B26" s="184"/>
      <c r="H26" s="54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</row>
    <row r="27" spans="2:108" ht="12.75" customHeight="1" x14ac:dyDescent="0.25">
      <c r="B27" s="43" t="s">
        <v>293</v>
      </c>
      <c r="H27" s="54" t="s">
        <v>3</v>
      </c>
      <c r="N27" s="25" t="e">
        <f>SUM(P27:DD27)</f>
        <v>#REF!</v>
      </c>
      <c r="O27" s="37"/>
      <c r="P27" s="37" t="e">
        <f t="shared" ref="P27:CA27" si="10">P23-P25</f>
        <v>#REF!</v>
      </c>
      <c r="Q27" s="37" t="e">
        <f t="shared" si="10"/>
        <v>#REF!</v>
      </c>
      <c r="R27" s="37" t="e">
        <f t="shared" si="10"/>
        <v>#REF!</v>
      </c>
      <c r="S27" s="37" t="e">
        <f t="shared" si="10"/>
        <v>#REF!</v>
      </c>
      <c r="T27" s="37" t="e">
        <f t="shared" si="10"/>
        <v>#REF!</v>
      </c>
      <c r="U27" s="37" t="e">
        <f t="shared" si="10"/>
        <v>#REF!</v>
      </c>
      <c r="V27" s="37" t="e">
        <f t="shared" si="10"/>
        <v>#REF!</v>
      </c>
      <c r="W27" s="37" t="e">
        <f t="shared" si="10"/>
        <v>#REF!</v>
      </c>
      <c r="X27" s="37" t="e">
        <f t="shared" si="10"/>
        <v>#REF!</v>
      </c>
      <c r="Y27" s="37" t="e">
        <f t="shared" si="10"/>
        <v>#REF!</v>
      </c>
      <c r="Z27" s="37" t="e">
        <f t="shared" si="10"/>
        <v>#REF!</v>
      </c>
      <c r="AA27" s="37" t="e">
        <f t="shared" si="10"/>
        <v>#REF!</v>
      </c>
      <c r="AB27" s="37" t="e">
        <f t="shared" si="10"/>
        <v>#REF!</v>
      </c>
      <c r="AC27" s="37" t="e">
        <f t="shared" si="10"/>
        <v>#REF!</v>
      </c>
      <c r="AD27" s="37" t="e">
        <f t="shared" si="10"/>
        <v>#REF!</v>
      </c>
      <c r="AE27" s="37" t="e">
        <f t="shared" si="10"/>
        <v>#REF!</v>
      </c>
      <c r="AF27" s="37" t="e">
        <f t="shared" si="10"/>
        <v>#REF!</v>
      </c>
      <c r="AG27" s="37" t="e">
        <f t="shared" si="10"/>
        <v>#REF!</v>
      </c>
      <c r="AH27" s="37" t="e">
        <f t="shared" si="10"/>
        <v>#REF!</v>
      </c>
      <c r="AI27" s="37" t="e">
        <f t="shared" si="10"/>
        <v>#REF!</v>
      </c>
      <c r="AJ27" s="37" t="e">
        <f t="shared" si="10"/>
        <v>#REF!</v>
      </c>
      <c r="AK27" s="37" t="e">
        <f t="shared" si="10"/>
        <v>#REF!</v>
      </c>
      <c r="AL27" s="37" t="e">
        <f t="shared" si="10"/>
        <v>#REF!</v>
      </c>
      <c r="AM27" s="37" t="e">
        <f t="shared" si="10"/>
        <v>#REF!</v>
      </c>
      <c r="AN27" s="37" t="e">
        <f t="shared" si="10"/>
        <v>#REF!</v>
      </c>
      <c r="AO27" s="37" t="e">
        <f t="shared" si="10"/>
        <v>#REF!</v>
      </c>
      <c r="AP27" s="37" t="e">
        <f t="shared" si="10"/>
        <v>#REF!</v>
      </c>
      <c r="AQ27" s="37" t="e">
        <f t="shared" si="10"/>
        <v>#REF!</v>
      </c>
      <c r="AR27" s="37" t="e">
        <f t="shared" si="10"/>
        <v>#REF!</v>
      </c>
      <c r="AS27" s="37" t="e">
        <f t="shared" si="10"/>
        <v>#REF!</v>
      </c>
      <c r="AT27" s="37" t="e">
        <f t="shared" si="10"/>
        <v>#REF!</v>
      </c>
      <c r="AU27" s="37" t="e">
        <f t="shared" si="10"/>
        <v>#REF!</v>
      </c>
      <c r="AV27" s="37" t="e">
        <f t="shared" si="10"/>
        <v>#REF!</v>
      </c>
      <c r="AW27" s="37" t="e">
        <f t="shared" si="10"/>
        <v>#REF!</v>
      </c>
      <c r="AX27" s="37" t="e">
        <f t="shared" si="10"/>
        <v>#REF!</v>
      </c>
      <c r="AY27" s="37" t="e">
        <f t="shared" si="10"/>
        <v>#REF!</v>
      </c>
      <c r="AZ27" s="37" t="e">
        <f t="shared" si="10"/>
        <v>#REF!</v>
      </c>
      <c r="BA27" s="37" t="e">
        <f t="shared" si="10"/>
        <v>#REF!</v>
      </c>
      <c r="BB27" s="37" t="e">
        <f t="shared" si="10"/>
        <v>#REF!</v>
      </c>
      <c r="BC27" s="37" t="e">
        <f t="shared" si="10"/>
        <v>#REF!</v>
      </c>
      <c r="BD27" s="37" t="e">
        <f t="shared" si="10"/>
        <v>#REF!</v>
      </c>
      <c r="BE27" s="37" t="e">
        <f t="shared" si="10"/>
        <v>#REF!</v>
      </c>
      <c r="BF27" s="37" t="e">
        <f t="shared" si="10"/>
        <v>#REF!</v>
      </c>
      <c r="BG27" s="37" t="e">
        <f t="shared" si="10"/>
        <v>#REF!</v>
      </c>
      <c r="BH27" s="37" t="e">
        <f t="shared" si="10"/>
        <v>#REF!</v>
      </c>
      <c r="BI27" s="37" t="e">
        <f t="shared" si="10"/>
        <v>#REF!</v>
      </c>
      <c r="BJ27" s="37" t="e">
        <f t="shared" si="10"/>
        <v>#REF!</v>
      </c>
      <c r="BK27" s="37" t="e">
        <f t="shared" si="10"/>
        <v>#REF!</v>
      </c>
      <c r="BL27" s="37" t="e">
        <f t="shared" si="10"/>
        <v>#REF!</v>
      </c>
      <c r="BM27" s="37" t="e">
        <f t="shared" si="10"/>
        <v>#REF!</v>
      </c>
      <c r="BN27" s="37" t="e">
        <f t="shared" si="10"/>
        <v>#REF!</v>
      </c>
      <c r="BO27" s="37" t="e">
        <f t="shared" si="10"/>
        <v>#REF!</v>
      </c>
      <c r="BP27" s="37" t="e">
        <f t="shared" si="10"/>
        <v>#REF!</v>
      </c>
      <c r="BQ27" s="37" t="e">
        <f t="shared" si="10"/>
        <v>#REF!</v>
      </c>
      <c r="BR27" s="37" t="e">
        <f t="shared" si="10"/>
        <v>#REF!</v>
      </c>
      <c r="BS27" s="37" t="e">
        <f t="shared" si="10"/>
        <v>#REF!</v>
      </c>
      <c r="BT27" s="37" t="e">
        <f t="shared" si="10"/>
        <v>#REF!</v>
      </c>
      <c r="BU27" s="37" t="e">
        <f t="shared" si="10"/>
        <v>#REF!</v>
      </c>
      <c r="BV27" s="37" t="e">
        <f t="shared" si="10"/>
        <v>#REF!</v>
      </c>
      <c r="BW27" s="37" t="e">
        <f t="shared" si="10"/>
        <v>#REF!</v>
      </c>
      <c r="BX27" s="37" t="e">
        <f t="shared" si="10"/>
        <v>#REF!</v>
      </c>
      <c r="BY27" s="37" t="e">
        <f t="shared" si="10"/>
        <v>#REF!</v>
      </c>
      <c r="BZ27" s="37" t="e">
        <f t="shared" si="10"/>
        <v>#REF!</v>
      </c>
      <c r="CA27" s="37" t="e">
        <f t="shared" si="10"/>
        <v>#REF!</v>
      </c>
      <c r="CB27" s="37" t="e">
        <f t="shared" ref="CB27:CQ27" si="11">CB23-CB25</f>
        <v>#REF!</v>
      </c>
      <c r="CC27" s="37" t="e">
        <f t="shared" si="11"/>
        <v>#REF!</v>
      </c>
      <c r="CD27" s="37" t="e">
        <f t="shared" si="11"/>
        <v>#REF!</v>
      </c>
      <c r="CE27" s="37" t="e">
        <f t="shared" si="11"/>
        <v>#REF!</v>
      </c>
      <c r="CF27" s="37" t="e">
        <f t="shared" si="11"/>
        <v>#REF!</v>
      </c>
      <c r="CG27" s="37" t="e">
        <f t="shared" si="11"/>
        <v>#REF!</v>
      </c>
      <c r="CH27" s="37" t="e">
        <f t="shared" si="11"/>
        <v>#REF!</v>
      </c>
      <c r="CI27" s="37" t="e">
        <f t="shared" si="11"/>
        <v>#REF!</v>
      </c>
      <c r="CJ27" s="37" t="e">
        <f t="shared" si="11"/>
        <v>#REF!</v>
      </c>
      <c r="CK27" s="37" t="e">
        <f t="shared" si="11"/>
        <v>#REF!</v>
      </c>
      <c r="CL27" s="37" t="e">
        <f t="shared" si="11"/>
        <v>#REF!</v>
      </c>
      <c r="CM27" s="37" t="e">
        <f t="shared" si="11"/>
        <v>#REF!</v>
      </c>
      <c r="CN27" s="37" t="e">
        <f t="shared" si="11"/>
        <v>#REF!</v>
      </c>
      <c r="CO27" s="37" t="e">
        <f t="shared" si="11"/>
        <v>#REF!</v>
      </c>
      <c r="CP27" s="37" t="e">
        <f t="shared" si="11"/>
        <v>#REF!</v>
      </c>
      <c r="CQ27" s="37" t="e">
        <f t="shared" si="11"/>
        <v>#REF!</v>
      </c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</row>
    <row r="28" spans="2:108" ht="12.75" customHeight="1" x14ac:dyDescent="0.25">
      <c r="B28" s="184" t="s">
        <v>294</v>
      </c>
      <c r="H28" s="54" t="s">
        <v>6</v>
      </c>
      <c r="J28" s="16"/>
      <c r="K28" s="16"/>
      <c r="N28" s="19"/>
      <c r="O28" s="201"/>
      <c r="P28" s="201">
        <f t="shared" ref="P28:CA28" si="12">IFERROR(P27/P10,0)</f>
        <v>0</v>
      </c>
      <c r="Q28" s="201">
        <f t="shared" si="12"/>
        <v>0</v>
      </c>
      <c r="R28" s="201">
        <f t="shared" si="12"/>
        <v>0</v>
      </c>
      <c r="S28" s="201">
        <f t="shared" si="12"/>
        <v>0</v>
      </c>
      <c r="T28" s="201">
        <f t="shared" si="12"/>
        <v>0</v>
      </c>
      <c r="U28" s="201">
        <f t="shared" si="12"/>
        <v>0</v>
      </c>
      <c r="V28" s="201">
        <f t="shared" si="12"/>
        <v>0</v>
      </c>
      <c r="W28" s="201">
        <f t="shared" si="12"/>
        <v>0</v>
      </c>
      <c r="X28" s="201">
        <f t="shared" si="12"/>
        <v>0</v>
      </c>
      <c r="Y28" s="201">
        <f t="shared" si="12"/>
        <v>0</v>
      </c>
      <c r="Z28" s="201">
        <f t="shared" si="12"/>
        <v>0</v>
      </c>
      <c r="AA28" s="201">
        <f t="shared" si="12"/>
        <v>0</v>
      </c>
      <c r="AB28" s="201">
        <f t="shared" si="12"/>
        <v>0</v>
      </c>
      <c r="AC28" s="201">
        <f t="shared" si="12"/>
        <v>0</v>
      </c>
      <c r="AD28" s="201">
        <f t="shared" si="12"/>
        <v>0</v>
      </c>
      <c r="AE28" s="201">
        <f t="shared" si="12"/>
        <v>0</v>
      </c>
      <c r="AF28" s="201">
        <f t="shared" si="12"/>
        <v>0</v>
      </c>
      <c r="AG28" s="201">
        <f t="shared" si="12"/>
        <v>0</v>
      </c>
      <c r="AH28" s="201">
        <f t="shared" si="12"/>
        <v>0</v>
      </c>
      <c r="AI28" s="201">
        <f t="shared" si="12"/>
        <v>0</v>
      </c>
      <c r="AJ28" s="201">
        <f t="shared" si="12"/>
        <v>0</v>
      </c>
      <c r="AK28" s="201">
        <f t="shared" si="12"/>
        <v>0</v>
      </c>
      <c r="AL28" s="201">
        <f t="shared" si="12"/>
        <v>0</v>
      </c>
      <c r="AM28" s="201">
        <f t="shared" si="12"/>
        <v>0</v>
      </c>
      <c r="AN28" s="201">
        <f t="shared" si="12"/>
        <v>0</v>
      </c>
      <c r="AO28" s="201">
        <f t="shared" si="12"/>
        <v>0</v>
      </c>
      <c r="AP28" s="201">
        <f t="shared" si="12"/>
        <v>0</v>
      </c>
      <c r="AQ28" s="201">
        <f t="shared" si="12"/>
        <v>0</v>
      </c>
      <c r="AR28" s="201">
        <f t="shared" si="12"/>
        <v>0</v>
      </c>
      <c r="AS28" s="201">
        <f t="shared" si="12"/>
        <v>0</v>
      </c>
      <c r="AT28" s="201">
        <f t="shared" si="12"/>
        <v>0</v>
      </c>
      <c r="AU28" s="201">
        <f t="shared" si="12"/>
        <v>0</v>
      </c>
      <c r="AV28" s="201">
        <f t="shared" si="12"/>
        <v>0</v>
      </c>
      <c r="AW28" s="201">
        <f t="shared" si="12"/>
        <v>0</v>
      </c>
      <c r="AX28" s="201">
        <f t="shared" si="12"/>
        <v>0</v>
      </c>
      <c r="AY28" s="201">
        <f t="shared" si="12"/>
        <v>0</v>
      </c>
      <c r="AZ28" s="201">
        <f t="shared" si="12"/>
        <v>0</v>
      </c>
      <c r="BA28" s="201">
        <f t="shared" si="12"/>
        <v>0</v>
      </c>
      <c r="BB28" s="201">
        <f t="shared" si="12"/>
        <v>0</v>
      </c>
      <c r="BC28" s="201">
        <f t="shared" si="12"/>
        <v>0</v>
      </c>
      <c r="BD28" s="201">
        <f t="shared" si="12"/>
        <v>0</v>
      </c>
      <c r="BE28" s="201">
        <f t="shared" si="12"/>
        <v>0</v>
      </c>
      <c r="BF28" s="201">
        <f t="shared" si="12"/>
        <v>0</v>
      </c>
      <c r="BG28" s="201">
        <f t="shared" si="12"/>
        <v>0</v>
      </c>
      <c r="BH28" s="201">
        <f t="shared" si="12"/>
        <v>0</v>
      </c>
      <c r="BI28" s="201">
        <f t="shared" si="12"/>
        <v>0</v>
      </c>
      <c r="BJ28" s="201">
        <f t="shared" si="12"/>
        <v>0</v>
      </c>
      <c r="BK28" s="201">
        <f t="shared" si="12"/>
        <v>0</v>
      </c>
      <c r="BL28" s="201">
        <f t="shared" si="12"/>
        <v>0</v>
      </c>
      <c r="BM28" s="201">
        <f t="shared" si="12"/>
        <v>0</v>
      </c>
      <c r="BN28" s="201">
        <f t="shared" si="12"/>
        <v>0</v>
      </c>
      <c r="BO28" s="201">
        <f t="shared" si="12"/>
        <v>0</v>
      </c>
      <c r="BP28" s="201">
        <f t="shared" si="12"/>
        <v>0</v>
      </c>
      <c r="BQ28" s="201">
        <f t="shared" si="12"/>
        <v>0</v>
      </c>
      <c r="BR28" s="201">
        <f t="shared" si="12"/>
        <v>0</v>
      </c>
      <c r="BS28" s="201">
        <f t="shared" si="12"/>
        <v>0</v>
      </c>
      <c r="BT28" s="201">
        <f t="shared" si="12"/>
        <v>0</v>
      </c>
      <c r="BU28" s="201">
        <f t="shared" si="12"/>
        <v>0</v>
      </c>
      <c r="BV28" s="201">
        <f t="shared" si="12"/>
        <v>0</v>
      </c>
      <c r="BW28" s="201">
        <f t="shared" si="12"/>
        <v>0</v>
      </c>
      <c r="BX28" s="201">
        <f t="shared" si="12"/>
        <v>0</v>
      </c>
      <c r="BY28" s="201">
        <f t="shared" si="12"/>
        <v>0</v>
      </c>
      <c r="BZ28" s="201">
        <f t="shared" si="12"/>
        <v>0</v>
      </c>
      <c r="CA28" s="201">
        <f t="shared" si="12"/>
        <v>0</v>
      </c>
      <c r="CB28" s="201">
        <f t="shared" ref="CB28:CQ28" si="13">IFERROR(CB27/CB10,0)</f>
        <v>0</v>
      </c>
      <c r="CC28" s="201">
        <f t="shared" si="13"/>
        <v>0</v>
      </c>
      <c r="CD28" s="201">
        <f t="shared" si="13"/>
        <v>0</v>
      </c>
      <c r="CE28" s="201">
        <f t="shared" si="13"/>
        <v>0</v>
      </c>
      <c r="CF28" s="201">
        <f t="shared" si="13"/>
        <v>0</v>
      </c>
      <c r="CG28" s="201">
        <f t="shared" si="13"/>
        <v>0</v>
      </c>
      <c r="CH28" s="201">
        <f t="shared" si="13"/>
        <v>0</v>
      </c>
      <c r="CI28" s="201">
        <f t="shared" si="13"/>
        <v>0</v>
      </c>
      <c r="CJ28" s="201">
        <f t="shared" si="13"/>
        <v>0</v>
      </c>
      <c r="CK28" s="201">
        <f t="shared" si="13"/>
        <v>0</v>
      </c>
      <c r="CL28" s="201">
        <f t="shared" si="13"/>
        <v>0</v>
      </c>
      <c r="CM28" s="201">
        <f t="shared" si="13"/>
        <v>0</v>
      </c>
      <c r="CN28" s="201">
        <f t="shared" si="13"/>
        <v>0</v>
      </c>
      <c r="CO28" s="201">
        <f t="shared" si="13"/>
        <v>0</v>
      </c>
      <c r="CP28" s="201">
        <f t="shared" si="13"/>
        <v>0</v>
      </c>
      <c r="CQ28" s="201">
        <f t="shared" si="13"/>
        <v>0</v>
      </c>
      <c r="CR28" s="201"/>
      <c r="CS28" s="201"/>
      <c r="CT28" s="201"/>
      <c r="CU28" s="201"/>
      <c r="CV28" s="201"/>
      <c r="CW28" s="201"/>
      <c r="CX28" s="201"/>
      <c r="CY28" s="201"/>
      <c r="CZ28" s="201"/>
      <c r="DA28" s="201"/>
      <c r="DB28" s="201"/>
      <c r="DC28" s="201"/>
      <c r="DD28" s="201"/>
    </row>
    <row r="29" spans="2:108" ht="12.75" customHeight="1" x14ac:dyDescent="0.25">
      <c r="B29" s="184"/>
      <c r="H29" s="54"/>
      <c r="N29" s="10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  <c r="CG29" s="104"/>
      <c r="CH29" s="104"/>
      <c r="CI29" s="104"/>
      <c r="CJ29" s="104"/>
      <c r="CK29" s="104"/>
      <c r="CL29" s="104"/>
      <c r="CM29" s="104"/>
      <c r="CN29" s="104"/>
      <c r="CO29" s="104"/>
      <c r="CP29" s="104"/>
      <c r="CQ29" s="104"/>
      <c r="CR29" s="104"/>
      <c r="CS29" s="104"/>
      <c r="CT29" s="104"/>
      <c r="CU29" s="104"/>
      <c r="CV29" s="104"/>
      <c r="CW29" s="104"/>
      <c r="CX29" s="104"/>
      <c r="CY29" s="104"/>
      <c r="CZ29" s="104"/>
      <c r="DA29" s="104"/>
      <c r="DB29" s="104"/>
      <c r="DC29" s="104"/>
      <c r="DD29" s="104"/>
    </row>
    <row r="30" spans="2:108" ht="12.75" customHeight="1" x14ac:dyDescent="0.25">
      <c r="B30" s="17" t="s">
        <v>32</v>
      </c>
      <c r="C30" t="s">
        <v>295</v>
      </c>
      <c r="H30" s="54" t="s">
        <v>3</v>
      </c>
      <c r="N30" s="25" t="e">
        <f>SUM(P30:CT30)</f>
        <v>#REF!</v>
      </c>
      <c r="O30" s="10"/>
      <c r="P30" s="10" t="e">
        <f>Equity!P50</f>
        <v>#REF!</v>
      </c>
      <c r="Q30" s="10" t="e">
        <f>Equity!Q50</f>
        <v>#REF!</v>
      </c>
      <c r="R30" s="10" t="e">
        <f>Equity!R50</f>
        <v>#REF!</v>
      </c>
      <c r="S30" s="10" t="e">
        <f>Equity!S50</f>
        <v>#REF!</v>
      </c>
      <c r="T30" s="10" t="e">
        <f>Equity!T50</f>
        <v>#REF!</v>
      </c>
      <c r="U30" s="10" t="e">
        <f>Equity!U50</f>
        <v>#REF!</v>
      </c>
      <c r="V30" s="10" t="e">
        <f>Equity!V50</f>
        <v>#REF!</v>
      </c>
      <c r="W30" s="10" t="e">
        <f>Equity!W50</f>
        <v>#REF!</v>
      </c>
      <c r="X30" s="10" t="e">
        <f>Equity!X50</f>
        <v>#REF!</v>
      </c>
      <c r="Y30" s="10" t="e">
        <f>Equity!Y50</f>
        <v>#REF!</v>
      </c>
      <c r="Z30" s="10" t="e">
        <f>Equity!Z50</f>
        <v>#REF!</v>
      </c>
      <c r="AA30" s="10" t="e">
        <f>Equity!AA50</f>
        <v>#REF!</v>
      </c>
      <c r="AB30" s="10" t="e">
        <f>Equity!AB50</f>
        <v>#REF!</v>
      </c>
      <c r="AC30" s="10" t="e">
        <f>Equity!AC50</f>
        <v>#REF!</v>
      </c>
      <c r="AD30" s="10" t="e">
        <f>Equity!AD50</f>
        <v>#REF!</v>
      </c>
      <c r="AE30" s="10" t="e">
        <f>Equity!AE50</f>
        <v>#REF!</v>
      </c>
      <c r="AF30" s="10" t="e">
        <f>Equity!AF50</f>
        <v>#REF!</v>
      </c>
      <c r="AG30" s="10" t="e">
        <f>Equity!AG50</f>
        <v>#REF!</v>
      </c>
      <c r="AH30" s="10" t="e">
        <f>Equity!AH50</f>
        <v>#REF!</v>
      </c>
      <c r="AI30" s="10" t="e">
        <f>Equity!AI50</f>
        <v>#REF!</v>
      </c>
      <c r="AJ30" s="10" t="e">
        <f>Equity!AJ50</f>
        <v>#REF!</v>
      </c>
      <c r="AK30" s="10" t="e">
        <f>Equity!AK50</f>
        <v>#REF!</v>
      </c>
      <c r="AL30" s="10" t="e">
        <f>Equity!AL50</f>
        <v>#REF!</v>
      </c>
      <c r="AM30" s="10" t="e">
        <f>Equity!AM50</f>
        <v>#REF!</v>
      </c>
      <c r="AN30" s="10" t="e">
        <f>Equity!AN50</f>
        <v>#REF!</v>
      </c>
      <c r="AO30" s="10" t="e">
        <f>Equity!AO50</f>
        <v>#REF!</v>
      </c>
      <c r="AP30" s="10" t="e">
        <f>Equity!AP50</f>
        <v>#REF!</v>
      </c>
      <c r="AQ30" s="10" t="e">
        <f>Equity!AQ50</f>
        <v>#REF!</v>
      </c>
      <c r="AR30" s="10" t="e">
        <f>Equity!AR50</f>
        <v>#REF!</v>
      </c>
      <c r="AS30" s="10" t="e">
        <f>Equity!AS50</f>
        <v>#REF!</v>
      </c>
      <c r="AT30" s="10" t="e">
        <f>Equity!AT50</f>
        <v>#REF!</v>
      </c>
      <c r="AU30" s="10" t="e">
        <f>Equity!AU50</f>
        <v>#REF!</v>
      </c>
      <c r="AV30" s="10" t="e">
        <f>Equity!AV50</f>
        <v>#REF!</v>
      </c>
      <c r="AW30" s="10" t="e">
        <f>Equity!AW50</f>
        <v>#REF!</v>
      </c>
      <c r="AX30" s="10" t="e">
        <f>Equity!AX50</f>
        <v>#REF!</v>
      </c>
      <c r="AY30" s="10" t="e">
        <f>Equity!AY50</f>
        <v>#REF!</v>
      </c>
      <c r="AZ30" s="10" t="e">
        <f>Equity!AZ50</f>
        <v>#REF!</v>
      </c>
      <c r="BA30" s="10" t="e">
        <f>Equity!BA50</f>
        <v>#REF!</v>
      </c>
      <c r="BB30" s="10" t="e">
        <f>Equity!BB50</f>
        <v>#REF!</v>
      </c>
      <c r="BC30" s="10" t="e">
        <f>Equity!BC50</f>
        <v>#REF!</v>
      </c>
      <c r="BD30" s="10" t="e">
        <f>Equity!BD50</f>
        <v>#REF!</v>
      </c>
      <c r="BE30" s="10" t="e">
        <f>Equity!BE50</f>
        <v>#REF!</v>
      </c>
      <c r="BF30" s="10" t="e">
        <f>Equity!BF50</f>
        <v>#REF!</v>
      </c>
      <c r="BG30" s="10" t="e">
        <f>Equity!BG50</f>
        <v>#REF!</v>
      </c>
      <c r="BH30" s="10" t="e">
        <f>Equity!BH50</f>
        <v>#REF!</v>
      </c>
      <c r="BI30" s="10" t="e">
        <f>Equity!BI50</f>
        <v>#REF!</v>
      </c>
      <c r="BJ30" s="10" t="e">
        <f>Equity!BJ50</f>
        <v>#REF!</v>
      </c>
      <c r="BK30" s="10" t="e">
        <f>Equity!BK50</f>
        <v>#REF!</v>
      </c>
      <c r="BL30" s="10" t="e">
        <f>Equity!BL50</f>
        <v>#REF!</v>
      </c>
      <c r="BM30" s="10" t="e">
        <f>Equity!BM50</f>
        <v>#REF!</v>
      </c>
      <c r="BN30" s="10" t="e">
        <f>Equity!BN50</f>
        <v>#REF!</v>
      </c>
      <c r="BO30" s="10" t="e">
        <f>Equity!BO50</f>
        <v>#REF!</v>
      </c>
      <c r="BP30" s="10" t="e">
        <f>Equity!BP50</f>
        <v>#REF!</v>
      </c>
      <c r="BQ30" s="10" t="e">
        <f>Equity!BQ50</f>
        <v>#REF!</v>
      </c>
      <c r="BR30" s="10" t="e">
        <f>Equity!BR50</f>
        <v>#REF!</v>
      </c>
      <c r="BS30" s="10" t="e">
        <f>Equity!BS50</f>
        <v>#REF!</v>
      </c>
      <c r="BT30" s="10" t="e">
        <f>Equity!BT50</f>
        <v>#REF!</v>
      </c>
      <c r="BU30" s="10" t="e">
        <f>Equity!BU50</f>
        <v>#REF!</v>
      </c>
      <c r="BV30" s="10" t="e">
        <f>Equity!BV50</f>
        <v>#REF!</v>
      </c>
      <c r="BW30" s="10" t="e">
        <f>Equity!BW50</f>
        <v>#REF!</v>
      </c>
      <c r="BX30" s="10" t="e">
        <f>Equity!BX50</f>
        <v>#REF!</v>
      </c>
      <c r="BY30" s="10" t="e">
        <f>Equity!BY50</f>
        <v>#REF!</v>
      </c>
      <c r="BZ30" s="10" t="e">
        <f>Equity!BZ50</f>
        <v>#REF!</v>
      </c>
      <c r="CA30" s="10" t="e">
        <f>Equity!CA50</f>
        <v>#REF!</v>
      </c>
      <c r="CB30" s="10" t="e">
        <f>Equity!CB50</f>
        <v>#REF!</v>
      </c>
      <c r="CC30" s="10" t="e">
        <f>Equity!CC50</f>
        <v>#REF!</v>
      </c>
      <c r="CD30" s="10" t="e">
        <f>Equity!CD50</f>
        <v>#REF!</v>
      </c>
      <c r="CE30" s="10" t="e">
        <f>Equity!CE50</f>
        <v>#REF!</v>
      </c>
      <c r="CF30" s="10" t="e">
        <f>Equity!CF50</f>
        <v>#REF!</v>
      </c>
      <c r="CG30" s="10" t="e">
        <f>Equity!CG50</f>
        <v>#REF!</v>
      </c>
      <c r="CH30" s="10" t="e">
        <f>Equity!CH50</f>
        <v>#REF!</v>
      </c>
      <c r="CI30" s="10" t="e">
        <f>Equity!CI50</f>
        <v>#REF!</v>
      </c>
      <c r="CJ30" s="10" t="e">
        <f>Equity!CJ50</f>
        <v>#REF!</v>
      </c>
      <c r="CK30" s="10" t="e">
        <f>Equity!CK50</f>
        <v>#REF!</v>
      </c>
      <c r="CL30" s="10" t="e">
        <f>Equity!CL50</f>
        <v>#REF!</v>
      </c>
      <c r="CM30" s="10" t="e">
        <f>Equity!CM50</f>
        <v>#REF!</v>
      </c>
      <c r="CN30" s="10" t="e">
        <f>Equity!CN50</f>
        <v>#REF!</v>
      </c>
      <c r="CO30" s="10" t="e">
        <f>Equity!CO50</f>
        <v>#REF!</v>
      </c>
      <c r="CP30" s="10" t="e">
        <f>Equity!CP50</f>
        <v>#REF!</v>
      </c>
      <c r="CQ30" s="10" t="e">
        <f>Equity!CQ50</f>
        <v>#REF!</v>
      </c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</row>
    <row r="31" spans="2:108" ht="12.75" customHeight="1" x14ac:dyDescent="0.25">
      <c r="H31" s="54"/>
      <c r="N31" s="10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  <c r="CZ31" s="104"/>
      <c r="DA31" s="104"/>
      <c r="DB31" s="104"/>
      <c r="DC31" s="104"/>
      <c r="DD31" s="104"/>
    </row>
    <row r="32" spans="2:108" ht="12.75" customHeight="1" x14ac:dyDescent="0.25">
      <c r="B32" s="65" t="s">
        <v>296</v>
      </c>
      <c r="H32" s="54" t="s">
        <v>3</v>
      </c>
      <c r="N32" s="25" t="e">
        <f>SUM(P32:CT32)</f>
        <v>#REF!</v>
      </c>
      <c r="O32" s="26"/>
      <c r="P32" s="37" t="e">
        <f t="shared" ref="P32:CA32" si="14">P27-P30</f>
        <v>#REF!</v>
      </c>
      <c r="Q32" s="37" t="e">
        <f t="shared" si="14"/>
        <v>#REF!</v>
      </c>
      <c r="R32" s="37" t="e">
        <f t="shared" si="14"/>
        <v>#REF!</v>
      </c>
      <c r="S32" s="37" t="e">
        <f t="shared" si="14"/>
        <v>#REF!</v>
      </c>
      <c r="T32" s="37" t="e">
        <f t="shared" si="14"/>
        <v>#REF!</v>
      </c>
      <c r="U32" s="37" t="e">
        <f t="shared" si="14"/>
        <v>#REF!</v>
      </c>
      <c r="V32" s="37" t="e">
        <f t="shared" si="14"/>
        <v>#REF!</v>
      </c>
      <c r="W32" s="37" t="e">
        <f t="shared" si="14"/>
        <v>#REF!</v>
      </c>
      <c r="X32" s="37" t="e">
        <f t="shared" si="14"/>
        <v>#REF!</v>
      </c>
      <c r="Y32" s="37" t="e">
        <f t="shared" si="14"/>
        <v>#REF!</v>
      </c>
      <c r="Z32" s="37" t="e">
        <f t="shared" si="14"/>
        <v>#REF!</v>
      </c>
      <c r="AA32" s="37" t="e">
        <f t="shared" si="14"/>
        <v>#REF!</v>
      </c>
      <c r="AB32" s="37" t="e">
        <f t="shared" si="14"/>
        <v>#REF!</v>
      </c>
      <c r="AC32" s="37" t="e">
        <f t="shared" si="14"/>
        <v>#REF!</v>
      </c>
      <c r="AD32" s="37" t="e">
        <f t="shared" si="14"/>
        <v>#REF!</v>
      </c>
      <c r="AE32" s="37" t="e">
        <f t="shared" si="14"/>
        <v>#REF!</v>
      </c>
      <c r="AF32" s="37" t="e">
        <f t="shared" si="14"/>
        <v>#REF!</v>
      </c>
      <c r="AG32" s="37" t="e">
        <f t="shared" si="14"/>
        <v>#REF!</v>
      </c>
      <c r="AH32" s="37" t="e">
        <f t="shared" si="14"/>
        <v>#REF!</v>
      </c>
      <c r="AI32" s="37" t="e">
        <f t="shared" si="14"/>
        <v>#REF!</v>
      </c>
      <c r="AJ32" s="37" t="e">
        <f t="shared" si="14"/>
        <v>#REF!</v>
      </c>
      <c r="AK32" s="37" t="e">
        <f t="shared" si="14"/>
        <v>#REF!</v>
      </c>
      <c r="AL32" s="37" t="e">
        <f t="shared" si="14"/>
        <v>#REF!</v>
      </c>
      <c r="AM32" s="37" t="e">
        <f t="shared" si="14"/>
        <v>#REF!</v>
      </c>
      <c r="AN32" s="37" t="e">
        <f t="shared" si="14"/>
        <v>#REF!</v>
      </c>
      <c r="AO32" s="37" t="e">
        <f t="shared" si="14"/>
        <v>#REF!</v>
      </c>
      <c r="AP32" s="37" t="e">
        <f t="shared" si="14"/>
        <v>#REF!</v>
      </c>
      <c r="AQ32" s="37" t="e">
        <f t="shared" si="14"/>
        <v>#REF!</v>
      </c>
      <c r="AR32" s="37" t="e">
        <f t="shared" si="14"/>
        <v>#REF!</v>
      </c>
      <c r="AS32" s="37" t="e">
        <f t="shared" si="14"/>
        <v>#REF!</v>
      </c>
      <c r="AT32" s="37" t="e">
        <f t="shared" si="14"/>
        <v>#REF!</v>
      </c>
      <c r="AU32" s="37" t="e">
        <f t="shared" si="14"/>
        <v>#REF!</v>
      </c>
      <c r="AV32" s="37" t="e">
        <f t="shared" si="14"/>
        <v>#REF!</v>
      </c>
      <c r="AW32" s="37" t="e">
        <f t="shared" si="14"/>
        <v>#REF!</v>
      </c>
      <c r="AX32" s="37" t="e">
        <f t="shared" si="14"/>
        <v>#REF!</v>
      </c>
      <c r="AY32" s="37" t="e">
        <f t="shared" si="14"/>
        <v>#REF!</v>
      </c>
      <c r="AZ32" s="37" t="e">
        <f t="shared" si="14"/>
        <v>#REF!</v>
      </c>
      <c r="BA32" s="37" t="e">
        <f t="shared" si="14"/>
        <v>#REF!</v>
      </c>
      <c r="BB32" s="37" t="e">
        <f t="shared" si="14"/>
        <v>#REF!</v>
      </c>
      <c r="BC32" s="37" t="e">
        <f t="shared" si="14"/>
        <v>#REF!</v>
      </c>
      <c r="BD32" s="37" t="e">
        <f t="shared" si="14"/>
        <v>#REF!</v>
      </c>
      <c r="BE32" s="37" t="e">
        <f t="shared" si="14"/>
        <v>#REF!</v>
      </c>
      <c r="BF32" s="37" t="e">
        <f t="shared" si="14"/>
        <v>#REF!</v>
      </c>
      <c r="BG32" s="37" t="e">
        <f t="shared" si="14"/>
        <v>#REF!</v>
      </c>
      <c r="BH32" s="37" t="e">
        <f t="shared" si="14"/>
        <v>#REF!</v>
      </c>
      <c r="BI32" s="37" t="e">
        <f t="shared" si="14"/>
        <v>#REF!</v>
      </c>
      <c r="BJ32" s="37" t="e">
        <f t="shared" si="14"/>
        <v>#REF!</v>
      </c>
      <c r="BK32" s="37" t="e">
        <f t="shared" si="14"/>
        <v>#REF!</v>
      </c>
      <c r="BL32" s="37" t="e">
        <f t="shared" si="14"/>
        <v>#REF!</v>
      </c>
      <c r="BM32" s="37" t="e">
        <f t="shared" si="14"/>
        <v>#REF!</v>
      </c>
      <c r="BN32" s="37" t="e">
        <f t="shared" si="14"/>
        <v>#REF!</v>
      </c>
      <c r="BO32" s="37" t="e">
        <f t="shared" si="14"/>
        <v>#REF!</v>
      </c>
      <c r="BP32" s="37" t="e">
        <f t="shared" si="14"/>
        <v>#REF!</v>
      </c>
      <c r="BQ32" s="37" t="e">
        <f t="shared" si="14"/>
        <v>#REF!</v>
      </c>
      <c r="BR32" s="37" t="e">
        <f t="shared" si="14"/>
        <v>#REF!</v>
      </c>
      <c r="BS32" s="37" t="e">
        <f t="shared" si="14"/>
        <v>#REF!</v>
      </c>
      <c r="BT32" s="37" t="e">
        <f t="shared" si="14"/>
        <v>#REF!</v>
      </c>
      <c r="BU32" s="37" t="e">
        <f t="shared" si="14"/>
        <v>#REF!</v>
      </c>
      <c r="BV32" s="37" t="e">
        <f t="shared" si="14"/>
        <v>#REF!</v>
      </c>
      <c r="BW32" s="37" t="e">
        <f t="shared" si="14"/>
        <v>#REF!</v>
      </c>
      <c r="BX32" s="37" t="e">
        <f t="shared" si="14"/>
        <v>#REF!</v>
      </c>
      <c r="BY32" s="37" t="e">
        <f t="shared" si="14"/>
        <v>#REF!</v>
      </c>
      <c r="BZ32" s="37" t="e">
        <f t="shared" si="14"/>
        <v>#REF!</v>
      </c>
      <c r="CA32" s="37" t="e">
        <f t="shared" si="14"/>
        <v>#REF!</v>
      </c>
      <c r="CB32" s="37" t="e">
        <f t="shared" ref="CB32:CQ32" si="15">CB27-CB30</f>
        <v>#REF!</v>
      </c>
      <c r="CC32" s="37" t="e">
        <f t="shared" si="15"/>
        <v>#REF!</v>
      </c>
      <c r="CD32" s="37" t="e">
        <f t="shared" si="15"/>
        <v>#REF!</v>
      </c>
      <c r="CE32" s="37" t="e">
        <f t="shared" si="15"/>
        <v>#REF!</v>
      </c>
      <c r="CF32" s="37" t="e">
        <f t="shared" si="15"/>
        <v>#REF!</v>
      </c>
      <c r="CG32" s="37" t="e">
        <f t="shared" si="15"/>
        <v>#REF!</v>
      </c>
      <c r="CH32" s="37" t="e">
        <f t="shared" si="15"/>
        <v>#REF!</v>
      </c>
      <c r="CI32" s="37" t="e">
        <f t="shared" si="15"/>
        <v>#REF!</v>
      </c>
      <c r="CJ32" s="37" t="e">
        <f t="shared" si="15"/>
        <v>#REF!</v>
      </c>
      <c r="CK32" s="37" t="e">
        <f t="shared" si="15"/>
        <v>#REF!</v>
      </c>
      <c r="CL32" s="37" t="e">
        <f t="shared" si="15"/>
        <v>#REF!</v>
      </c>
      <c r="CM32" s="37" t="e">
        <f t="shared" si="15"/>
        <v>#REF!</v>
      </c>
      <c r="CN32" s="37" t="e">
        <f t="shared" si="15"/>
        <v>#REF!</v>
      </c>
      <c r="CO32" s="37" t="e">
        <f t="shared" si="15"/>
        <v>#REF!</v>
      </c>
      <c r="CP32" s="37" t="e">
        <f t="shared" si="15"/>
        <v>#REF!</v>
      </c>
      <c r="CQ32" s="37" t="e">
        <f t="shared" si="15"/>
        <v>#REF!</v>
      </c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</row>
    <row r="33" spans="1:108" ht="12.75" customHeight="1" x14ac:dyDescent="0.25"/>
    <row r="34" spans="1:108" s="292" customFormat="1" ht="12.75" customHeight="1" x14ac:dyDescent="0.25">
      <c r="A34" s="287" t="s">
        <v>53</v>
      </c>
      <c r="B34" s="287"/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287"/>
      <c r="AE34" s="287"/>
      <c r="AF34" s="287"/>
      <c r="AG34" s="287"/>
      <c r="AH34" s="287"/>
      <c r="AI34" s="287"/>
      <c r="AJ34" s="287"/>
      <c r="AK34" s="287"/>
      <c r="AL34" s="287"/>
      <c r="AM34" s="287"/>
      <c r="AN34" s="287"/>
      <c r="AO34" s="287"/>
      <c r="AP34" s="287"/>
      <c r="AQ34" s="287"/>
      <c r="AR34" s="287"/>
      <c r="AS34" s="287"/>
      <c r="AT34" s="287"/>
      <c r="AU34" s="287"/>
      <c r="AV34" s="287"/>
      <c r="AW34" s="287"/>
      <c r="AX34" s="287"/>
      <c r="AY34" s="287"/>
      <c r="AZ34" s="287"/>
      <c r="BA34" s="287"/>
      <c r="BB34" s="287"/>
      <c r="BC34" s="287"/>
      <c r="BD34" s="287"/>
      <c r="BE34" s="287"/>
      <c r="BF34" s="287"/>
      <c r="BG34" s="287"/>
      <c r="BH34" s="287"/>
      <c r="BI34" s="287"/>
      <c r="BJ34" s="287"/>
      <c r="BK34" s="287"/>
      <c r="BL34" s="287"/>
      <c r="BM34" s="287"/>
      <c r="BN34" s="287"/>
      <c r="BO34" s="287"/>
      <c r="BP34" s="287"/>
      <c r="BQ34" s="287"/>
      <c r="BR34" s="287"/>
      <c r="BS34" s="287"/>
      <c r="BT34" s="287"/>
      <c r="BU34" s="287"/>
      <c r="BV34" s="287"/>
      <c r="BW34" s="287"/>
      <c r="BX34" s="287"/>
      <c r="BY34" s="287"/>
      <c r="BZ34" s="287"/>
      <c r="CA34" s="287"/>
      <c r="CB34" s="287"/>
      <c r="CC34" s="287"/>
      <c r="CD34" s="287"/>
      <c r="CE34" s="287"/>
      <c r="CF34" s="287"/>
      <c r="CG34" s="287"/>
      <c r="CH34" s="287"/>
      <c r="CI34" s="287"/>
      <c r="CJ34" s="287"/>
      <c r="CK34" s="287"/>
      <c r="CL34" s="287"/>
      <c r="CM34" s="287"/>
      <c r="CN34" s="287"/>
      <c r="CO34" s="287"/>
      <c r="CP34" s="287"/>
      <c r="CQ34" s="287"/>
      <c r="CR34" s="287"/>
      <c r="CS34" s="287"/>
      <c r="CT34" s="287"/>
      <c r="CU34" s="287"/>
      <c r="CV34" s="287"/>
      <c r="CW34" s="287"/>
      <c r="CX34" s="287"/>
      <c r="CY34" s="287"/>
      <c r="CZ34" s="287"/>
      <c r="DA34" s="287"/>
      <c r="DB34" s="287"/>
      <c r="DC34" s="287"/>
      <c r="DD34" s="287"/>
    </row>
  </sheetData>
  <conditionalFormatting sqref="CU7:DD7">
    <cfRule type="expression" dxfId="154" priority="9">
      <formula>CU7="Ops"</formula>
    </cfRule>
    <cfRule type="expression" dxfId="153" priority="10">
      <formula>CU7="Const"</formula>
    </cfRule>
  </conditionalFormatting>
  <conditionalFormatting sqref="P7:CT7">
    <cfRule type="expression" dxfId="152" priority="7">
      <formula>P7="Ops"</formula>
    </cfRule>
    <cfRule type="expression" dxfId="151" priority="8">
      <formula>P7="Const"</formula>
    </cfRule>
  </conditionalFormatting>
  <conditionalFormatting sqref="J2:J3">
    <cfRule type="expression" dxfId="150" priority="6">
      <formula>#REF!=TRUE</formula>
    </cfRule>
  </conditionalFormatting>
  <conditionalFormatting sqref="J5:J6">
    <cfRule type="expression" dxfId="149" priority="5">
      <formula>#REF!=TRUE</formula>
    </cfRule>
  </conditionalFormatting>
  <conditionalFormatting sqref="J7">
    <cfRule type="expression" dxfId="148" priority="4">
      <formula>#REF!=TRUE</formula>
    </cfRule>
  </conditionalFormatting>
  <conditionalFormatting sqref="Q13 CR21:DD21">
    <cfRule type="expression" dxfId="147" priority="1">
      <formula>Q$7="Actuals"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BE88-5259-4971-8A1F-2CE0649D8BF9}">
  <sheetPr codeName="Sheet11">
    <tabColor theme="8" tint="-0.499984740745262"/>
  </sheetPr>
  <dimension ref="A1:DD50"/>
  <sheetViews>
    <sheetView showGridLines="0" tabSelected="1" zoomScale="50" zoomScaleNormal="50" workbookViewId="0">
      <pane xSplit="14" ySplit="8" topLeftCell="O9" activePane="bottomRight" state="frozen"/>
      <selection activeCell="I11" sqref="I11"/>
      <selection pane="topRight" activeCell="I11" sqref="I11"/>
      <selection pane="bottomLeft" activeCell="I11" sqref="I11"/>
      <selection pane="bottomRight" activeCell="P10" sqref="P10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2:108" s="282" customFormat="1" ht="12.75" customHeight="1" x14ac:dyDescent="0.2">
      <c r="H1" s="284"/>
    </row>
    <row r="2" spans="2:108" s="282" customFormat="1" ht="12.75" customHeight="1" x14ac:dyDescent="0.2">
      <c r="H2" s="284"/>
      <c r="J2" s="285"/>
    </row>
    <row r="3" spans="2:108" s="282" customFormat="1" ht="12.75" customHeight="1" x14ac:dyDescent="0.2">
      <c r="H3" s="284"/>
      <c r="J3" s="286"/>
    </row>
    <row r="4" spans="2:108" s="282" customFormat="1" ht="12.75" customHeight="1" x14ac:dyDescent="0.2">
      <c r="H4" s="284"/>
    </row>
    <row r="5" spans="2:108" s="282" customFormat="1" ht="12.75" customHeight="1" x14ac:dyDescent="0.2">
      <c r="H5" s="284"/>
      <c r="J5" s="285"/>
      <c r="N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2:108" s="282" customFormat="1" ht="12.75" customHeight="1" x14ac:dyDescent="0.2">
      <c r="H6" s="284"/>
      <c r="J6" s="286"/>
      <c r="N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2:108" s="282" customFormat="1" ht="12.75" customHeight="1" x14ac:dyDescent="0.2">
      <c r="H7" s="284"/>
      <c r="J7" s="286"/>
      <c r="N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2:108" s="282" customFormat="1" ht="12.75" customHeight="1" x14ac:dyDescent="0.2">
      <c r="H8" s="284"/>
    </row>
    <row r="9" spans="2:108" ht="12.75" customHeight="1" x14ac:dyDescent="0.25"/>
    <row r="10" spans="2:108" ht="12.75" customHeight="1" x14ac:dyDescent="0.25">
      <c r="B10" s="17" t="s">
        <v>34</v>
      </c>
      <c r="C10" t="s">
        <v>48</v>
      </c>
      <c r="H10" s="54" t="s">
        <v>3</v>
      </c>
      <c r="N10" s="25" t="e">
        <f>SUM(P10:DD10)</f>
        <v>#REF!</v>
      </c>
      <c r="O10" s="10"/>
      <c r="P10" s="10" t="e">
        <f>IS!P13</f>
        <v>#REF!</v>
      </c>
      <c r="Q10" s="10" t="e">
        <f>IS!Q13</f>
        <v>#REF!</v>
      </c>
      <c r="R10" s="10" t="e">
        <f>IS!R13</f>
        <v>#REF!</v>
      </c>
      <c r="S10" s="10" t="e">
        <f>IS!S13</f>
        <v>#REF!</v>
      </c>
      <c r="T10" s="10" t="e">
        <f>IS!T13</f>
        <v>#REF!</v>
      </c>
      <c r="U10" s="10" t="e">
        <f>IS!U13</f>
        <v>#REF!</v>
      </c>
      <c r="V10" s="10" t="e">
        <f>IS!V13</f>
        <v>#REF!</v>
      </c>
      <c r="W10" s="10" t="e">
        <f>IS!W13</f>
        <v>#REF!</v>
      </c>
      <c r="X10" s="10" t="e">
        <f>IS!X13</f>
        <v>#REF!</v>
      </c>
      <c r="Y10" s="10" t="e">
        <f>IS!Y13</f>
        <v>#REF!</v>
      </c>
      <c r="Z10" s="10" t="e">
        <f>IS!Z13</f>
        <v>#REF!</v>
      </c>
      <c r="AA10" s="10" t="e">
        <f>IS!AA13</f>
        <v>#REF!</v>
      </c>
      <c r="AB10" s="10" t="e">
        <f>IS!AB13</f>
        <v>#REF!</v>
      </c>
      <c r="AC10" s="10" t="e">
        <f>IS!AC13</f>
        <v>#REF!</v>
      </c>
      <c r="AD10" s="10" t="e">
        <f>IS!AD13</f>
        <v>#REF!</v>
      </c>
      <c r="AE10" s="10" t="e">
        <f>IS!AE13</f>
        <v>#REF!</v>
      </c>
      <c r="AF10" s="10" t="e">
        <f>IS!AF13</f>
        <v>#REF!</v>
      </c>
      <c r="AG10" s="10" t="e">
        <f>IS!AG13</f>
        <v>#REF!</v>
      </c>
      <c r="AH10" s="10" t="e">
        <f>IS!AH13</f>
        <v>#REF!</v>
      </c>
      <c r="AI10" s="10" t="e">
        <f>IS!AI13</f>
        <v>#REF!</v>
      </c>
      <c r="AJ10" s="10" t="e">
        <f>IS!AJ13</f>
        <v>#REF!</v>
      </c>
      <c r="AK10" s="10" t="e">
        <f>IS!AK13</f>
        <v>#REF!</v>
      </c>
      <c r="AL10" s="10" t="e">
        <f>IS!AL13</f>
        <v>#REF!</v>
      </c>
      <c r="AM10" s="10" t="e">
        <f>IS!AM13</f>
        <v>#REF!</v>
      </c>
      <c r="AN10" s="10" t="e">
        <f>IS!AN13</f>
        <v>#REF!</v>
      </c>
      <c r="AO10" s="10" t="e">
        <f>IS!AO13</f>
        <v>#REF!</v>
      </c>
      <c r="AP10" s="10" t="e">
        <f>IS!AP13</f>
        <v>#REF!</v>
      </c>
      <c r="AQ10" s="10" t="e">
        <f>IS!AQ13</f>
        <v>#REF!</v>
      </c>
      <c r="AR10" s="10" t="e">
        <f>IS!AR13</f>
        <v>#REF!</v>
      </c>
      <c r="AS10" s="10" t="e">
        <f>IS!AS13</f>
        <v>#REF!</v>
      </c>
      <c r="AT10" s="10" t="e">
        <f>IS!AT13</f>
        <v>#REF!</v>
      </c>
      <c r="AU10" s="10" t="e">
        <f>IS!AU13</f>
        <v>#REF!</v>
      </c>
      <c r="AV10" s="10" t="e">
        <f>IS!AV13</f>
        <v>#REF!</v>
      </c>
      <c r="AW10" s="10" t="e">
        <f>IS!AW13</f>
        <v>#REF!</v>
      </c>
      <c r="AX10" s="10" t="e">
        <f>IS!AX13</f>
        <v>#REF!</v>
      </c>
      <c r="AY10" s="10" t="e">
        <f>IS!AY13</f>
        <v>#REF!</v>
      </c>
      <c r="AZ10" s="10" t="e">
        <f>IS!AZ13</f>
        <v>#REF!</v>
      </c>
      <c r="BA10" s="10" t="e">
        <f>IS!BA13</f>
        <v>#REF!</v>
      </c>
      <c r="BB10" s="10" t="e">
        <f>IS!BB13</f>
        <v>#REF!</v>
      </c>
      <c r="BC10" s="10" t="e">
        <f>IS!BC13</f>
        <v>#REF!</v>
      </c>
      <c r="BD10" s="10" t="e">
        <f>IS!BD13</f>
        <v>#REF!</v>
      </c>
      <c r="BE10" s="10" t="e">
        <f>IS!BE13</f>
        <v>#REF!</v>
      </c>
      <c r="BF10" s="10" t="e">
        <f>IS!BF13</f>
        <v>#REF!</v>
      </c>
      <c r="BG10" s="10" t="e">
        <f>IS!BG13</f>
        <v>#REF!</v>
      </c>
      <c r="BH10" s="10" t="e">
        <f>IS!BH13</f>
        <v>#REF!</v>
      </c>
      <c r="BI10" s="10" t="e">
        <f>IS!BI13</f>
        <v>#REF!</v>
      </c>
      <c r="BJ10" s="10" t="e">
        <f>IS!BJ13</f>
        <v>#REF!</v>
      </c>
      <c r="BK10" s="10" t="e">
        <f>IS!BK13</f>
        <v>#REF!</v>
      </c>
      <c r="BL10" s="10" t="e">
        <f>IS!BL13</f>
        <v>#REF!</v>
      </c>
      <c r="BM10" s="10" t="e">
        <f>IS!BM13</f>
        <v>#REF!</v>
      </c>
      <c r="BN10" s="10" t="e">
        <f>IS!BN13</f>
        <v>#REF!</v>
      </c>
      <c r="BO10" s="10" t="e">
        <f>IS!BO13</f>
        <v>#REF!</v>
      </c>
      <c r="BP10" s="10" t="e">
        <f>IS!BP13</f>
        <v>#REF!</v>
      </c>
      <c r="BQ10" s="10" t="e">
        <f>IS!BQ13</f>
        <v>#REF!</v>
      </c>
      <c r="BR10" s="10" t="e">
        <f>IS!BR13</f>
        <v>#REF!</v>
      </c>
      <c r="BS10" s="10" t="e">
        <f>IS!BS13</f>
        <v>#REF!</v>
      </c>
      <c r="BT10" s="10" t="e">
        <f>IS!BT13</f>
        <v>#REF!</v>
      </c>
      <c r="BU10" s="10" t="e">
        <f>IS!BU13</f>
        <v>#REF!</v>
      </c>
      <c r="BV10" s="10" t="e">
        <f>IS!BV13</f>
        <v>#REF!</v>
      </c>
      <c r="BW10" s="10" t="e">
        <f>IS!BW13</f>
        <v>#REF!</v>
      </c>
      <c r="BX10" s="10" t="e">
        <f>IS!BX13</f>
        <v>#REF!</v>
      </c>
      <c r="BY10" s="10" t="e">
        <f>IS!BY13</f>
        <v>#REF!</v>
      </c>
      <c r="BZ10" s="10" t="e">
        <f>IS!BZ13</f>
        <v>#REF!</v>
      </c>
      <c r="CA10" s="10" t="e">
        <f>IS!CA13</f>
        <v>#REF!</v>
      </c>
      <c r="CB10" s="10" t="e">
        <f>IS!CB13</f>
        <v>#REF!</v>
      </c>
      <c r="CC10" s="10" t="e">
        <f>IS!CC13</f>
        <v>#REF!</v>
      </c>
      <c r="CD10" s="10" t="e">
        <f>IS!CD13</f>
        <v>#REF!</v>
      </c>
      <c r="CE10" s="10" t="e">
        <f>IS!CE13</f>
        <v>#REF!</v>
      </c>
      <c r="CF10" s="10" t="e">
        <f>IS!CF13</f>
        <v>#REF!</v>
      </c>
      <c r="CG10" s="10" t="e">
        <f>IS!CG13</f>
        <v>#REF!</v>
      </c>
      <c r="CH10" s="10" t="e">
        <f>IS!CH13</f>
        <v>#REF!</v>
      </c>
      <c r="CI10" s="10" t="e">
        <f>IS!CI13</f>
        <v>#REF!</v>
      </c>
      <c r="CJ10" s="10" t="e">
        <f>IS!CJ13</f>
        <v>#REF!</v>
      </c>
      <c r="CK10" s="10" t="e">
        <f>IS!CK13</f>
        <v>#REF!</v>
      </c>
      <c r="CL10" s="10" t="e">
        <f>IS!CL13</f>
        <v>#REF!</v>
      </c>
      <c r="CM10" s="10" t="e">
        <f>IS!CM13</f>
        <v>#REF!</v>
      </c>
      <c r="CN10" s="10" t="e">
        <f>IS!CN13</f>
        <v>#REF!</v>
      </c>
      <c r="CO10" s="10" t="e">
        <f>IS!CO13</f>
        <v>#REF!</v>
      </c>
      <c r="CP10" s="10" t="e">
        <f>IS!CP13</f>
        <v>#REF!</v>
      </c>
      <c r="CQ10" s="10" t="e">
        <f>IS!CQ13</f>
        <v>#REF!</v>
      </c>
      <c r="CR10" s="10">
        <f>IS!CR13</f>
        <v>0</v>
      </c>
      <c r="CS10" s="10">
        <f>IS!CS13</f>
        <v>0</v>
      </c>
      <c r="CT10" s="10">
        <f>IS!CT13</f>
        <v>0</v>
      </c>
      <c r="CU10" s="10"/>
      <c r="CV10" s="10"/>
      <c r="CW10" s="10"/>
      <c r="CX10" s="10"/>
      <c r="CY10" s="10"/>
      <c r="CZ10" s="10"/>
      <c r="DA10" s="10"/>
      <c r="DB10" s="10"/>
      <c r="DC10" s="10"/>
      <c r="DD10" s="10"/>
    </row>
    <row r="11" spans="2:108" ht="12.75" customHeight="1" x14ac:dyDescent="0.25">
      <c r="B11" s="17" t="s">
        <v>32</v>
      </c>
      <c r="C11" t="s">
        <v>163</v>
      </c>
      <c r="H11" s="54" t="s">
        <v>3</v>
      </c>
      <c r="N11" s="25" t="e">
        <f>SUM(P11:DD11)</f>
        <v>#REF!</v>
      </c>
      <c r="O11" s="10"/>
      <c r="P11" s="10" t="e">
        <f>CAPEX!P38</f>
        <v>#REF!</v>
      </c>
      <c r="Q11" s="10" t="e">
        <f>CAPEX!Q38</f>
        <v>#REF!</v>
      </c>
      <c r="R11" s="10" t="e">
        <f>CAPEX!R38</f>
        <v>#REF!</v>
      </c>
      <c r="S11" s="10" t="e">
        <f>CAPEX!S38</f>
        <v>#REF!</v>
      </c>
      <c r="T11" s="10" t="e">
        <f>CAPEX!T38</f>
        <v>#REF!</v>
      </c>
      <c r="U11" s="10" t="e">
        <f>CAPEX!U38</f>
        <v>#REF!</v>
      </c>
      <c r="V11" s="10" t="e">
        <f>CAPEX!V38</f>
        <v>#REF!</v>
      </c>
      <c r="W11" s="10" t="e">
        <f>CAPEX!W38</f>
        <v>#REF!</v>
      </c>
      <c r="X11" s="10" t="e">
        <f>CAPEX!X38</f>
        <v>#REF!</v>
      </c>
      <c r="Y11" s="10" t="e">
        <f>CAPEX!Y38</f>
        <v>#REF!</v>
      </c>
      <c r="Z11" s="10" t="e">
        <f>CAPEX!Z38</f>
        <v>#REF!</v>
      </c>
      <c r="AA11" s="10" t="e">
        <f>CAPEX!AA38</f>
        <v>#REF!</v>
      </c>
      <c r="AB11" s="10" t="e">
        <f>CAPEX!AB38</f>
        <v>#REF!</v>
      </c>
      <c r="AC11" s="10" t="e">
        <f>CAPEX!AC38</f>
        <v>#REF!</v>
      </c>
      <c r="AD11" s="10" t="e">
        <f>CAPEX!AD38</f>
        <v>#REF!</v>
      </c>
      <c r="AE11" s="10" t="e">
        <f>CAPEX!AE38</f>
        <v>#REF!</v>
      </c>
      <c r="AF11" s="10" t="e">
        <f>CAPEX!AF38</f>
        <v>#REF!</v>
      </c>
      <c r="AG11" s="10" t="e">
        <f>CAPEX!AG38</f>
        <v>#REF!</v>
      </c>
      <c r="AH11" s="10" t="e">
        <f>CAPEX!AH38</f>
        <v>#REF!</v>
      </c>
      <c r="AI11" s="10" t="e">
        <f>CAPEX!AI38</f>
        <v>#REF!</v>
      </c>
      <c r="AJ11" s="10" t="e">
        <f>CAPEX!AJ38</f>
        <v>#REF!</v>
      </c>
      <c r="AK11" s="10" t="e">
        <f>CAPEX!AK38</f>
        <v>#REF!</v>
      </c>
      <c r="AL11" s="10" t="e">
        <f>CAPEX!AL38</f>
        <v>#REF!</v>
      </c>
      <c r="AM11" s="10" t="e">
        <f>CAPEX!AM38</f>
        <v>#REF!</v>
      </c>
      <c r="AN11" s="10" t="e">
        <f>CAPEX!AN38</f>
        <v>#REF!</v>
      </c>
      <c r="AO11" s="10" t="e">
        <f>CAPEX!AO38</f>
        <v>#REF!</v>
      </c>
      <c r="AP11" s="10" t="e">
        <f>CAPEX!AP38</f>
        <v>#REF!</v>
      </c>
      <c r="AQ11" s="10" t="e">
        <f>CAPEX!AQ38</f>
        <v>#REF!</v>
      </c>
      <c r="AR11" s="10" t="e">
        <f>CAPEX!AR38</f>
        <v>#REF!</v>
      </c>
      <c r="AS11" s="10" t="e">
        <f>CAPEX!AS38</f>
        <v>#REF!</v>
      </c>
      <c r="AT11" s="10" t="e">
        <f>CAPEX!AT38</f>
        <v>#REF!</v>
      </c>
      <c r="AU11" s="10" t="e">
        <f>CAPEX!AU38</f>
        <v>#REF!</v>
      </c>
      <c r="AV11" s="10" t="e">
        <f>CAPEX!AV38</f>
        <v>#REF!</v>
      </c>
      <c r="AW11" s="10" t="e">
        <f>CAPEX!AW38</f>
        <v>#REF!</v>
      </c>
      <c r="AX11" s="10" t="e">
        <f>CAPEX!AX38</f>
        <v>#REF!</v>
      </c>
      <c r="AY11" s="10" t="e">
        <f>CAPEX!AY38</f>
        <v>#REF!</v>
      </c>
      <c r="AZ11" s="10" t="e">
        <f>CAPEX!AZ38</f>
        <v>#REF!</v>
      </c>
      <c r="BA11" s="10" t="e">
        <f>CAPEX!BA38</f>
        <v>#REF!</v>
      </c>
      <c r="BB11" s="10" t="e">
        <f>CAPEX!BB38</f>
        <v>#REF!</v>
      </c>
      <c r="BC11" s="10" t="e">
        <f>CAPEX!BC38</f>
        <v>#REF!</v>
      </c>
      <c r="BD11" s="10" t="e">
        <f>CAPEX!BD38</f>
        <v>#REF!</v>
      </c>
      <c r="BE11" s="10" t="e">
        <f>CAPEX!BE38</f>
        <v>#REF!</v>
      </c>
      <c r="BF11" s="10" t="e">
        <f>CAPEX!BF38</f>
        <v>#REF!</v>
      </c>
      <c r="BG11" s="10" t="e">
        <f>CAPEX!BG38</f>
        <v>#REF!</v>
      </c>
      <c r="BH11" s="10" t="e">
        <f>CAPEX!BH38</f>
        <v>#REF!</v>
      </c>
      <c r="BI11" s="10" t="e">
        <f>CAPEX!BI38</f>
        <v>#REF!</v>
      </c>
      <c r="BJ11" s="10" t="e">
        <f>CAPEX!BJ38</f>
        <v>#REF!</v>
      </c>
      <c r="BK11" s="10" t="e">
        <f>CAPEX!BK38</f>
        <v>#REF!</v>
      </c>
      <c r="BL11" s="10" t="e">
        <f>CAPEX!BL38</f>
        <v>#REF!</v>
      </c>
      <c r="BM11" s="10" t="e">
        <f>CAPEX!BM38</f>
        <v>#REF!</v>
      </c>
      <c r="BN11" s="10" t="e">
        <f>CAPEX!BN38</f>
        <v>#REF!</v>
      </c>
      <c r="BO11" s="10" t="e">
        <f>CAPEX!BO38</f>
        <v>#REF!</v>
      </c>
      <c r="BP11" s="10" t="e">
        <f>CAPEX!BP38</f>
        <v>#REF!</v>
      </c>
      <c r="BQ11" s="10" t="e">
        <f>CAPEX!BQ38</f>
        <v>#REF!</v>
      </c>
      <c r="BR11" s="10" t="e">
        <f>CAPEX!BR38</f>
        <v>#REF!</v>
      </c>
      <c r="BS11" s="10" t="e">
        <f>CAPEX!BS38</f>
        <v>#REF!</v>
      </c>
      <c r="BT11" s="10" t="e">
        <f>CAPEX!BT38</f>
        <v>#REF!</v>
      </c>
      <c r="BU11" s="10" t="e">
        <f>CAPEX!BU38</f>
        <v>#REF!</v>
      </c>
      <c r="BV11" s="10" t="e">
        <f>CAPEX!BV38</f>
        <v>#REF!</v>
      </c>
      <c r="BW11" s="10" t="e">
        <f>CAPEX!BW38</f>
        <v>#REF!</v>
      </c>
      <c r="BX11" s="10" t="e">
        <f>CAPEX!BX38</f>
        <v>#REF!</v>
      </c>
      <c r="BY11" s="10" t="e">
        <f>CAPEX!BY38</f>
        <v>#REF!</v>
      </c>
      <c r="BZ11" s="10" t="e">
        <f>CAPEX!BZ38</f>
        <v>#REF!</v>
      </c>
      <c r="CA11" s="10" t="e">
        <f>CAPEX!CA38</f>
        <v>#REF!</v>
      </c>
      <c r="CB11" s="10" t="e">
        <f>CAPEX!CB38</f>
        <v>#REF!</v>
      </c>
      <c r="CC11" s="10" t="e">
        <f>CAPEX!CC38</f>
        <v>#REF!</v>
      </c>
      <c r="CD11" s="10" t="e">
        <f>CAPEX!CD38</f>
        <v>#REF!</v>
      </c>
      <c r="CE11" s="10" t="e">
        <f>CAPEX!CE38</f>
        <v>#REF!</v>
      </c>
      <c r="CF11" s="10" t="e">
        <f>CAPEX!CF38</f>
        <v>#REF!</v>
      </c>
      <c r="CG11" s="10" t="e">
        <f>CAPEX!CG38</f>
        <v>#REF!</v>
      </c>
      <c r="CH11" s="10" t="e">
        <f>CAPEX!CH38</f>
        <v>#REF!</v>
      </c>
      <c r="CI11" s="10" t="e">
        <f>CAPEX!CI38</f>
        <v>#REF!</v>
      </c>
      <c r="CJ11" s="10" t="e">
        <f>CAPEX!CJ38</f>
        <v>#REF!</v>
      </c>
      <c r="CK11" s="10" t="e">
        <f>CAPEX!CK38</f>
        <v>#REF!</v>
      </c>
      <c r="CL11" s="10" t="e">
        <f>CAPEX!CL38</f>
        <v>#REF!</v>
      </c>
      <c r="CM11" s="10" t="e">
        <f>CAPEX!CM38</f>
        <v>#REF!</v>
      </c>
      <c r="CN11" s="10" t="e">
        <f>CAPEX!CN38</f>
        <v>#REF!</v>
      </c>
      <c r="CO11" s="10" t="e">
        <f>CAPEX!CO38</f>
        <v>#REF!</v>
      </c>
      <c r="CP11" s="10" t="e">
        <f>CAPEX!CP38</f>
        <v>#REF!</v>
      </c>
      <c r="CQ11" s="10" t="e">
        <f>CAPEX!CQ38</f>
        <v>#REF!</v>
      </c>
      <c r="CR11" s="10">
        <f>CAPEX!CR38</f>
        <v>0</v>
      </c>
      <c r="CS11" s="10">
        <f>CAPEX!CS38</f>
        <v>0</v>
      </c>
      <c r="CT11" s="10">
        <f>CAPEX!CT38</f>
        <v>0</v>
      </c>
      <c r="CU11" s="10"/>
      <c r="CV11" s="10"/>
      <c r="CW11" s="10"/>
      <c r="CX11" s="10"/>
      <c r="CY11" s="10"/>
      <c r="CZ11" s="10"/>
      <c r="DA11" s="10"/>
      <c r="DB11" s="10"/>
      <c r="DC11" s="10"/>
      <c r="DD11" s="10"/>
    </row>
    <row r="12" spans="2:108" ht="12.75" customHeight="1" x14ac:dyDescent="0.25">
      <c r="B12" s="17" t="s">
        <v>32</v>
      </c>
      <c r="C12" t="s">
        <v>298</v>
      </c>
      <c r="H12" s="54" t="s">
        <v>3</v>
      </c>
      <c r="N12" s="25" t="e">
        <f>SUM(P12:DD12)</f>
        <v>#REF!</v>
      </c>
      <c r="O12" s="10"/>
      <c r="P12" s="10" t="e">
        <f>IS!P25</f>
        <v>#REF!</v>
      </c>
      <c r="Q12" s="10" t="e">
        <f>IS!Q25</f>
        <v>#REF!</v>
      </c>
      <c r="R12" s="10" t="e">
        <f>IS!R25</f>
        <v>#REF!</v>
      </c>
      <c r="S12" s="10" t="e">
        <f>IS!S25</f>
        <v>#REF!</v>
      </c>
      <c r="T12" s="10" t="e">
        <f>IS!T25</f>
        <v>#REF!</v>
      </c>
      <c r="U12" s="10" t="e">
        <f>IS!U25</f>
        <v>#REF!</v>
      </c>
      <c r="V12" s="10" t="e">
        <f>IS!V25</f>
        <v>#REF!</v>
      </c>
      <c r="W12" s="10" t="e">
        <f>IS!W25</f>
        <v>#REF!</v>
      </c>
      <c r="X12" s="10" t="e">
        <f>IS!X25</f>
        <v>#REF!</v>
      </c>
      <c r="Y12" s="10" t="e">
        <f>IS!Y25</f>
        <v>#REF!</v>
      </c>
      <c r="Z12" s="10" t="e">
        <f>IS!Z25</f>
        <v>#REF!</v>
      </c>
      <c r="AA12" s="10" t="e">
        <f>IS!AA25</f>
        <v>#REF!</v>
      </c>
      <c r="AB12" s="10" t="e">
        <f>IS!AB25</f>
        <v>#REF!</v>
      </c>
      <c r="AC12" s="10" t="e">
        <f>IS!AC25</f>
        <v>#REF!</v>
      </c>
      <c r="AD12" s="10" t="e">
        <f>IS!AD25</f>
        <v>#REF!</v>
      </c>
      <c r="AE12" s="10" t="e">
        <f>IS!AE25</f>
        <v>#REF!</v>
      </c>
      <c r="AF12" s="10" t="e">
        <f>IS!AF25</f>
        <v>#REF!</v>
      </c>
      <c r="AG12" s="10" t="e">
        <f>IS!AG25</f>
        <v>#REF!</v>
      </c>
      <c r="AH12" s="10" t="e">
        <f>IS!AH25</f>
        <v>#REF!</v>
      </c>
      <c r="AI12" s="10" t="e">
        <f>IS!AI25</f>
        <v>#REF!</v>
      </c>
      <c r="AJ12" s="10" t="e">
        <f>IS!AJ25</f>
        <v>#REF!</v>
      </c>
      <c r="AK12" s="10" t="e">
        <f>IS!AK25</f>
        <v>#REF!</v>
      </c>
      <c r="AL12" s="10" t="e">
        <f>IS!AL25</f>
        <v>#REF!</v>
      </c>
      <c r="AM12" s="10" t="e">
        <f>IS!AM25</f>
        <v>#REF!</v>
      </c>
      <c r="AN12" s="10" t="e">
        <f>IS!AN25</f>
        <v>#REF!</v>
      </c>
      <c r="AO12" s="10" t="e">
        <f>IS!AO25</f>
        <v>#REF!</v>
      </c>
      <c r="AP12" s="10" t="e">
        <f>IS!AP25</f>
        <v>#REF!</v>
      </c>
      <c r="AQ12" s="10" t="e">
        <f>IS!AQ25</f>
        <v>#REF!</v>
      </c>
      <c r="AR12" s="10" t="e">
        <f>IS!AR25</f>
        <v>#REF!</v>
      </c>
      <c r="AS12" s="10" t="e">
        <f>IS!AS25</f>
        <v>#REF!</v>
      </c>
      <c r="AT12" s="10" t="e">
        <f>IS!AT25</f>
        <v>#REF!</v>
      </c>
      <c r="AU12" s="10" t="e">
        <f>IS!AU25</f>
        <v>#REF!</v>
      </c>
      <c r="AV12" s="10" t="e">
        <f>IS!AV25</f>
        <v>#REF!</v>
      </c>
      <c r="AW12" s="10" t="e">
        <f>IS!AW25</f>
        <v>#REF!</v>
      </c>
      <c r="AX12" s="10" t="e">
        <f>IS!AX25</f>
        <v>#REF!</v>
      </c>
      <c r="AY12" s="10" t="e">
        <f>IS!AY25</f>
        <v>#REF!</v>
      </c>
      <c r="AZ12" s="10" t="e">
        <f>IS!AZ25</f>
        <v>#REF!</v>
      </c>
      <c r="BA12" s="10" t="e">
        <f>IS!BA25</f>
        <v>#REF!</v>
      </c>
      <c r="BB12" s="10" t="e">
        <f>IS!BB25</f>
        <v>#REF!</v>
      </c>
      <c r="BC12" s="10" t="e">
        <f>IS!BC25</f>
        <v>#REF!</v>
      </c>
      <c r="BD12" s="10" t="e">
        <f>IS!BD25</f>
        <v>#REF!</v>
      </c>
      <c r="BE12" s="10" t="e">
        <f>IS!BE25</f>
        <v>#REF!</v>
      </c>
      <c r="BF12" s="10" t="e">
        <f>IS!BF25</f>
        <v>#REF!</v>
      </c>
      <c r="BG12" s="10" t="e">
        <f>IS!BG25</f>
        <v>#REF!</v>
      </c>
      <c r="BH12" s="10" t="e">
        <f>IS!BH25</f>
        <v>#REF!</v>
      </c>
      <c r="BI12" s="10" t="e">
        <f>IS!BI25</f>
        <v>#REF!</v>
      </c>
      <c r="BJ12" s="10" t="e">
        <f>IS!BJ25</f>
        <v>#REF!</v>
      </c>
      <c r="BK12" s="10" t="e">
        <f>IS!BK25</f>
        <v>#REF!</v>
      </c>
      <c r="BL12" s="10" t="e">
        <f>IS!BL25</f>
        <v>#REF!</v>
      </c>
      <c r="BM12" s="10" t="e">
        <f>IS!BM25</f>
        <v>#REF!</v>
      </c>
      <c r="BN12" s="10" t="e">
        <f>IS!BN25</f>
        <v>#REF!</v>
      </c>
      <c r="BO12" s="10" t="e">
        <f>IS!BO25</f>
        <v>#REF!</v>
      </c>
      <c r="BP12" s="10" t="e">
        <f>IS!BP25</f>
        <v>#REF!</v>
      </c>
      <c r="BQ12" s="10" t="e">
        <f>IS!BQ25</f>
        <v>#REF!</v>
      </c>
      <c r="BR12" s="10" t="e">
        <f>IS!BR25</f>
        <v>#REF!</v>
      </c>
      <c r="BS12" s="10" t="e">
        <f>IS!BS25</f>
        <v>#REF!</v>
      </c>
      <c r="BT12" s="10" t="e">
        <f>IS!BT25</f>
        <v>#REF!</v>
      </c>
      <c r="BU12" s="10" t="e">
        <f>IS!BU25</f>
        <v>#REF!</v>
      </c>
      <c r="BV12" s="10" t="e">
        <f>IS!BV25</f>
        <v>#REF!</v>
      </c>
      <c r="BW12" s="10" t="e">
        <f>IS!BW25</f>
        <v>#REF!</v>
      </c>
      <c r="BX12" s="10" t="e">
        <f>IS!BX25</f>
        <v>#REF!</v>
      </c>
      <c r="BY12" s="10" t="e">
        <f>IS!BY25</f>
        <v>#REF!</v>
      </c>
      <c r="BZ12" s="10" t="e">
        <f>IS!BZ25</f>
        <v>#REF!</v>
      </c>
      <c r="CA12" s="10" t="e">
        <f>IS!CA25</f>
        <v>#REF!</v>
      </c>
      <c r="CB12" s="10" t="e">
        <f>IS!CB25</f>
        <v>#REF!</v>
      </c>
      <c r="CC12" s="10" t="e">
        <f>IS!CC25</f>
        <v>#REF!</v>
      </c>
      <c r="CD12" s="10" t="e">
        <f>IS!CD25</f>
        <v>#REF!</v>
      </c>
      <c r="CE12" s="10" t="e">
        <f>IS!CE25</f>
        <v>#REF!</v>
      </c>
      <c r="CF12" s="10" t="e">
        <f>IS!CF25</f>
        <v>#REF!</v>
      </c>
      <c r="CG12" s="10" t="e">
        <f>IS!CG25</f>
        <v>#REF!</v>
      </c>
      <c r="CH12" s="10" t="e">
        <f>IS!CH25</f>
        <v>#REF!</v>
      </c>
      <c r="CI12" s="10" t="e">
        <f>IS!CI25</f>
        <v>#REF!</v>
      </c>
      <c r="CJ12" s="10" t="e">
        <f>IS!CJ25</f>
        <v>#REF!</v>
      </c>
      <c r="CK12" s="10" t="e">
        <f>IS!CK25</f>
        <v>#REF!</v>
      </c>
      <c r="CL12" s="10" t="e">
        <f>IS!CL25</f>
        <v>#REF!</v>
      </c>
      <c r="CM12" s="10" t="e">
        <f>IS!CM25</f>
        <v>#REF!</v>
      </c>
      <c r="CN12" s="10" t="e">
        <f>IS!CN25</f>
        <v>#REF!</v>
      </c>
      <c r="CO12" s="10" t="e">
        <f>IS!CO25</f>
        <v>#REF!</v>
      </c>
      <c r="CP12" s="10" t="e">
        <f>IS!CP25</f>
        <v>#REF!</v>
      </c>
      <c r="CQ12" s="10" t="e">
        <f>IS!CQ25</f>
        <v>#REF!</v>
      </c>
      <c r="CR12" s="10">
        <f>IS!CR25</f>
        <v>0</v>
      </c>
      <c r="CS12" s="10">
        <f>IS!CS25</f>
        <v>0</v>
      </c>
      <c r="CT12" s="10">
        <f>IS!CT25</f>
        <v>0</v>
      </c>
      <c r="CU12" s="10"/>
      <c r="CV12" s="10"/>
      <c r="CW12" s="10"/>
      <c r="CX12" s="10"/>
      <c r="CY12" s="10"/>
      <c r="CZ12" s="10"/>
      <c r="DA12" s="10"/>
      <c r="DB12" s="10"/>
      <c r="DC12" s="10"/>
      <c r="DD12" s="10"/>
    </row>
    <row r="13" spans="2:108" ht="12.75" customHeight="1" x14ac:dyDescent="0.25">
      <c r="B13" s="17" t="s">
        <v>32</v>
      </c>
      <c r="C13" t="s">
        <v>299</v>
      </c>
      <c r="H13" s="54" t="s">
        <v>3</v>
      </c>
      <c r="N13" s="25" t="e">
        <f>SUM(P13:DD13)</f>
        <v>#REF!</v>
      </c>
      <c r="O13" s="10"/>
      <c r="P13" s="10" t="e">
        <f>Ops!P89</f>
        <v>#REF!</v>
      </c>
      <c r="Q13" s="10" t="e">
        <f>Ops!Q89</f>
        <v>#REF!</v>
      </c>
      <c r="R13" s="10" t="e">
        <f>Ops!R89</f>
        <v>#REF!</v>
      </c>
      <c r="S13" s="10" t="e">
        <f>Ops!S89</f>
        <v>#REF!</v>
      </c>
      <c r="T13" s="10" t="e">
        <f>Ops!T89</f>
        <v>#REF!</v>
      </c>
      <c r="U13" s="10" t="e">
        <f>Ops!U89</f>
        <v>#REF!</v>
      </c>
      <c r="V13" s="10" t="e">
        <f>Ops!V89</f>
        <v>#REF!</v>
      </c>
      <c r="W13" s="10" t="e">
        <f>Ops!W89</f>
        <v>#REF!</v>
      </c>
      <c r="X13" s="10" t="e">
        <f>Ops!X89</f>
        <v>#REF!</v>
      </c>
      <c r="Y13" s="10" t="e">
        <f>Ops!Y89</f>
        <v>#REF!</v>
      </c>
      <c r="Z13" s="10" t="e">
        <f>Ops!Z89</f>
        <v>#REF!</v>
      </c>
      <c r="AA13" s="10" t="e">
        <f>Ops!AA89</f>
        <v>#REF!</v>
      </c>
      <c r="AB13" s="10" t="e">
        <f>Ops!AB89</f>
        <v>#REF!</v>
      </c>
      <c r="AC13" s="10" t="e">
        <f>Ops!AC89</f>
        <v>#REF!</v>
      </c>
      <c r="AD13" s="10" t="e">
        <f>Ops!AD89</f>
        <v>#REF!</v>
      </c>
      <c r="AE13" s="10" t="e">
        <f>Ops!AE89</f>
        <v>#REF!</v>
      </c>
      <c r="AF13" s="10" t="e">
        <f>Ops!AF89</f>
        <v>#REF!</v>
      </c>
      <c r="AG13" s="10" t="e">
        <f>Ops!AG89</f>
        <v>#REF!</v>
      </c>
      <c r="AH13" s="10" t="e">
        <f>Ops!AH89</f>
        <v>#REF!</v>
      </c>
      <c r="AI13" s="10" t="e">
        <f>Ops!AI89</f>
        <v>#REF!</v>
      </c>
      <c r="AJ13" s="10" t="e">
        <f>Ops!AJ89</f>
        <v>#REF!</v>
      </c>
      <c r="AK13" s="10" t="e">
        <f>Ops!AK89</f>
        <v>#REF!</v>
      </c>
      <c r="AL13" s="10" t="e">
        <f>Ops!AL89</f>
        <v>#REF!</v>
      </c>
      <c r="AM13" s="10" t="e">
        <f>Ops!AM89</f>
        <v>#REF!</v>
      </c>
      <c r="AN13" s="10" t="e">
        <f>Ops!AN89</f>
        <v>#REF!</v>
      </c>
      <c r="AO13" s="10" t="e">
        <f>Ops!AO89</f>
        <v>#REF!</v>
      </c>
      <c r="AP13" s="10" t="e">
        <f>Ops!AP89</f>
        <v>#REF!</v>
      </c>
      <c r="AQ13" s="10" t="e">
        <f>Ops!AQ89</f>
        <v>#REF!</v>
      </c>
      <c r="AR13" s="10" t="e">
        <f>Ops!AR89</f>
        <v>#REF!</v>
      </c>
      <c r="AS13" s="10" t="e">
        <f>Ops!AS89</f>
        <v>#REF!</v>
      </c>
      <c r="AT13" s="10" t="e">
        <f>Ops!AT89</f>
        <v>#REF!</v>
      </c>
      <c r="AU13" s="10" t="e">
        <f>Ops!AU89</f>
        <v>#REF!</v>
      </c>
      <c r="AV13" s="10" t="e">
        <f>Ops!AV89</f>
        <v>#REF!</v>
      </c>
      <c r="AW13" s="10" t="e">
        <f>Ops!AW89</f>
        <v>#REF!</v>
      </c>
      <c r="AX13" s="10" t="e">
        <f>Ops!AX89</f>
        <v>#REF!</v>
      </c>
      <c r="AY13" s="10" t="e">
        <f>Ops!AY89</f>
        <v>#REF!</v>
      </c>
      <c r="AZ13" s="10" t="e">
        <f>Ops!AZ89</f>
        <v>#REF!</v>
      </c>
      <c r="BA13" s="10" t="e">
        <f>Ops!BA89</f>
        <v>#REF!</v>
      </c>
      <c r="BB13" s="10" t="e">
        <f>Ops!BB89</f>
        <v>#REF!</v>
      </c>
      <c r="BC13" s="10" t="e">
        <f>Ops!BC89</f>
        <v>#REF!</v>
      </c>
      <c r="BD13" s="10" t="e">
        <f>Ops!BD89</f>
        <v>#REF!</v>
      </c>
      <c r="BE13" s="10" t="e">
        <f>Ops!BE89</f>
        <v>#REF!</v>
      </c>
      <c r="BF13" s="10" t="e">
        <f>Ops!BF89</f>
        <v>#REF!</v>
      </c>
      <c r="BG13" s="10" t="e">
        <f>Ops!BG89</f>
        <v>#REF!</v>
      </c>
      <c r="BH13" s="10" t="e">
        <f>Ops!BH89</f>
        <v>#REF!</v>
      </c>
      <c r="BI13" s="10" t="e">
        <f>Ops!BI89</f>
        <v>#REF!</v>
      </c>
      <c r="BJ13" s="10" t="e">
        <f>Ops!BJ89</f>
        <v>#REF!</v>
      </c>
      <c r="BK13" s="10" t="e">
        <f>Ops!BK89</f>
        <v>#REF!</v>
      </c>
      <c r="BL13" s="10" t="e">
        <f>Ops!BL89</f>
        <v>#REF!</v>
      </c>
      <c r="BM13" s="10" t="e">
        <f>Ops!BM89</f>
        <v>#REF!</v>
      </c>
      <c r="BN13" s="10" t="e">
        <f>Ops!BN89</f>
        <v>#REF!</v>
      </c>
      <c r="BO13" s="10" t="e">
        <f>Ops!BO89</f>
        <v>#REF!</v>
      </c>
      <c r="BP13" s="10" t="e">
        <f>Ops!BP89</f>
        <v>#REF!</v>
      </c>
      <c r="BQ13" s="10" t="e">
        <f>Ops!BQ89</f>
        <v>#REF!</v>
      </c>
      <c r="BR13" s="10" t="e">
        <f>Ops!BR89</f>
        <v>#REF!</v>
      </c>
      <c r="BS13" s="10" t="e">
        <f>Ops!BS89</f>
        <v>#REF!</v>
      </c>
      <c r="BT13" s="10" t="e">
        <f>Ops!BT89</f>
        <v>#REF!</v>
      </c>
      <c r="BU13" s="10" t="e">
        <f>Ops!BU89</f>
        <v>#REF!</v>
      </c>
      <c r="BV13" s="10" t="e">
        <f>Ops!BV89</f>
        <v>#REF!</v>
      </c>
      <c r="BW13" s="10" t="e">
        <f>Ops!BW89</f>
        <v>#REF!</v>
      </c>
      <c r="BX13" s="10" t="e">
        <f>Ops!BX89</f>
        <v>#REF!</v>
      </c>
      <c r="BY13" s="10" t="e">
        <f>Ops!BY89</f>
        <v>#REF!</v>
      </c>
      <c r="BZ13" s="10" t="e">
        <f>Ops!BZ89</f>
        <v>#REF!</v>
      </c>
      <c r="CA13" s="10" t="e">
        <f>Ops!CA89</f>
        <v>#REF!</v>
      </c>
      <c r="CB13" s="10" t="e">
        <f>Ops!CB89</f>
        <v>#REF!</v>
      </c>
      <c r="CC13" s="10" t="e">
        <f>Ops!CC89</f>
        <v>#REF!</v>
      </c>
      <c r="CD13" s="10" t="e">
        <f>Ops!CD89</f>
        <v>#REF!</v>
      </c>
      <c r="CE13" s="10" t="e">
        <f>Ops!CE89</f>
        <v>#REF!</v>
      </c>
      <c r="CF13" s="10" t="e">
        <f>Ops!CF89</f>
        <v>#REF!</v>
      </c>
      <c r="CG13" s="10" t="e">
        <f>Ops!CG89</f>
        <v>#REF!</v>
      </c>
      <c r="CH13" s="10" t="e">
        <f>Ops!CH89</f>
        <v>#REF!</v>
      </c>
      <c r="CI13" s="10" t="e">
        <f>Ops!CI89</f>
        <v>#REF!</v>
      </c>
      <c r="CJ13" s="10" t="e">
        <f>Ops!CJ89</f>
        <v>#REF!</v>
      </c>
      <c r="CK13" s="10" t="e">
        <f>Ops!CK89</f>
        <v>#REF!</v>
      </c>
      <c r="CL13" s="10" t="e">
        <f>Ops!CL89</f>
        <v>#REF!</v>
      </c>
      <c r="CM13" s="10" t="e">
        <f>Ops!CM89</f>
        <v>#REF!</v>
      </c>
      <c r="CN13" s="10" t="e">
        <f>Ops!CN89</f>
        <v>#REF!</v>
      </c>
      <c r="CO13" s="10" t="e">
        <f>Ops!CO89</f>
        <v>#REF!</v>
      </c>
      <c r="CP13" s="10" t="e">
        <f>Ops!CP89</f>
        <v>#REF!</v>
      </c>
      <c r="CQ13" s="10" t="e">
        <f>Ops!CQ89</f>
        <v>#REF!</v>
      </c>
      <c r="CR13" s="10" t="e">
        <f>Ops!CR89</f>
        <v>#REF!</v>
      </c>
      <c r="CS13" s="10" t="e">
        <f>Ops!CS89</f>
        <v>#REF!</v>
      </c>
      <c r="CT13" s="10" t="e">
        <f>Ops!CT89</f>
        <v>#REF!</v>
      </c>
      <c r="CU13" s="10"/>
      <c r="CV13" s="10"/>
      <c r="CW13" s="10"/>
      <c r="CX13" s="10"/>
      <c r="CY13" s="10"/>
      <c r="CZ13" s="10"/>
      <c r="DA13" s="10"/>
      <c r="DB13" s="10"/>
      <c r="DC13" s="10"/>
      <c r="DD13" s="10"/>
    </row>
    <row r="14" spans="2:108" ht="12.75" customHeight="1" x14ac:dyDescent="0.25">
      <c r="B14" s="184"/>
      <c r="H14" s="54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</row>
    <row r="15" spans="2:108" ht="12.75" customHeight="1" x14ac:dyDescent="0.25">
      <c r="B15" s="43" t="s">
        <v>300</v>
      </c>
      <c r="H15" s="54" t="s">
        <v>3</v>
      </c>
      <c r="N15" s="25" t="e">
        <f>SUM(P15:DD15)</f>
        <v>#REF!</v>
      </c>
      <c r="O15" s="51"/>
      <c r="P15" s="51" t="e">
        <f>P10-P11-P12-P13</f>
        <v>#REF!</v>
      </c>
      <c r="Q15" s="51" t="e">
        <f t="shared" ref="Q15:AJ15" si="1">Q10-Q11-Q12-Q13</f>
        <v>#REF!</v>
      </c>
      <c r="R15" s="51" t="e">
        <f t="shared" si="1"/>
        <v>#REF!</v>
      </c>
      <c r="S15" s="51" t="e">
        <f t="shared" si="1"/>
        <v>#REF!</v>
      </c>
      <c r="T15" s="51" t="e">
        <f t="shared" si="1"/>
        <v>#REF!</v>
      </c>
      <c r="U15" s="51" t="e">
        <f t="shared" si="1"/>
        <v>#REF!</v>
      </c>
      <c r="V15" s="51" t="e">
        <f t="shared" si="1"/>
        <v>#REF!</v>
      </c>
      <c r="W15" s="51" t="e">
        <f t="shared" si="1"/>
        <v>#REF!</v>
      </c>
      <c r="X15" s="51" t="e">
        <f t="shared" si="1"/>
        <v>#REF!</v>
      </c>
      <c r="Y15" s="51" t="e">
        <f t="shared" si="1"/>
        <v>#REF!</v>
      </c>
      <c r="Z15" s="51" t="e">
        <f t="shared" si="1"/>
        <v>#REF!</v>
      </c>
      <c r="AA15" s="51" t="e">
        <f t="shared" si="1"/>
        <v>#REF!</v>
      </c>
      <c r="AB15" s="51" t="e">
        <f t="shared" si="1"/>
        <v>#REF!</v>
      </c>
      <c r="AC15" s="51" t="e">
        <f t="shared" si="1"/>
        <v>#REF!</v>
      </c>
      <c r="AD15" s="51" t="e">
        <f t="shared" si="1"/>
        <v>#REF!</v>
      </c>
      <c r="AE15" s="51" t="e">
        <f t="shared" si="1"/>
        <v>#REF!</v>
      </c>
      <c r="AF15" s="51" t="e">
        <f t="shared" si="1"/>
        <v>#REF!</v>
      </c>
      <c r="AG15" s="51" t="e">
        <f t="shared" si="1"/>
        <v>#REF!</v>
      </c>
      <c r="AH15" s="51" t="e">
        <f t="shared" si="1"/>
        <v>#REF!</v>
      </c>
      <c r="AI15" s="51" t="e">
        <f t="shared" si="1"/>
        <v>#REF!</v>
      </c>
      <c r="AJ15" s="51" t="e">
        <f t="shared" si="1"/>
        <v>#REF!</v>
      </c>
      <c r="AK15" s="51" t="e">
        <f t="shared" ref="AK15:CT15" si="2">AK10-AK11-AK12-AK13</f>
        <v>#REF!</v>
      </c>
      <c r="AL15" s="51" t="e">
        <f t="shared" si="2"/>
        <v>#REF!</v>
      </c>
      <c r="AM15" s="51" t="e">
        <f t="shared" si="2"/>
        <v>#REF!</v>
      </c>
      <c r="AN15" s="51" t="e">
        <f t="shared" si="2"/>
        <v>#REF!</v>
      </c>
      <c r="AO15" s="51" t="e">
        <f t="shared" si="2"/>
        <v>#REF!</v>
      </c>
      <c r="AP15" s="51" t="e">
        <f t="shared" si="2"/>
        <v>#REF!</v>
      </c>
      <c r="AQ15" s="51" t="e">
        <f t="shared" si="2"/>
        <v>#REF!</v>
      </c>
      <c r="AR15" s="51" t="e">
        <f t="shared" si="2"/>
        <v>#REF!</v>
      </c>
      <c r="AS15" s="51" t="e">
        <f t="shared" si="2"/>
        <v>#REF!</v>
      </c>
      <c r="AT15" s="51" t="e">
        <f t="shared" si="2"/>
        <v>#REF!</v>
      </c>
      <c r="AU15" s="51" t="e">
        <f t="shared" si="2"/>
        <v>#REF!</v>
      </c>
      <c r="AV15" s="51" t="e">
        <f t="shared" si="2"/>
        <v>#REF!</v>
      </c>
      <c r="AW15" s="51" t="e">
        <f t="shared" si="2"/>
        <v>#REF!</v>
      </c>
      <c r="AX15" s="51" t="e">
        <f t="shared" si="2"/>
        <v>#REF!</v>
      </c>
      <c r="AY15" s="51" t="e">
        <f t="shared" si="2"/>
        <v>#REF!</v>
      </c>
      <c r="AZ15" s="51" t="e">
        <f t="shared" si="2"/>
        <v>#REF!</v>
      </c>
      <c r="BA15" s="51" t="e">
        <f t="shared" si="2"/>
        <v>#REF!</v>
      </c>
      <c r="BB15" s="51" t="e">
        <f t="shared" si="2"/>
        <v>#REF!</v>
      </c>
      <c r="BC15" s="51" t="e">
        <f t="shared" si="2"/>
        <v>#REF!</v>
      </c>
      <c r="BD15" s="51" t="e">
        <f t="shared" si="2"/>
        <v>#REF!</v>
      </c>
      <c r="BE15" s="51" t="e">
        <f t="shared" si="2"/>
        <v>#REF!</v>
      </c>
      <c r="BF15" s="51" t="e">
        <f t="shared" si="2"/>
        <v>#REF!</v>
      </c>
      <c r="BG15" s="51" t="e">
        <f t="shared" si="2"/>
        <v>#REF!</v>
      </c>
      <c r="BH15" s="51" t="e">
        <f t="shared" si="2"/>
        <v>#REF!</v>
      </c>
      <c r="BI15" s="51" t="e">
        <f t="shared" si="2"/>
        <v>#REF!</v>
      </c>
      <c r="BJ15" s="51" t="e">
        <f t="shared" si="2"/>
        <v>#REF!</v>
      </c>
      <c r="BK15" s="51" t="e">
        <f t="shared" si="2"/>
        <v>#REF!</v>
      </c>
      <c r="BL15" s="51" t="e">
        <f t="shared" si="2"/>
        <v>#REF!</v>
      </c>
      <c r="BM15" s="51" t="e">
        <f t="shared" si="2"/>
        <v>#REF!</v>
      </c>
      <c r="BN15" s="51" t="e">
        <f t="shared" si="2"/>
        <v>#REF!</v>
      </c>
      <c r="BO15" s="51" t="e">
        <f t="shared" si="2"/>
        <v>#REF!</v>
      </c>
      <c r="BP15" s="51" t="e">
        <f t="shared" si="2"/>
        <v>#REF!</v>
      </c>
      <c r="BQ15" s="51" t="e">
        <f t="shared" si="2"/>
        <v>#REF!</v>
      </c>
      <c r="BR15" s="51" t="e">
        <f t="shared" si="2"/>
        <v>#REF!</v>
      </c>
      <c r="BS15" s="51" t="e">
        <f t="shared" si="2"/>
        <v>#REF!</v>
      </c>
      <c r="BT15" s="51" t="e">
        <f t="shared" si="2"/>
        <v>#REF!</v>
      </c>
      <c r="BU15" s="51" t="e">
        <f t="shared" si="2"/>
        <v>#REF!</v>
      </c>
      <c r="BV15" s="51" t="e">
        <f t="shared" si="2"/>
        <v>#REF!</v>
      </c>
      <c r="BW15" s="51" t="e">
        <f t="shared" si="2"/>
        <v>#REF!</v>
      </c>
      <c r="BX15" s="51" t="e">
        <f t="shared" si="2"/>
        <v>#REF!</v>
      </c>
      <c r="BY15" s="51" t="e">
        <f t="shared" si="2"/>
        <v>#REF!</v>
      </c>
      <c r="BZ15" s="51" t="e">
        <f t="shared" si="2"/>
        <v>#REF!</v>
      </c>
      <c r="CA15" s="51" t="e">
        <f t="shared" si="2"/>
        <v>#REF!</v>
      </c>
      <c r="CB15" s="51" t="e">
        <f t="shared" si="2"/>
        <v>#REF!</v>
      </c>
      <c r="CC15" s="51" t="e">
        <f t="shared" si="2"/>
        <v>#REF!</v>
      </c>
      <c r="CD15" s="51" t="e">
        <f t="shared" si="2"/>
        <v>#REF!</v>
      </c>
      <c r="CE15" s="51" t="e">
        <f t="shared" si="2"/>
        <v>#REF!</v>
      </c>
      <c r="CF15" s="51" t="e">
        <f t="shared" si="2"/>
        <v>#REF!</v>
      </c>
      <c r="CG15" s="51" t="e">
        <f t="shared" si="2"/>
        <v>#REF!</v>
      </c>
      <c r="CH15" s="51" t="e">
        <f t="shared" si="2"/>
        <v>#REF!</v>
      </c>
      <c r="CI15" s="51" t="e">
        <f t="shared" si="2"/>
        <v>#REF!</v>
      </c>
      <c r="CJ15" s="51" t="e">
        <f t="shared" si="2"/>
        <v>#REF!</v>
      </c>
      <c r="CK15" s="51" t="e">
        <f t="shared" si="2"/>
        <v>#REF!</v>
      </c>
      <c r="CL15" s="51" t="e">
        <f t="shared" si="2"/>
        <v>#REF!</v>
      </c>
      <c r="CM15" s="51" t="e">
        <f t="shared" si="2"/>
        <v>#REF!</v>
      </c>
      <c r="CN15" s="51" t="e">
        <f t="shared" si="2"/>
        <v>#REF!</v>
      </c>
      <c r="CO15" s="51" t="e">
        <f t="shared" si="2"/>
        <v>#REF!</v>
      </c>
      <c r="CP15" s="51" t="e">
        <f t="shared" si="2"/>
        <v>#REF!</v>
      </c>
      <c r="CQ15" s="51" t="e">
        <f t="shared" si="2"/>
        <v>#REF!</v>
      </c>
      <c r="CR15" s="51" t="e">
        <f t="shared" si="2"/>
        <v>#REF!</v>
      </c>
      <c r="CS15" s="51" t="e">
        <f t="shared" si="2"/>
        <v>#REF!</v>
      </c>
      <c r="CT15" s="51" t="e">
        <f t="shared" si="2"/>
        <v>#REF!</v>
      </c>
      <c r="CU15" s="51"/>
      <c r="CV15" s="51"/>
      <c r="CW15" s="51"/>
      <c r="CX15" s="51"/>
      <c r="CY15" s="51"/>
      <c r="CZ15" s="51"/>
      <c r="DA15" s="51"/>
      <c r="DB15" s="51"/>
      <c r="DC15" s="51"/>
      <c r="DD15" s="51"/>
    </row>
    <row r="16" spans="2:108" ht="12.75" customHeight="1" x14ac:dyDescent="0.25">
      <c r="B16" s="184"/>
      <c r="H16" s="54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</row>
    <row r="17" spans="2:108" ht="12.75" customHeight="1" x14ac:dyDescent="0.25">
      <c r="B17" s="17" t="s">
        <v>32</v>
      </c>
      <c r="C17" t="s">
        <v>97</v>
      </c>
      <c r="H17" s="54" t="s">
        <v>3</v>
      </c>
      <c r="N17" s="25" t="e">
        <f>SUM(P17:DD17)</f>
        <v>#REF!</v>
      </c>
      <c r="O17" s="10"/>
      <c r="P17" s="10" t="e">
        <f>Financing!P15</f>
        <v>#REF!</v>
      </c>
      <c r="Q17" s="10" t="e">
        <f>Financing!Q15</f>
        <v>#REF!</v>
      </c>
      <c r="R17" s="10" t="e">
        <f>Financing!R15</f>
        <v>#REF!</v>
      </c>
      <c r="S17" s="10" t="e">
        <f>Financing!S15</f>
        <v>#REF!</v>
      </c>
      <c r="T17" s="10" t="e">
        <f>Financing!T15</f>
        <v>#REF!</v>
      </c>
      <c r="U17" s="10" t="e">
        <f>Financing!U15</f>
        <v>#REF!</v>
      </c>
      <c r="V17" s="10" t="e">
        <f>Financing!V15</f>
        <v>#REF!</v>
      </c>
      <c r="W17" s="10" t="e">
        <f>Financing!W15</f>
        <v>#REF!</v>
      </c>
      <c r="X17" s="10" t="e">
        <f>Financing!X15</f>
        <v>#REF!</v>
      </c>
      <c r="Y17" s="10" t="e">
        <f>Financing!Y15</f>
        <v>#REF!</v>
      </c>
      <c r="Z17" s="10" t="e">
        <f>Financing!Z15</f>
        <v>#REF!</v>
      </c>
      <c r="AA17" s="10" t="e">
        <f>Financing!AA15</f>
        <v>#REF!</v>
      </c>
      <c r="AB17" s="10" t="e">
        <f>Financing!AB15</f>
        <v>#REF!</v>
      </c>
      <c r="AC17" s="10" t="e">
        <f>Financing!AC15</f>
        <v>#REF!</v>
      </c>
      <c r="AD17" s="10" t="e">
        <f>Financing!AD15</f>
        <v>#REF!</v>
      </c>
      <c r="AE17" s="10" t="e">
        <f>Financing!AE15</f>
        <v>#REF!</v>
      </c>
      <c r="AF17" s="10" t="e">
        <f>Financing!AF15</f>
        <v>#REF!</v>
      </c>
      <c r="AG17" s="10" t="e">
        <f>Financing!AG15</f>
        <v>#REF!</v>
      </c>
      <c r="AH17" s="10" t="e">
        <f>Financing!AH15</f>
        <v>#REF!</v>
      </c>
      <c r="AI17" s="10" t="e">
        <f>Financing!AI15</f>
        <v>#REF!</v>
      </c>
      <c r="AJ17" s="10" t="e">
        <f>Financing!AJ15</f>
        <v>#REF!</v>
      </c>
      <c r="AK17" s="10" t="e">
        <f>Financing!AK15</f>
        <v>#REF!</v>
      </c>
      <c r="AL17" s="10" t="e">
        <f>Financing!AL15</f>
        <v>#REF!</v>
      </c>
      <c r="AM17" s="10" t="e">
        <f>Financing!AM15</f>
        <v>#REF!</v>
      </c>
      <c r="AN17" s="10" t="e">
        <f>Financing!AN15</f>
        <v>#REF!</v>
      </c>
      <c r="AO17" s="10" t="e">
        <f>Financing!AO15</f>
        <v>#REF!</v>
      </c>
      <c r="AP17" s="10" t="e">
        <f>Financing!AP15</f>
        <v>#REF!</v>
      </c>
      <c r="AQ17" s="10" t="e">
        <f>Financing!AQ15</f>
        <v>#REF!</v>
      </c>
      <c r="AR17" s="10" t="e">
        <f>Financing!AR15</f>
        <v>#REF!</v>
      </c>
      <c r="AS17" s="10" t="e">
        <f>Financing!AS15</f>
        <v>#REF!</v>
      </c>
      <c r="AT17" s="10" t="e">
        <f>Financing!AT15</f>
        <v>#REF!</v>
      </c>
      <c r="AU17" s="10" t="e">
        <f>Financing!AU15</f>
        <v>#REF!</v>
      </c>
      <c r="AV17" s="10" t="e">
        <f>Financing!AV15</f>
        <v>#REF!</v>
      </c>
      <c r="AW17" s="10" t="e">
        <f>Financing!AW15</f>
        <v>#REF!</v>
      </c>
      <c r="AX17" s="10" t="e">
        <f>Financing!AX15</f>
        <v>#REF!</v>
      </c>
      <c r="AY17" s="10" t="e">
        <f>Financing!AY15</f>
        <v>#REF!</v>
      </c>
      <c r="AZ17" s="10" t="e">
        <f>Financing!AZ15</f>
        <v>#REF!</v>
      </c>
      <c r="BA17" s="10" t="e">
        <f>Financing!BA15</f>
        <v>#REF!</v>
      </c>
      <c r="BB17" s="10" t="e">
        <f>Financing!BB15</f>
        <v>#REF!</v>
      </c>
      <c r="BC17" s="10" t="e">
        <f>Financing!BC15</f>
        <v>#REF!</v>
      </c>
      <c r="BD17" s="10" t="e">
        <f>Financing!BD15</f>
        <v>#REF!</v>
      </c>
      <c r="BE17" s="10" t="e">
        <f>Financing!BE15</f>
        <v>#REF!</v>
      </c>
      <c r="BF17" s="10" t="e">
        <f>Financing!BF15</f>
        <v>#REF!</v>
      </c>
      <c r="BG17" s="10" t="e">
        <f>Financing!BG15</f>
        <v>#REF!</v>
      </c>
      <c r="BH17" s="10" t="e">
        <f>Financing!BH15</f>
        <v>#REF!</v>
      </c>
      <c r="BI17" s="10" t="e">
        <f>Financing!BI15</f>
        <v>#REF!</v>
      </c>
      <c r="BJ17" s="10" t="e">
        <f>Financing!BJ15</f>
        <v>#REF!</v>
      </c>
      <c r="BK17" s="10" t="e">
        <f>Financing!BK15</f>
        <v>#REF!</v>
      </c>
      <c r="BL17" s="10" t="e">
        <f>Financing!BL15</f>
        <v>#REF!</v>
      </c>
      <c r="BM17" s="10" t="e">
        <f>Financing!BM15</f>
        <v>#REF!</v>
      </c>
      <c r="BN17" s="10" t="e">
        <f>Financing!BN15</f>
        <v>#REF!</v>
      </c>
      <c r="BO17" s="10" t="e">
        <f>Financing!BO15</f>
        <v>#REF!</v>
      </c>
      <c r="BP17" s="10" t="e">
        <f>Financing!BP15</f>
        <v>#REF!</v>
      </c>
      <c r="BQ17" s="10" t="e">
        <f>Financing!BQ15</f>
        <v>#REF!</v>
      </c>
      <c r="BR17" s="10" t="e">
        <f>Financing!BR15</f>
        <v>#REF!</v>
      </c>
      <c r="BS17" s="10" t="e">
        <f>Financing!BS15</f>
        <v>#REF!</v>
      </c>
      <c r="BT17" s="10" t="e">
        <f>Financing!BT15</f>
        <v>#REF!</v>
      </c>
      <c r="BU17" s="10" t="e">
        <f>Financing!BU15</f>
        <v>#REF!</v>
      </c>
      <c r="BV17" s="10" t="e">
        <f>Financing!BV15</f>
        <v>#REF!</v>
      </c>
      <c r="BW17" s="10" t="e">
        <f>Financing!BW15</f>
        <v>#REF!</v>
      </c>
      <c r="BX17" s="10" t="e">
        <f>Financing!BX15</f>
        <v>#REF!</v>
      </c>
      <c r="BY17" s="10" t="e">
        <f>Financing!BY15</f>
        <v>#REF!</v>
      </c>
      <c r="BZ17" s="10" t="e">
        <f>Financing!BZ15</f>
        <v>#REF!</v>
      </c>
      <c r="CA17" s="10" t="e">
        <f>Financing!CA15</f>
        <v>#REF!</v>
      </c>
      <c r="CB17" s="10" t="e">
        <f>Financing!CB15</f>
        <v>#REF!</v>
      </c>
      <c r="CC17" s="10" t="e">
        <f>Financing!CC15</f>
        <v>#REF!</v>
      </c>
      <c r="CD17" s="10" t="e">
        <f>Financing!CD15</f>
        <v>#REF!</v>
      </c>
      <c r="CE17" s="10" t="e">
        <f>Financing!CE15</f>
        <v>#REF!</v>
      </c>
      <c r="CF17" s="10" t="e">
        <f>Financing!CF15</f>
        <v>#REF!</v>
      </c>
      <c r="CG17" s="10" t="e">
        <f>Financing!CG15</f>
        <v>#REF!</v>
      </c>
      <c r="CH17" s="10" t="e">
        <f>Financing!CH15</f>
        <v>#REF!</v>
      </c>
      <c r="CI17" s="10" t="e">
        <f>Financing!CI15</f>
        <v>#REF!</v>
      </c>
      <c r="CJ17" s="10" t="e">
        <f>Financing!CJ15</f>
        <v>#REF!</v>
      </c>
      <c r="CK17" s="10" t="e">
        <f>Financing!CK15</f>
        <v>#REF!</v>
      </c>
      <c r="CL17" s="10" t="e">
        <f>Financing!CL15</f>
        <v>#REF!</v>
      </c>
      <c r="CM17" s="10" t="e">
        <f>Financing!CM15</f>
        <v>#REF!</v>
      </c>
      <c r="CN17" s="10" t="e">
        <f>Financing!CN15</f>
        <v>#REF!</v>
      </c>
      <c r="CO17" s="10" t="e">
        <f>Financing!CO15</f>
        <v>#REF!</v>
      </c>
      <c r="CP17" s="10" t="e">
        <f>Financing!CP15</f>
        <v>#REF!</v>
      </c>
      <c r="CQ17" s="10" t="e">
        <f>Financing!CQ15</f>
        <v>#REF!</v>
      </c>
      <c r="CR17" s="10">
        <f>Financing!CR15</f>
        <v>0</v>
      </c>
      <c r="CS17" s="10">
        <f>Financing!CS15</f>
        <v>0</v>
      </c>
      <c r="CT17" s="10">
        <f>Financing!CT15</f>
        <v>0</v>
      </c>
      <c r="CU17" s="10"/>
      <c r="CV17" s="10"/>
      <c r="CW17" s="10"/>
      <c r="CX17" s="10"/>
      <c r="CY17" s="10"/>
      <c r="CZ17" s="10"/>
      <c r="DA17" s="10"/>
      <c r="DB17" s="10"/>
      <c r="DC17" s="10"/>
      <c r="DD17" s="10"/>
    </row>
    <row r="18" spans="2:108" ht="12.75" customHeight="1" x14ac:dyDescent="0.25">
      <c r="B18" s="17" t="s">
        <v>32</v>
      </c>
      <c r="C18" t="s">
        <v>126</v>
      </c>
      <c r="H18" s="54" t="s">
        <v>3</v>
      </c>
      <c r="N18" s="25">
        <f t="shared" ref="N18:N19" si="3">SUM(P18:DD18)</f>
        <v>500</v>
      </c>
      <c r="O18" s="10"/>
      <c r="P18" s="10">
        <f>Financing!P16</f>
        <v>300</v>
      </c>
      <c r="Q18" s="10">
        <f>Financing!Q16</f>
        <v>100</v>
      </c>
      <c r="R18" s="10">
        <f>Financing!R16</f>
        <v>100</v>
      </c>
      <c r="S18" s="10">
        <f>Financing!S16</f>
        <v>0</v>
      </c>
      <c r="T18" s="10">
        <f>Financing!T16</f>
        <v>0</v>
      </c>
      <c r="U18" s="10">
        <f>Financing!U16</f>
        <v>0</v>
      </c>
      <c r="V18" s="10">
        <f>Financing!V16</f>
        <v>0</v>
      </c>
      <c r="W18" s="10">
        <f>Financing!W16</f>
        <v>0</v>
      </c>
      <c r="X18" s="10">
        <f>Financing!X16</f>
        <v>0</v>
      </c>
      <c r="Y18" s="10">
        <f>Financing!Y16</f>
        <v>0</v>
      </c>
      <c r="Z18" s="10">
        <f>Financing!Z16</f>
        <v>0</v>
      </c>
      <c r="AA18" s="10">
        <f>Financing!AA16</f>
        <v>0</v>
      </c>
      <c r="AB18" s="10">
        <f>Financing!AB16</f>
        <v>0</v>
      </c>
      <c r="AC18" s="10">
        <f>Financing!AC16</f>
        <v>0</v>
      </c>
      <c r="AD18" s="10">
        <f>Financing!AD16</f>
        <v>0</v>
      </c>
      <c r="AE18" s="10">
        <f>Financing!AE16</f>
        <v>0</v>
      </c>
      <c r="AF18" s="10">
        <f>Financing!AF16</f>
        <v>0</v>
      </c>
      <c r="AG18" s="10">
        <f>Financing!AG16</f>
        <v>0</v>
      </c>
      <c r="AH18" s="10">
        <f>Financing!AH16</f>
        <v>0</v>
      </c>
      <c r="AI18" s="10">
        <f>Financing!AI16</f>
        <v>0</v>
      </c>
      <c r="AJ18" s="10">
        <f>Financing!AJ16</f>
        <v>0</v>
      </c>
      <c r="AK18" s="10">
        <f>Financing!AK16</f>
        <v>0</v>
      </c>
      <c r="AL18" s="10">
        <f>Financing!AL16</f>
        <v>0</v>
      </c>
      <c r="AM18" s="10">
        <f>Financing!AM16</f>
        <v>0</v>
      </c>
      <c r="AN18" s="10">
        <f>Financing!AN16</f>
        <v>0</v>
      </c>
      <c r="AO18" s="10">
        <f>Financing!AO16</f>
        <v>0</v>
      </c>
      <c r="AP18" s="10">
        <f>Financing!AP16</f>
        <v>0</v>
      </c>
      <c r="AQ18" s="10">
        <f>Financing!AQ16</f>
        <v>0</v>
      </c>
      <c r="AR18" s="10">
        <f>Financing!AR16</f>
        <v>0</v>
      </c>
      <c r="AS18" s="10">
        <f>Financing!AS16</f>
        <v>0</v>
      </c>
      <c r="AT18" s="10">
        <f>Financing!AT16</f>
        <v>0</v>
      </c>
      <c r="AU18" s="10">
        <f>Financing!AU16</f>
        <v>0</v>
      </c>
      <c r="AV18" s="10">
        <f>Financing!AV16</f>
        <v>0</v>
      </c>
      <c r="AW18" s="10">
        <f>Financing!AW16</f>
        <v>0</v>
      </c>
      <c r="AX18" s="10">
        <f>Financing!AX16</f>
        <v>0</v>
      </c>
      <c r="AY18" s="10">
        <f>Financing!AY16</f>
        <v>0</v>
      </c>
      <c r="AZ18" s="10">
        <f>Financing!AZ16</f>
        <v>0</v>
      </c>
      <c r="BA18" s="10">
        <f>Financing!BA16</f>
        <v>0</v>
      </c>
      <c r="BB18" s="10">
        <f>Financing!BB16</f>
        <v>0</v>
      </c>
      <c r="BC18" s="10">
        <f>Financing!BC16</f>
        <v>0</v>
      </c>
      <c r="BD18" s="10">
        <f>Financing!BD16</f>
        <v>0</v>
      </c>
      <c r="BE18" s="10">
        <f>Financing!BE16</f>
        <v>0</v>
      </c>
      <c r="BF18" s="10">
        <f>Financing!BF16</f>
        <v>0</v>
      </c>
      <c r="BG18" s="10">
        <f>Financing!BG16</f>
        <v>0</v>
      </c>
      <c r="BH18" s="10">
        <f>Financing!BH16</f>
        <v>0</v>
      </c>
      <c r="BI18" s="10">
        <f>Financing!BI16</f>
        <v>0</v>
      </c>
      <c r="BJ18" s="10">
        <f>Financing!BJ16</f>
        <v>0</v>
      </c>
      <c r="BK18" s="10">
        <f>Financing!BK16</f>
        <v>0</v>
      </c>
      <c r="BL18" s="10">
        <f>Financing!BL16</f>
        <v>0</v>
      </c>
      <c r="BM18" s="10">
        <f>Financing!BM16</f>
        <v>0</v>
      </c>
      <c r="BN18" s="10">
        <f>Financing!BN16</f>
        <v>0</v>
      </c>
      <c r="BO18" s="10">
        <f>Financing!BO16</f>
        <v>0</v>
      </c>
      <c r="BP18" s="10">
        <f>Financing!BP16</f>
        <v>0</v>
      </c>
      <c r="BQ18" s="10">
        <f>Financing!BQ16</f>
        <v>0</v>
      </c>
      <c r="BR18" s="10">
        <f>Financing!BR16</f>
        <v>0</v>
      </c>
      <c r="BS18" s="10">
        <f>Financing!BS16</f>
        <v>0</v>
      </c>
      <c r="BT18" s="10">
        <f>Financing!BT16</f>
        <v>0</v>
      </c>
      <c r="BU18" s="10">
        <f>Financing!BU16</f>
        <v>0</v>
      </c>
      <c r="BV18" s="10">
        <f>Financing!BV16</f>
        <v>0</v>
      </c>
      <c r="BW18" s="10">
        <f>Financing!BW16</f>
        <v>0</v>
      </c>
      <c r="BX18" s="10">
        <f>Financing!BX16</f>
        <v>0</v>
      </c>
      <c r="BY18" s="10">
        <f>Financing!BY16</f>
        <v>0</v>
      </c>
      <c r="BZ18" s="10">
        <f>Financing!BZ16</f>
        <v>0</v>
      </c>
      <c r="CA18" s="10">
        <f>Financing!CA16</f>
        <v>0</v>
      </c>
      <c r="CB18" s="10">
        <f>Financing!CB16</f>
        <v>0</v>
      </c>
      <c r="CC18" s="10">
        <f>Financing!CC16</f>
        <v>0</v>
      </c>
      <c r="CD18" s="10">
        <f>Financing!CD16</f>
        <v>0</v>
      </c>
      <c r="CE18" s="10">
        <f>Financing!CE16</f>
        <v>0</v>
      </c>
      <c r="CF18" s="10">
        <f>Financing!CF16</f>
        <v>0</v>
      </c>
      <c r="CG18" s="10">
        <f>Financing!CG16</f>
        <v>0</v>
      </c>
      <c r="CH18" s="10">
        <f>Financing!CH16</f>
        <v>0</v>
      </c>
      <c r="CI18" s="10">
        <f>Financing!CI16</f>
        <v>0</v>
      </c>
      <c r="CJ18" s="10">
        <f>Financing!CJ16</f>
        <v>0</v>
      </c>
      <c r="CK18" s="10">
        <f>Financing!CK16</f>
        <v>0</v>
      </c>
      <c r="CL18" s="10">
        <f>Financing!CL16</f>
        <v>0</v>
      </c>
      <c r="CM18" s="10">
        <f>Financing!CM16</f>
        <v>0</v>
      </c>
      <c r="CN18" s="10">
        <f>Financing!CN16</f>
        <v>0</v>
      </c>
      <c r="CO18" s="10">
        <f>Financing!CO16</f>
        <v>0</v>
      </c>
      <c r="CP18" s="10">
        <f>Financing!CP16</f>
        <v>0</v>
      </c>
      <c r="CQ18" s="10">
        <f>Financing!CQ16</f>
        <v>0</v>
      </c>
      <c r="CR18" s="10">
        <f>Financing!CR16</f>
        <v>0</v>
      </c>
      <c r="CS18" s="10">
        <f>Financing!CS16</f>
        <v>0</v>
      </c>
      <c r="CT18" s="10">
        <f>Financing!CT16</f>
        <v>0</v>
      </c>
      <c r="CU18" s="10"/>
      <c r="CV18" s="10"/>
      <c r="CW18" s="10"/>
      <c r="CX18" s="10"/>
      <c r="CY18" s="10"/>
      <c r="CZ18" s="10"/>
      <c r="DA18" s="10"/>
      <c r="DB18" s="10"/>
      <c r="DC18" s="10"/>
      <c r="DD18" s="10"/>
    </row>
    <row r="19" spans="2:108" ht="12.75" customHeight="1" x14ac:dyDescent="0.25">
      <c r="B19" s="17" t="s">
        <v>32</v>
      </c>
      <c r="C19" t="s">
        <v>211</v>
      </c>
      <c r="H19" s="54" t="s">
        <v>3</v>
      </c>
      <c r="N19" s="25">
        <f t="shared" si="3"/>
        <v>333</v>
      </c>
      <c r="O19" s="10"/>
      <c r="P19" s="10">
        <f>Financing!P17</f>
        <v>111</v>
      </c>
      <c r="Q19" s="10">
        <f>Financing!Q17</f>
        <v>111</v>
      </c>
      <c r="R19" s="10">
        <f>Financing!R17</f>
        <v>111</v>
      </c>
      <c r="S19" s="10">
        <f>Financing!S17</f>
        <v>0</v>
      </c>
      <c r="T19" s="10">
        <f>Financing!T17</f>
        <v>0</v>
      </c>
      <c r="U19" s="10">
        <f>Financing!U17</f>
        <v>0</v>
      </c>
      <c r="V19" s="10">
        <f>Financing!V17</f>
        <v>0</v>
      </c>
      <c r="W19" s="10">
        <f>Financing!W17</f>
        <v>0</v>
      </c>
      <c r="X19" s="10">
        <f>Financing!X17</f>
        <v>0</v>
      </c>
      <c r="Y19" s="10">
        <f>Financing!Y17</f>
        <v>0</v>
      </c>
      <c r="Z19" s="10">
        <f>Financing!Z17</f>
        <v>0</v>
      </c>
      <c r="AA19" s="10">
        <f>Financing!AA17</f>
        <v>0</v>
      </c>
      <c r="AB19" s="10">
        <f>Financing!AB17</f>
        <v>0</v>
      </c>
      <c r="AC19" s="10">
        <f>Financing!AC17</f>
        <v>0</v>
      </c>
      <c r="AD19" s="10">
        <f>Financing!AD17</f>
        <v>0</v>
      </c>
      <c r="AE19" s="10">
        <f>Financing!AE17</f>
        <v>0</v>
      </c>
      <c r="AF19" s="10">
        <f>Financing!AF17</f>
        <v>0</v>
      </c>
      <c r="AG19" s="10">
        <f>Financing!AG17</f>
        <v>0</v>
      </c>
      <c r="AH19" s="10">
        <f>Financing!AH17</f>
        <v>0</v>
      </c>
      <c r="AI19" s="10">
        <f>Financing!AI17</f>
        <v>0</v>
      </c>
      <c r="AJ19" s="10">
        <f>Financing!AJ17</f>
        <v>0</v>
      </c>
      <c r="AK19" s="10">
        <f>Financing!AK17</f>
        <v>0</v>
      </c>
      <c r="AL19" s="10">
        <f>Financing!AL17</f>
        <v>0</v>
      </c>
      <c r="AM19" s="10">
        <f>Financing!AM17</f>
        <v>0</v>
      </c>
      <c r="AN19" s="10">
        <f>Financing!AN17</f>
        <v>0</v>
      </c>
      <c r="AO19" s="10">
        <f>Financing!AO17</f>
        <v>0</v>
      </c>
      <c r="AP19" s="10">
        <f>Financing!AP17</f>
        <v>0</v>
      </c>
      <c r="AQ19" s="10">
        <f>Financing!AQ17</f>
        <v>0</v>
      </c>
      <c r="AR19" s="10">
        <f>Financing!AR17</f>
        <v>0</v>
      </c>
      <c r="AS19" s="10">
        <f>Financing!AS17</f>
        <v>0</v>
      </c>
      <c r="AT19" s="10">
        <f>Financing!AT17</f>
        <v>0</v>
      </c>
      <c r="AU19" s="10">
        <f>Financing!AU17</f>
        <v>0</v>
      </c>
      <c r="AV19" s="10">
        <f>Financing!AV17</f>
        <v>0</v>
      </c>
      <c r="AW19" s="10">
        <f>Financing!AW17</f>
        <v>0</v>
      </c>
      <c r="AX19" s="10">
        <f>Financing!AX17</f>
        <v>0</v>
      </c>
      <c r="AY19" s="10">
        <f>Financing!AY17</f>
        <v>0</v>
      </c>
      <c r="AZ19" s="10">
        <f>Financing!AZ17</f>
        <v>0</v>
      </c>
      <c r="BA19" s="10">
        <f>Financing!BA17</f>
        <v>0</v>
      </c>
      <c r="BB19" s="10">
        <f>Financing!BB17</f>
        <v>0</v>
      </c>
      <c r="BC19" s="10">
        <f>Financing!BC17</f>
        <v>0</v>
      </c>
      <c r="BD19" s="10">
        <f>Financing!BD17</f>
        <v>0</v>
      </c>
      <c r="BE19" s="10">
        <f>Financing!BE17</f>
        <v>0</v>
      </c>
      <c r="BF19" s="10">
        <f>Financing!BF17</f>
        <v>0</v>
      </c>
      <c r="BG19" s="10">
        <f>Financing!BG17</f>
        <v>0</v>
      </c>
      <c r="BH19" s="10">
        <f>Financing!BH17</f>
        <v>0</v>
      </c>
      <c r="BI19" s="10">
        <f>Financing!BI17</f>
        <v>0</v>
      </c>
      <c r="BJ19" s="10">
        <f>Financing!BJ17</f>
        <v>0</v>
      </c>
      <c r="BK19" s="10">
        <f>Financing!BK17</f>
        <v>0</v>
      </c>
      <c r="BL19" s="10">
        <f>Financing!BL17</f>
        <v>0</v>
      </c>
      <c r="BM19" s="10">
        <f>Financing!BM17</f>
        <v>0</v>
      </c>
      <c r="BN19" s="10">
        <f>Financing!BN17</f>
        <v>0</v>
      </c>
      <c r="BO19" s="10">
        <f>Financing!BO17</f>
        <v>0</v>
      </c>
      <c r="BP19" s="10">
        <f>Financing!BP17</f>
        <v>0</v>
      </c>
      <c r="BQ19" s="10">
        <f>Financing!BQ17</f>
        <v>0</v>
      </c>
      <c r="BR19" s="10">
        <f>Financing!BR17</f>
        <v>0</v>
      </c>
      <c r="BS19" s="10">
        <f>Financing!BS17</f>
        <v>0</v>
      </c>
      <c r="BT19" s="10">
        <f>Financing!BT17</f>
        <v>0</v>
      </c>
      <c r="BU19" s="10">
        <f>Financing!BU17</f>
        <v>0</v>
      </c>
      <c r="BV19" s="10">
        <f>Financing!BV17</f>
        <v>0</v>
      </c>
      <c r="BW19" s="10">
        <f>Financing!BW17</f>
        <v>0</v>
      </c>
      <c r="BX19" s="10">
        <f>Financing!BX17</f>
        <v>0</v>
      </c>
      <c r="BY19" s="10">
        <f>Financing!BY17</f>
        <v>0</v>
      </c>
      <c r="BZ19" s="10">
        <f>Financing!BZ17</f>
        <v>0</v>
      </c>
      <c r="CA19" s="10">
        <f>Financing!CA17</f>
        <v>0</v>
      </c>
      <c r="CB19" s="10">
        <f>Financing!CB17</f>
        <v>0</v>
      </c>
      <c r="CC19" s="10">
        <f>Financing!CC17</f>
        <v>0</v>
      </c>
      <c r="CD19" s="10">
        <f>Financing!CD17</f>
        <v>0</v>
      </c>
      <c r="CE19" s="10">
        <f>Financing!CE17</f>
        <v>0</v>
      </c>
      <c r="CF19" s="10">
        <f>Financing!CF17</f>
        <v>0</v>
      </c>
      <c r="CG19" s="10">
        <f>Financing!CG17</f>
        <v>0</v>
      </c>
      <c r="CH19" s="10">
        <f>Financing!CH17</f>
        <v>0</v>
      </c>
      <c r="CI19" s="10">
        <f>Financing!CI17</f>
        <v>0</v>
      </c>
      <c r="CJ19" s="10">
        <f>Financing!CJ17</f>
        <v>0</v>
      </c>
      <c r="CK19" s="10">
        <f>Financing!CK17</f>
        <v>0</v>
      </c>
      <c r="CL19" s="10">
        <f>Financing!CL17</f>
        <v>0</v>
      </c>
      <c r="CM19" s="10">
        <f>Financing!CM17</f>
        <v>0</v>
      </c>
      <c r="CN19" s="10">
        <f>Financing!CN17</f>
        <v>0</v>
      </c>
      <c r="CO19" s="10">
        <f>Financing!CO17</f>
        <v>0</v>
      </c>
      <c r="CP19" s="10">
        <f>Financing!CP17</f>
        <v>0</v>
      </c>
      <c r="CQ19" s="10">
        <f>Financing!CQ17</f>
        <v>0</v>
      </c>
      <c r="CR19" s="10">
        <f>Financing!CR17</f>
        <v>0</v>
      </c>
      <c r="CS19" s="10">
        <f>Financing!CS17</f>
        <v>0</v>
      </c>
      <c r="CT19" s="10">
        <f>Financing!CT17</f>
        <v>0</v>
      </c>
      <c r="CU19" s="10"/>
      <c r="CV19" s="10"/>
      <c r="CW19" s="10"/>
      <c r="CX19" s="10"/>
      <c r="CY19" s="10"/>
      <c r="CZ19" s="10"/>
      <c r="DA19" s="10"/>
      <c r="DB19" s="10"/>
      <c r="DC19" s="10"/>
      <c r="DD19" s="10"/>
    </row>
    <row r="20" spans="2:108" ht="12.75" customHeight="1" x14ac:dyDescent="0.25">
      <c r="B20" s="184"/>
      <c r="H20" s="54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</row>
    <row r="21" spans="2:108" ht="12.75" customHeight="1" x14ac:dyDescent="0.25">
      <c r="B21" s="43" t="s">
        <v>301</v>
      </c>
      <c r="H21" s="54" t="s">
        <v>3</v>
      </c>
      <c r="N21" s="25" t="e">
        <f>SUM(P21:DD21)</f>
        <v>#REF!</v>
      </c>
      <c r="O21" s="51"/>
      <c r="P21" s="51" t="e">
        <f>P15-SUM(P17:P19)</f>
        <v>#REF!</v>
      </c>
      <c r="Q21" s="51" t="e">
        <f t="shared" ref="Q21:AJ21" si="4">Q15-SUM(Q17:Q19)</f>
        <v>#REF!</v>
      </c>
      <c r="R21" s="51" t="e">
        <f t="shared" si="4"/>
        <v>#REF!</v>
      </c>
      <c r="S21" s="51" t="e">
        <f t="shared" si="4"/>
        <v>#REF!</v>
      </c>
      <c r="T21" s="51" t="e">
        <f t="shared" si="4"/>
        <v>#REF!</v>
      </c>
      <c r="U21" s="51" t="e">
        <f t="shared" si="4"/>
        <v>#REF!</v>
      </c>
      <c r="V21" s="51" t="e">
        <f t="shared" si="4"/>
        <v>#REF!</v>
      </c>
      <c r="W21" s="51" t="e">
        <f t="shared" si="4"/>
        <v>#REF!</v>
      </c>
      <c r="X21" s="51" t="e">
        <f t="shared" si="4"/>
        <v>#REF!</v>
      </c>
      <c r="Y21" s="51" t="e">
        <f t="shared" si="4"/>
        <v>#REF!</v>
      </c>
      <c r="Z21" s="51" t="e">
        <f t="shared" si="4"/>
        <v>#REF!</v>
      </c>
      <c r="AA21" s="51" t="e">
        <f t="shared" si="4"/>
        <v>#REF!</v>
      </c>
      <c r="AB21" s="51" t="e">
        <f t="shared" si="4"/>
        <v>#REF!</v>
      </c>
      <c r="AC21" s="51" t="e">
        <f t="shared" si="4"/>
        <v>#REF!</v>
      </c>
      <c r="AD21" s="51" t="e">
        <f t="shared" si="4"/>
        <v>#REF!</v>
      </c>
      <c r="AE21" s="51" t="e">
        <f t="shared" si="4"/>
        <v>#REF!</v>
      </c>
      <c r="AF21" s="51" t="e">
        <f t="shared" si="4"/>
        <v>#REF!</v>
      </c>
      <c r="AG21" s="51" t="e">
        <f t="shared" si="4"/>
        <v>#REF!</v>
      </c>
      <c r="AH21" s="51" t="e">
        <f t="shared" si="4"/>
        <v>#REF!</v>
      </c>
      <c r="AI21" s="51" t="e">
        <f t="shared" si="4"/>
        <v>#REF!</v>
      </c>
      <c r="AJ21" s="51" t="e">
        <f t="shared" si="4"/>
        <v>#REF!</v>
      </c>
      <c r="AK21" s="51" t="e">
        <f t="shared" ref="AK21:CT21" si="5">AK15-SUM(AK17:AK19)</f>
        <v>#REF!</v>
      </c>
      <c r="AL21" s="51" t="e">
        <f t="shared" si="5"/>
        <v>#REF!</v>
      </c>
      <c r="AM21" s="51" t="e">
        <f t="shared" si="5"/>
        <v>#REF!</v>
      </c>
      <c r="AN21" s="51" t="e">
        <f t="shared" si="5"/>
        <v>#REF!</v>
      </c>
      <c r="AO21" s="51" t="e">
        <f t="shared" si="5"/>
        <v>#REF!</v>
      </c>
      <c r="AP21" s="51" t="e">
        <f t="shared" si="5"/>
        <v>#REF!</v>
      </c>
      <c r="AQ21" s="51" t="e">
        <f t="shared" si="5"/>
        <v>#REF!</v>
      </c>
      <c r="AR21" s="51" t="e">
        <f t="shared" si="5"/>
        <v>#REF!</v>
      </c>
      <c r="AS21" s="51" t="e">
        <f t="shared" si="5"/>
        <v>#REF!</v>
      </c>
      <c r="AT21" s="51" t="e">
        <f t="shared" si="5"/>
        <v>#REF!</v>
      </c>
      <c r="AU21" s="51" t="e">
        <f t="shared" si="5"/>
        <v>#REF!</v>
      </c>
      <c r="AV21" s="51" t="e">
        <f t="shared" si="5"/>
        <v>#REF!</v>
      </c>
      <c r="AW21" s="51" t="e">
        <f t="shared" si="5"/>
        <v>#REF!</v>
      </c>
      <c r="AX21" s="51" t="e">
        <f t="shared" si="5"/>
        <v>#REF!</v>
      </c>
      <c r="AY21" s="51" t="e">
        <f t="shared" si="5"/>
        <v>#REF!</v>
      </c>
      <c r="AZ21" s="51" t="e">
        <f t="shared" si="5"/>
        <v>#REF!</v>
      </c>
      <c r="BA21" s="51" t="e">
        <f t="shared" si="5"/>
        <v>#REF!</v>
      </c>
      <c r="BB21" s="51" t="e">
        <f t="shared" si="5"/>
        <v>#REF!</v>
      </c>
      <c r="BC21" s="51" t="e">
        <f t="shared" si="5"/>
        <v>#REF!</v>
      </c>
      <c r="BD21" s="51" t="e">
        <f t="shared" si="5"/>
        <v>#REF!</v>
      </c>
      <c r="BE21" s="51" t="e">
        <f t="shared" si="5"/>
        <v>#REF!</v>
      </c>
      <c r="BF21" s="51" t="e">
        <f t="shared" si="5"/>
        <v>#REF!</v>
      </c>
      <c r="BG21" s="51" t="e">
        <f t="shared" si="5"/>
        <v>#REF!</v>
      </c>
      <c r="BH21" s="51" t="e">
        <f t="shared" si="5"/>
        <v>#REF!</v>
      </c>
      <c r="BI21" s="51" t="e">
        <f t="shared" si="5"/>
        <v>#REF!</v>
      </c>
      <c r="BJ21" s="51" t="e">
        <f t="shared" si="5"/>
        <v>#REF!</v>
      </c>
      <c r="BK21" s="51" t="e">
        <f t="shared" si="5"/>
        <v>#REF!</v>
      </c>
      <c r="BL21" s="51" t="e">
        <f t="shared" si="5"/>
        <v>#REF!</v>
      </c>
      <c r="BM21" s="51" t="e">
        <f t="shared" si="5"/>
        <v>#REF!</v>
      </c>
      <c r="BN21" s="51" t="e">
        <f t="shared" si="5"/>
        <v>#REF!</v>
      </c>
      <c r="BO21" s="51" t="e">
        <f t="shared" si="5"/>
        <v>#REF!</v>
      </c>
      <c r="BP21" s="51" t="e">
        <f t="shared" si="5"/>
        <v>#REF!</v>
      </c>
      <c r="BQ21" s="51" t="e">
        <f t="shared" si="5"/>
        <v>#REF!</v>
      </c>
      <c r="BR21" s="51" t="e">
        <f t="shared" si="5"/>
        <v>#REF!</v>
      </c>
      <c r="BS21" s="51" t="e">
        <f t="shared" si="5"/>
        <v>#REF!</v>
      </c>
      <c r="BT21" s="51" t="e">
        <f t="shared" si="5"/>
        <v>#REF!</v>
      </c>
      <c r="BU21" s="51" t="e">
        <f t="shared" si="5"/>
        <v>#REF!</v>
      </c>
      <c r="BV21" s="51" t="e">
        <f t="shared" si="5"/>
        <v>#REF!</v>
      </c>
      <c r="BW21" s="51" t="e">
        <f t="shared" si="5"/>
        <v>#REF!</v>
      </c>
      <c r="BX21" s="51" t="e">
        <f t="shared" si="5"/>
        <v>#REF!</v>
      </c>
      <c r="BY21" s="51" t="e">
        <f t="shared" si="5"/>
        <v>#REF!</v>
      </c>
      <c r="BZ21" s="51" t="e">
        <f t="shared" si="5"/>
        <v>#REF!</v>
      </c>
      <c r="CA21" s="51" t="e">
        <f t="shared" si="5"/>
        <v>#REF!</v>
      </c>
      <c r="CB21" s="51" t="e">
        <f t="shared" si="5"/>
        <v>#REF!</v>
      </c>
      <c r="CC21" s="51" t="e">
        <f t="shared" si="5"/>
        <v>#REF!</v>
      </c>
      <c r="CD21" s="51" t="e">
        <f t="shared" si="5"/>
        <v>#REF!</v>
      </c>
      <c r="CE21" s="51" t="e">
        <f t="shared" si="5"/>
        <v>#REF!</v>
      </c>
      <c r="CF21" s="51" t="e">
        <f t="shared" si="5"/>
        <v>#REF!</v>
      </c>
      <c r="CG21" s="51" t="e">
        <f t="shared" si="5"/>
        <v>#REF!</v>
      </c>
      <c r="CH21" s="51" t="e">
        <f t="shared" si="5"/>
        <v>#REF!</v>
      </c>
      <c r="CI21" s="51" t="e">
        <f t="shared" si="5"/>
        <v>#REF!</v>
      </c>
      <c r="CJ21" s="51" t="e">
        <f t="shared" si="5"/>
        <v>#REF!</v>
      </c>
      <c r="CK21" s="51" t="e">
        <f t="shared" si="5"/>
        <v>#REF!</v>
      </c>
      <c r="CL21" s="51" t="e">
        <f t="shared" si="5"/>
        <v>#REF!</v>
      </c>
      <c r="CM21" s="51" t="e">
        <f t="shared" si="5"/>
        <v>#REF!</v>
      </c>
      <c r="CN21" s="51" t="e">
        <f t="shared" si="5"/>
        <v>#REF!</v>
      </c>
      <c r="CO21" s="51" t="e">
        <f t="shared" si="5"/>
        <v>#REF!</v>
      </c>
      <c r="CP21" s="51" t="e">
        <f t="shared" si="5"/>
        <v>#REF!</v>
      </c>
      <c r="CQ21" s="51" t="e">
        <f t="shared" si="5"/>
        <v>#REF!</v>
      </c>
      <c r="CR21" s="51" t="e">
        <f t="shared" si="5"/>
        <v>#REF!</v>
      </c>
      <c r="CS21" s="51" t="e">
        <f t="shared" si="5"/>
        <v>#REF!</v>
      </c>
      <c r="CT21" s="51" t="e">
        <f t="shared" si="5"/>
        <v>#REF!</v>
      </c>
      <c r="CU21" s="51"/>
      <c r="CV21" s="51"/>
      <c r="CW21" s="51"/>
      <c r="CX21" s="51"/>
      <c r="CY21" s="51"/>
      <c r="CZ21" s="51"/>
      <c r="DA21" s="51"/>
      <c r="DB21" s="51"/>
      <c r="DC21" s="51"/>
      <c r="DD21" s="51"/>
    </row>
    <row r="22" spans="2:108" ht="12.75" customHeight="1" x14ac:dyDescent="0.25">
      <c r="B22" s="184"/>
      <c r="H22" s="54"/>
    </row>
    <row r="23" spans="2:108" ht="12.75" customHeight="1" x14ac:dyDescent="0.25">
      <c r="B23" s="17" t="s">
        <v>34</v>
      </c>
      <c r="C23" t="s">
        <v>302</v>
      </c>
      <c r="H23" s="54" t="s">
        <v>3</v>
      </c>
      <c r="N23" s="25" t="e">
        <f>SUM(P23:DD23)</f>
        <v>#REF!</v>
      </c>
      <c r="O23" s="10"/>
      <c r="P23" s="10" t="e">
        <f>Financing!P22</f>
        <v>#REF!</v>
      </c>
      <c r="Q23" s="10" t="e">
        <f>Financing!Q22</f>
        <v>#REF!</v>
      </c>
      <c r="R23" s="10" t="e">
        <f>Financing!R22</f>
        <v>#REF!</v>
      </c>
      <c r="S23" s="10" t="e">
        <f>Financing!S22</f>
        <v>#REF!</v>
      </c>
      <c r="T23" s="10" t="e">
        <f>Financing!T22</f>
        <v>#REF!</v>
      </c>
      <c r="U23" s="10" t="e">
        <f>Financing!U22</f>
        <v>#REF!</v>
      </c>
      <c r="V23" s="10" t="e">
        <f>Financing!V22</f>
        <v>#REF!</v>
      </c>
      <c r="W23" s="10" t="e">
        <f>Financing!W22</f>
        <v>#REF!</v>
      </c>
      <c r="X23" s="10" t="e">
        <f>Financing!X22</f>
        <v>#REF!</v>
      </c>
      <c r="Y23" s="10" t="e">
        <f>Financing!Y22</f>
        <v>#REF!</v>
      </c>
      <c r="Z23" s="10" t="e">
        <f>Financing!Z22</f>
        <v>#REF!</v>
      </c>
      <c r="AA23" s="10" t="e">
        <f>Financing!AA22</f>
        <v>#REF!</v>
      </c>
      <c r="AB23" s="10" t="e">
        <f>Financing!AB22</f>
        <v>#REF!</v>
      </c>
      <c r="AC23" s="10" t="e">
        <f>Financing!AC22</f>
        <v>#REF!</v>
      </c>
      <c r="AD23" s="10" t="e">
        <f>Financing!AD22</f>
        <v>#REF!</v>
      </c>
      <c r="AE23" s="10" t="e">
        <f>Financing!AE22</f>
        <v>#REF!</v>
      </c>
      <c r="AF23" s="10" t="e">
        <f>Financing!AF22</f>
        <v>#REF!</v>
      </c>
      <c r="AG23" s="10" t="e">
        <f>Financing!AG22</f>
        <v>#REF!</v>
      </c>
      <c r="AH23" s="10" t="e">
        <f>Financing!AH22</f>
        <v>#REF!</v>
      </c>
      <c r="AI23" s="10" t="e">
        <f>Financing!AI22</f>
        <v>#REF!</v>
      </c>
      <c r="AJ23" s="10" t="e">
        <f>Financing!AJ22</f>
        <v>#REF!</v>
      </c>
      <c r="AK23" s="10" t="e">
        <f>Financing!AK22</f>
        <v>#REF!</v>
      </c>
      <c r="AL23" s="10" t="e">
        <f>Financing!AL22</f>
        <v>#REF!</v>
      </c>
      <c r="AM23" s="10" t="e">
        <f>Financing!AM22</f>
        <v>#REF!</v>
      </c>
      <c r="AN23" s="10" t="e">
        <f>Financing!AN22</f>
        <v>#REF!</v>
      </c>
      <c r="AO23" s="10" t="e">
        <f>Financing!AO22</f>
        <v>#REF!</v>
      </c>
      <c r="AP23" s="10" t="e">
        <f>Financing!AP22</f>
        <v>#REF!</v>
      </c>
      <c r="AQ23" s="10" t="e">
        <f>Financing!AQ22</f>
        <v>#REF!</v>
      </c>
      <c r="AR23" s="10" t="e">
        <f>Financing!AR22</f>
        <v>#REF!</v>
      </c>
      <c r="AS23" s="10" t="e">
        <f>Financing!AS22</f>
        <v>#REF!</v>
      </c>
      <c r="AT23" s="10" t="e">
        <f>Financing!AT22</f>
        <v>#REF!</v>
      </c>
      <c r="AU23" s="10" t="e">
        <f>Financing!AU22</f>
        <v>#REF!</v>
      </c>
      <c r="AV23" s="10" t="e">
        <f>Financing!AV22</f>
        <v>#REF!</v>
      </c>
      <c r="AW23" s="10" t="e">
        <f>Financing!AW22</f>
        <v>#REF!</v>
      </c>
      <c r="AX23" s="10" t="e">
        <f>Financing!AX22</f>
        <v>#REF!</v>
      </c>
      <c r="AY23" s="10" t="e">
        <f>Financing!AY22</f>
        <v>#REF!</v>
      </c>
      <c r="AZ23" s="10" t="e">
        <f>Financing!AZ22</f>
        <v>#REF!</v>
      </c>
      <c r="BA23" s="10" t="e">
        <f>Financing!BA22</f>
        <v>#REF!</v>
      </c>
      <c r="BB23" s="10" t="e">
        <f>Financing!BB22</f>
        <v>#REF!</v>
      </c>
      <c r="BC23" s="10" t="e">
        <f>Financing!BC22</f>
        <v>#REF!</v>
      </c>
      <c r="BD23" s="10" t="e">
        <f>Financing!BD22</f>
        <v>#REF!</v>
      </c>
      <c r="BE23" s="10" t="e">
        <f>Financing!BE22</f>
        <v>#REF!</v>
      </c>
      <c r="BF23" s="10" t="e">
        <f>Financing!BF22</f>
        <v>#REF!</v>
      </c>
      <c r="BG23" s="10" t="e">
        <f>Financing!BG22</f>
        <v>#REF!</v>
      </c>
      <c r="BH23" s="10" t="e">
        <f>Financing!BH22</f>
        <v>#REF!</v>
      </c>
      <c r="BI23" s="10" t="e">
        <f>Financing!BI22</f>
        <v>#REF!</v>
      </c>
      <c r="BJ23" s="10" t="e">
        <f>Financing!BJ22</f>
        <v>#REF!</v>
      </c>
      <c r="BK23" s="10" t="e">
        <f>Financing!BK22</f>
        <v>#REF!</v>
      </c>
      <c r="BL23" s="10" t="e">
        <f>Financing!BL22</f>
        <v>#REF!</v>
      </c>
      <c r="BM23" s="10" t="e">
        <f>Financing!BM22</f>
        <v>#REF!</v>
      </c>
      <c r="BN23" s="10" t="e">
        <f>Financing!BN22</f>
        <v>#REF!</v>
      </c>
      <c r="BO23" s="10" t="e">
        <f>Financing!BO22</f>
        <v>#REF!</v>
      </c>
      <c r="BP23" s="10" t="e">
        <f>Financing!BP22</f>
        <v>#REF!</v>
      </c>
      <c r="BQ23" s="10" t="e">
        <f>Financing!BQ22</f>
        <v>#REF!</v>
      </c>
      <c r="BR23" s="10" t="e">
        <f>Financing!BR22</f>
        <v>#REF!</v>
      </c>
      <c r="BS23" s="10" t="e">
        <f>Financing!BS22</f>
        <v>#REF!</v>
      </c>
      <c r="BT23" s="10" t="e">
        <f>Financing!BT22</f>
        <v>#REF!</v>
      </c>
      <c r="BU23" s="10" t="e">
        <f>Financing!BU22</f>
        <v>#REF!</v>
      </c>
      <c r="BV23" s="10" t="e">
        <f>Financing!BV22</f>
        <v>#REF!</v>
      </c>
      <c r="BW23" s="10" t="e">
        <f>Financing!BW22</f>
        <v>#REF!</v>
      </c>
      <c r="BX23" s="10" t="e">
        <f>Financing!BX22</f>
        <v>#REF!</v>
      </c>
      <c r="BY23" s="10" t="e">
        <f>Financing!BY22</f>
        <v>#REF!</v>
      </c>
      <c r="BZ23" s="10" t="e">
        <f>Financing!BZ22</f>
        <v>#REF!</v>
      </c>
      <c r="CA23" s="10" t="e">
        <f>Financing!CA22</f>
        <v>#REF!</v>
      </c>
      <c r="CB23" s="10" t="e">
        <f>Financing!CB22</f>
        <v>#REF!</v>
      </c>
      <c r="CC23" s="10" t="e">
        <f>Financing!CC22</f>
        <v>#REF!</v>
      </c>
      <c r="CD23" s="10" t="e">
        <f>Financing!CD22</f>
        <v>#REF!</v>
      </c>
      <c r="CE23" s="10" t="e">
        <f>Financing!CE22</f>
        <v>#REF!</v>
      </c>
      <c r="CF23" s="10" t="e">
        <f>Financing!CF22</f>
        <v>#REF!</v>
      </c>
      <c r="CG23" s="10" t="e">
        <f>Financing!CG22</f>
        <v>#REF!</v>
      </c>
      <c r="CH23" s="10" t="e">
        <f>Financing!CH22</f>
        <v>#REF!</v>
      </c>
      <c r="CI23" s="10" t="e">
        <f>Financing!CI22</f>
        <v>#REF!</v>
      </c>
      <c r="CJ23" s="10" t="e">
        <f>Financing!CJ22</f>
        <v>#REF!</v>
      </c>
      <c r="CK23" s="10" t="e">
        <f>Financing!CK22</f>
        <v>#REF!</v>
      </c>
      <c r="CL23" s="10" t="e">
        <f>Financing!CL22</f>
        <v>#REF!</v>
      </c>
      <c r="CM23" s="10" t="e">
        <f>Financing!CM22</f>
        <v>#REF!</v>
      </c>
      <c r="CN23" s="10" t="e">
        <f>Financing!CN22</f>
        <v>#REF!</v>
      </c>
      <c r="CO23" s="10" t="e">
        <f>Financing!CO22</f>
        <v>#REF!</v>
      </c>
      <c r="CP23" s="10" t="e">
        <f>Financing!CP22</f>
        <v>#REF!</v>
      </c>
      <c r="CQ23" s="10" t="e">
        <f>Financing!CQ22</f>
        <v>#REF!</v>
      </c>
      <c r="CR23" s="10" t="e">
        <f>Financing!CR22</f>
        <v>#REF!</v>
      </c>
      <c r="CS23" s="10" t="e">
        <f>Financing!CS22</f>
        <v>#REF!</v>
      </c>
      <c r="CT23" s="10" t="e">
        <f>Financing!CT22</f>
        <v>#REF!</v>
      </c>
      <c r="CU23" s="10"/>
      <c r="CV23" s="10"/>
      <c r="CW23" s="10"/>
      <c r="CX23" s="10"/>
      <c r="CY23" s="10"/>
      <c r="CZ23" s="10"/>
      <c r="DA23" s="10"/>
      <c r="DB23" s="10"/>
      <c r="DC23" s="10"/>
      <c r="DD23" s="10"/>
    </row>
    <row r="24" spans="2:108" ht="12.75" customHeight="1" x14ac:dyDescent="0.25">
      <c r="B24" s="17" t="s">
        <v>34</v>
      </c>
      <c r="C24" t="s">
        <v>303</v>
      </c>
      <c r="H24" s="54" t="s">
        <v>3</v>
      </c>
      <c r="N24" s="25" t="e">
        <f>SUM(P24:DD24)</f>
        <v>#REF!</v>
      </c>
      <c r="O24" s="10"/>
      <c r="P24" s="10" t="e">
        <f>Financing!P23</f>
        <v>#REF!</v>
      </c>
      <c r="Q24" s="10" t="e">
        <f>Financing!Q23</f>
        <v>#REF!</v>
      </c>
      <c r="R24" s="10" t="e">
        <f>Financing!R23</f>
        <v>#REF!</v>
      </c>
      <c r="S24" s="10" t="e">
        <f>Financing!S23</f>
        <v>#REF!</v>
      </c>
      <c r="T24" s="10" t="e">
        <f>Financing!T23</f>
        <v>#REF!</v>
      </c>
      <c r="U24" s="10" t="e">
        <f>Financing!U23</f>
        <v>#REF!</v>
      </c>
      <c r="V24" s="10" t="e">
        <f>Financing!V23</f>
        <v>#REF!</v>
      </c>
      <c r="W24" s="10" t="e">
        <f>Financing!W23</f>
        <v>#REF!</v>
      </c>
      <c r="X24" s="10" t="e">
        <f>Financing!X23</f>
        <v>#REF!</v>
      </c>
      <c r="Y24" s="10" t="e">
        <f>Financing!Y23</f>
        <v>#REF!</v>
      </c>
      <c r="Z24" s="10" t="e">
        <f>Financing!Z23</f>
        <v>#REF!</v>
      </c>
      <c r="AA24" s="10" t="e">
        <f>Financing!AA23</f>
        <v>#REF!</v>
      </c>
      <c r="AB24" s="10" t="e">
        <f>Financing!AB23</f>
        <v>#REF!</v>
      </c>
      <c r="AC24" s="10" t="e">
        <f>Financing!AC23</f>
        <v>#REF!</v>
      </c>
      <c r="AD24" s="10" t="e">
        <f>Financing!AD23</f>
        <v>#REF!</v>
      </c>
      <c r="AE24" s="10" t="e">
        <f>Financing!AE23</f>
        <v>#REF!</v>
      </c>
      <c r="AF24" s="10" t="e">
        <f>Financing!AF23</f>
        <v>#REF!</v>
      </c>
      <c r="AG24" s="10" t="e">
        <f>Financing!AG23</f>
        <v>#REF!</v>
      </c>
      <c r="AH24" s="10" t="e">
        <f>Financing!AH23</f>
        <v>#REF!</v>
      </c>
      <c r="AI24" s="10" t="e">
        <f>Financing!AI23</f>
        <v>#REF!</v>
      </c>
      <c r="AJ24" s="10" t="e">
        <f>Financing!AJ23</f>
        <v>#REF!</v>
      </c>
      <c r="AK24" s="10" t="e">
        <f>Financing!AK23</f>
        <v>#REF!</v>
      </c>
      <c r="AL24" s="10" t="e">
        <f>Financing!AL23</f>
        <v>#REF!</v>
      </c>
      <c r="AM24" s="10" t="e">
        <f>Financing!AM23</f>
        <v>#REF!</v>
      </c>
      <c r="AN24" s="10" t="e">
        <f>Financing!AN23</f>
        <v>#REF!</v>
      </c>
      <c r="AO24" s="10" t="e">
        <f>Financing!AO23</f>
        <v>#REF!</v>
      </c>
      <c r="AP24" s="10" t="e">
        <f>Financing!AP23</f>
        <v>#REF!</v>
      </c>
      <c r="AQ24" s="10" t="e">
        <f>Financing!AQ23</f>
        <v>#REF!</v>
      </c>
      <c r="AR24" s="10" t="e">
        <f>Financing!AR23</f>
        <v>#REF!</v>
      </c>
      <c r="AS24" s="10" t="e">
        <f>Financing!AS23</f>
        <v>#REF!</v>
      </c>
      <c r="AT24" s="10" t="e">
        <f>Financing!AT23</f>
        <v>#REF!</v>
      </c>
      <c r="AU24" s="10" t="e">
        <f>Financing!AU23</f>
        <v>#REF!</v>
      </c>
      <c r="AV24" s="10" t="e">
        <f>Financing!AV23</f>
        <v>#REF!</v>
      </c>
      <c r="AW24" s="10" t="e">
        <f>Financing!AW23</f>
        <v>#REF!</v>
      </c>
      <c r="AX24" s="10" t="e">
        <f>Financing!AX23</f>
        <v>#REF!</v>
      </c>
      <c r="AY24" s="10" t="e">
        <f>Financing!AY23</f>
        <v>#REF!</v>
      </c>
      <c r="AZ24" s="10" t="e">
        <f>Financing!AZ23</f>
        <v>#REF!</v>
      </c>
      <c r="BA24" s="10" t="e">
        <f>Financing!BA23</f>
        <v>#REF!</v>
      </c>
      <c r="BB24" s="10" t="e">
        <f>Financing!BB23</f>
        <v>#REF!</v>
      </c>
      <c r="BC24" s="10" t="e">
        <f>Financing!BC23</f>
        <v>#REF!</v>
      </c>
      <c r="BD24" s="10" t="e">
        <f>Financing!BD23</f>
        <v>#REF!</v>
      </c>
      <c r="BE24" s="10" t="e">
        <f>Financing!BE23</f>
        <v>#REF!</v>
      </c>
      <c r="BF24" s="10" t="e">
        <f>Financing!BF23</f>
        <v>#REF!</v>
      </c>
      <c r="BG24" s="10" t="e">
        <f>Financing!BG23</f>
        <v>#REF!</v>
      </c>
      <c r="BH24" s="10" t="e">
        <f>Financing!BH23</f>
        <v>#REF!</v>
      </c>
      <c r="BI24" s="10" t="e">
        <f>Financing!BI23</f>
        <v>#REF!</v>
      </c>
      <c r="BJ24" s="10" t="e">
        <f>Financing!BJ23</f>
        <v>#REF!</v>
      </c>
      <c r="BK24" s="10" t="e">
        <f>Financing!BK23</f>
        <v>#REF!</v>
      </c>
      <c r="BL24" s="10" t="e">
        <f>Financing!BL23</f>
        <v>#REF!</v>
      </c>
      <c r="BM24" s="10" t="e">
        <f>Financing!BM23</f>
        <v>#REF!</v>
      </c>
      <c r="BN24" s="10" t="e">
        <f>Financing!BN23</f>
        <v>#REF!</v>
      </c>
      <c r="BO24" s="10" t="e">
        <f>Financing!BO23</f>
        <v>#REF!</v>
      </c>
      <c r="BP24" s="10" t="e">
        <f>Financing!BP23</f>
        <v>#REF!</v>
      </c>
      <c r="BQ24" s="10" t="e">
        <f>Financing!BQ23</f>
        <v>#REF!</v>
      </c>
      <c r="BR24" s="10" t="e">
        <f>Financing!BR23</f>
        <v>#REF!</v>
      </c>
      <c r="BS24" s="10" t="e">
        <f>Financing!BS23</f>
        <v>#REF!</v>
      </c>
      <c r="BT24" s="10" t="e">
        <f>Financing!BT23</f>
        <v>#REF!</v>
      </c>
      <c r="BU24" s="10" t="e">
        <f>Financing!BU23</f>
        <v>#REF!</v>
      </c>
      <c r="BV24" s="10" t="e">
        <f>Financing!BV23</f>
        <v>#REF!</v>
      </c>
      <c r="BW24" s="10" t="e">
        <f>Financing!BW23</f>
        <v>#REF!</v>
      </c>
      <c r="BX24" s="10" t="e">
        <f>Financing!BX23</f>
        <v>#REF!</v>
      </c>
      <c r="BY24" s="10" t="e">
        <f>Financing!BY23</f>
        <v>#REF!</v>
      </c>
      <c r="BZ24" s="10" t="e">
        <f>Financing!BZ23</f>
        <v>#REF!</v>
      </c>
      <c r="CA24" s="10" t="e">
        <f>Financing!CA23</f>
        <v>#REF!</v>
      </c>
      <c r="CB24" s="10" t="e">
        <f>Financing!CB23</f>
        <v>#REF!</v>
      </c>
      <c r="CC24" s="10" t="e">
        <f>Financing!CC23</f>
        <v>#REF!</v>
      </c>
      <c r="CD24" s="10" t="e">
        <f>Financing!CD23</f>
        <v>#REF!</v>
      </c>
      <c r="CE24" s="10" t="e">
        <f>Financing!CE23</f>
        <v>#REF!</v>
      </c>
      <c r="CF24" s="10" t="e">
        <f>Financing!CF23</f>
        <v>#REF!</v>
      </c>
      <c r="CG24" s="10" t="e">
        <f>Financing!CG23</f>
        <v>#REF!</v>
      </c>
      <c r="CH24" s="10" t="e">
        <f>Financing!CH23</f>
        <v>#REF!</v>
      </c>
      <c r="CI24" s="10" t="e">
        <f>Financing!CI23</f>
        <v>#REF!</v>
      </c>
      <c r="CJ24" s="10" t="e">
        <f>Financing!CJ23</f>
        <v>#REF!</v>
      </c>
      <c r="CK24" s="10" t="e">
        <f>Financing!CK23</f>
        <v>#REF!</v>
      </c>
      <c r="CL24" s="10" t="e">
        <f>Financing!CL23</f>
        <v>#REF!</v>
      </c>
      <c r="CM24" s="10" t="e">
        <f>Financing!CM23</f>
        <v>#REF!</v>
      </c>
      <c r="CN24" s="10" t="e">
        <f>Financing!CN23</f>
        <v>#REF!</v>
      </c>
      <c r="CO24" s="10" t="e">
        <f>Financing!CO23</f>
        <v>#REF!</v>
      </c>
      <c r="CP24" s="10" t="e">
        <f>Financing!CP23</f>
        <v>#REF!</v>
      </c>
      <c r="CQ24" s="10" t="e">
        <f>Financing!CQ23</f>
        <v>#REF!</v>
      </c>
      <c r="CR24" s="10" t="e">
        <f>Financing!CR23</f>
        <v>#REF!</v>
      </c>
      <c r="CS24" s="10" t="e">
        <f>Financing!CS23</f>
        <v>#REF!</v>
      </c>
      <c r="CT24" s="10" t="e">
        <f>Financing!CT23</f>
        <v>#REF!</v>
      </c>
      <c r="CU24" s="10"/>
      <c r="CV24" s="10"/>
      <c r="CW24" s="10"/>
      <c r="CX24" s="10"/>
      <c r="CY24" s="10"/>
      <c r="CZ24" s="10"/>
      <c r="DA24" s="10"/>
      <c r="DB24" s="10"/>
      <c r="DC24" s="10"/>
      <c r="DD24" s="10"/>
    </row>
    <row r="25" spans="2:108" ht="12.75" customHeight="1" x14ac:dyDescent="0.25">
      <c r="B25" s="184"/>
      <c r="H25" s="54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</row>
    <row r="26" spans="2:108" ht="12.75" customHeight="1" x14ac:dyDescent="0.25">
      <c r="B26" s="43" t="s">
        <v>254</v>
      </c>
      <c r="H26" s="54" t="s">
        <v>3</v>
      </c>
      <c r="N26" s="25" t="e">
        <f>SUM(P26:DD26)</f>
        <v>#REF!</v>
      </c>
      <c r="O26" s="51"/>
      <c r="P26" s="51" t="e">
        <f t="shared" ref="P26" si="6">P21+SUM(P23:P24)</f>
        <v>#REF!</v>
      </c>
      <c r="Q26" s="51" t="e">
        <f t="shared" ref="Q26:AJ26" si="7">Q21+SUM(Q23:Q24)</f>
        <v>#REF!</v>
      </c>
      <c r="R26" s="51" t="e">
        <f t="shared" si="7"/>
        <v>#REF!</v>
      </c>
      <c r="S26" s="51" t="e">
        <f t="shared" si="7"/>
        <v>#REF!</v>
      </c>
      <c r="T26" s="51" t="e">
        <f t="shared" si="7"/>
        <v>#REF!</v>
      </c>
      <c r="U26" s="51" t="e">
        <f t="shared" si="7"/>
        <v>#REF!</v>
      </c>
      <c r="V26" s="51" t="e">
        <f t="shared" si="7"/>
        <v>#REF!</v>
      </c>
      <c r="W26" s="51" t="e">
        <f t="shared" si="7"/>
        <v>#REF!</v>
      </c>
      <c r="X26" s="51" t="e">
        <f t="shared" si="7"/>
        <v>#REF!</v>
      </c>
      <c r="Y26" s="51" t="e">
        <f t="shared" si="7"/>
        <v>#REF!</v>
      </c>
      <c r="Z26" s="51" t="e">
        <f t="shared" si="7"/>
        <v>#REF!</v>
      </c>
      <c r="AA26" s="51" t="e">
        <f t="shared" si="7"/>
        <v>#REF!</v>
      </c>
      <c r="AB26" s="51" t="e">
        <f t="shared" si="7"/>
        <v>#REF!</v>
      </c>
      <c r="AC26" s="51" t="e">
        <f t="shared" si="7"/>
        <v>#REF!</v>
      </c>
      <c r="AD26" s="51" t="e">
        <f t="shared" si="7"/>
        <v>#REF!</v>
      </c>
      <c r="AE26" s="51" t="e">
        <f t="shared" si="7"/>
        <v>#REF!</v>
      </c>
      <c r="AF26" s="51" t="e">
        <f t="shared" si="7"/>
        <v>#REF!</v>
      </c>
      <c r="AG26" s="51" t="e">
        <f t="shared" si="7"/>
        <v>#REF!</v>
      </c>
      <c r="AH26" s="51" t="e">
        <f t="shared" si="7"/>
        <v>#REF!</v>
      </c>
      <c r="AI26" s="51" t="e">
        <f t="shared" si="7"/>
        <v>#REF!</v>
      </c>
      <c r="AJ26" s="51" t="e">
        <f t="shared" si="7"/>
        <v>#REF!</v>
      </c>
      <c r="AK26" s="51" t="e">
        <f t="shared" ref="AK26:CT26" si="8">AK21+SUM(AK23:AK24)</f>
        <v>#REF!</v>
      </c>
      <c r="AL26" s="51" t="e">
        <f t="shared" si="8"/>
        <v>#REF!</v>
      </c>
      <c r="AM26" s="51" t="e">
        <f t="shared" si="8"/>
        <v>#REF!</v>
      </c>
      <c r="AN26" s="51" t="e">
        <f t="shared" si="8"/>
        <v>#REF!</v>
      </c>
      <c r="AO26" s="51" t="e">
        <f t="shared" si="8"/>
        <v>#REF!</v>
      </c>
      <c r="AP26" s="51" t="e">
        <f t="shared" si="8"/>
        <v>#REF!</v>
      </c>
      <c r="AQ26" s="51" t="e">
        <f t="shared" si="8"/>
        <v>#REF!</v>
      </c>
      <c r="AR26" s="51" t="e">
        <f t="shared" si="8"/>
        <v>#REF!</v>
      </c>
      <c r="AS26" s="51" t="e">
        <f t="shared" si="8"/>
        <v>#REF!</v>
      </c>
      <c r="AT26" s="51" t="e">
        <f t="shared" si="8"/>
        <v>#REF!</v>
      </c>
      <c r="AU26" s="51" t="e">
        <f t="shared" si="8"/>
        <v>#REF!</v>
      </c>
      <c r="AV26" s="51" t="e">
        <f t="shared" si="8"/>
        <v>#REF!</v>
      </c>
      <c r="AW26" s="51" t="e">
        <f t="shared" si="8"/>
        <v>#REF!</v>
      </c>
      <c r="AX26" s="51" t="e">
        <f t="shared" si="8"/>
        <v>#REF!</v>
      </c>
      <c r="AY26" s="51" t="e">
        <f t="shared" si="8"/>
        <v>#REF!</v>
      </c>
      <c r="AZ26" s="51" t="e">
        <f t="shared" si="8"/>
        <v>#REF!</v>
      </c>
      <c r="BA26" s="51" t="e">
        <f t="shared" si="8"/>
        <v>#REF!</v>
      </c>
      <c r="BB26" s="51" t="e">
        <f t="shared" si="8"/>
        <v>#REF!</v>
      </c>
      <c r="BC26" s="51" t="e">
        <f t="shared" si="8"/>
        <v>#REF!</v>
      </c>
      <c r="BD26" s="51" t="e">
        <f t="shared" si="8"/>
        <v>#REF!</v>
      </c>
      <c r="BE26" s="51" t="e">
        <f t="shared" si="8"/>
        <v>#REF!</v>
      </c>
      <c r="BF26" s="51" t="e">
        <f t="shared" si="8"/>
        <v>#REF!</v>
      </c>
      <c r="BG26" s="51" t="e">
        <f t="shared" si="8"/>
        <v>#REF!</v>
      </c>
      <c r="BH26" s="51" t="e">
        <f t="shared" si="8"/>
        <v>#REF!</v>
      </c>
      <c r="BI26" s="51" t="e">
        <f t="shared" si="8"/>
        <v>#REF!</v>
      </c>
      <c r="BJ26" s="51" t="e">
        <f t="shared" si="8"/>
        <v>#REF!</v>
      </c>
      <c r="BK26" s="51" t="e">
        <f t="shared" si="8"/>
        <v>#REF!</v>
      </c>
      <c r="BL26" s="51" t="e">
        <f t="shared" si="8"/>
        <v>#REF!</v>
      </c>
      <c r="BM26" s="51" t="e">
        <f t="shared" si="8"/>
        <v>#REF!</v>
      </c>
      <c r="BN26" s="51" t="e">
        <f t="shared" si="8"/>
        <v>#REF!</v>
      </c>
      <c r="BO26" s="51" t="e">
        <f t="shared" si="8"/>
        <v>#REF!</v>
      </c>
      <c r="BP26" s="51" t="e">
        <f t="shared" si="8"/>
        <v>#REF!</v>
      </c>
      <c r="BQ26" s="51" t="e">
        <f t="shared" si="8"/>
        <v>#REF!</v>
      </c>
      <c r="BR26" s="51" t="e">
        <f t="shared" si="8"/>
        <v>#REF!</v>
      </c>
      <c r="BS26" s="51" t="e">
        <f t="shared" si="8"/>
        <v>#REF!</v>
      </c>
      <c r="BT26" s="51" t="e">
        <f t="shared" si="8"/>
        <v>#REF!</v>
      </c>
      <c r="BU26" s="51" t="e">
        <f t="shared" si="8"/>
        <v>#REF!</v>
      </c>
      <c r="BV26" s="51" t="e">
        <f t="shared" si="8"/>
        <v>#REF!</v>
      </c>
      <c r="BW26" s="51" t="e">
        <f t="shared" si="8"/>
        <v>#REF!</v>
      </c>
      <c r="BX26" s="51" t="e">
        <f t="shared" si="8"/>
        <v>#REF!</v>
      </c>
      <c r="BY26" s="51" t="e">
        <f t="shared" si="8"/>
        <v>#REF!</v>
      </c>
      <c r="BZ26" s="51" t="e">
        <f t="shared" si="8"/>
        <v>#REF!</v>
      </c>
      <c r="CA26" s="51" t="e">
        <f t="shared" si="8"/>
        <v>#REF!</v>
      </c>
      <c r="CB26" s="51" t="e">
        <f t="shared" si="8"/>
        <v>#REF!</v>
      </c>
      <c r="CC26" s="51" t="e">
        <f t="shared" si="8"/>
        <v>#REF!</v>
      </c>
      <c r="CD26" s="51" t="e">
        <f t="shared" si="8"/>
        <v>#REF!</v>
      </c>
      <c r="CE26" s="51" t="e">
        <f t="shared" si="8"/>
        <v>#REF!</v>
      </c>
      <c r="CF26" s="51" t="e">
        <f t="shared" si="8"/>
        <v>#REF!</v>
      </c>
      <c r="CG26" s="51" t="e">
        <f t="shared" si="8"/>
        <v>#REF!</v>
      </c>
      <c r="CH26" s="51" t="e">
        <f t="shared" si="8"/>
        <v>#REF!</v>
      </c>
      <c r="CI26" s="51" t="e">
        <f t="shared" si="8"/>
        <v>#REF!</v>
      </c>
      <c r="CJ26" s="51" t="e">
        <f t="shared" si="8"/>
        <v>#REF!</v>
      </c>
      <c r="CK26" s="51" t="e">
        <f t="shared" si="8"/>
        <v>#REF!</v>
      </c>
      <c r="CL26" s="51" t="e">
        <f t="shared" si="8"/>
        <v>#REF!</v>
      </c>
      <c r="CM26" s="51" t="e">
        <f t="shared" si="8"/>
        <v>#REF!</v>
      </c>
      <c r="CN26" s="51" t="e">
        <f t="shared" si="8"/>
        <v>#REF!</v>
      </c>
      <c r="CO26" s="51" t="e">
        <f t="shared" si="8"/>
        <v>#REF!</v>
      </c>
      <c r="CP26" s="51" t="e">
        <f t="shared" si="8"/>
        <v>#REF!</v>
      </c>
      <c r="CQ26" s="51" t="e">
        <f t="shared" si="8"/>
        <v>#REF!</v>
      </c>
      <c r="CR26" s="51" t="e">
        <f t="shared" si="8"/>
        <v>#REF!</v>
      </c>
      <c r="CS26" s="51" t="e">
        <f t="shared" si="8"/>
        <v>#REF!</v>
      </c>
      <c r="CT26" s="51" t="e">
        <f t="shared" si="8"/>
        <v>#REF!</v>
      </c>
      <c r="CU26" s="51"/>
      <c r="CV26" s="51"/>
      <c r="CW26" s="51"/>
      <c r="CX26" s="51"/>
      <c r="CY26" s="51"/>
      <c r="CZ26" s="51"/>
      <c r="DA26" s="51"/>
      <c r="DB26" s="51"/>
      <c r="DC26" s="51"/>
      <c r="DD26" s="51"/>
    </row>
    <row r="27" spans="2:108" ht="12.75" customHeight="1" x14ac:dyDescent="0.25">
      <c r="B27" s="184"/>
      <c r="H27" s="54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</row>
    <row r="28" spans="2:108" ht="12.75" customHeight="1" x14ac:dyDescent="0.25">
      <c r="B28" s="139" t="s">
        <v>74</v>
      </c>
      <c r="H28" s="54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</row>
    <row r="29" spans="2:108" ht="12.75" customHeight="1" x14ac:dyDescent="0.25">
      <c r="B29" s="17" t="s">
        <v>32</v>
      </c>
      <c r="C29" t="s">
        <v>249</v>
      </c>
      <c r="H29" s="54" t="s">
        <v>3</v>
      </c>
      <c r="N29" s="25" t="e">
        <f>SUM(P29:DD29)</f>
        <v>#REF!</v>
      </c>
      <c r="O29" s="10"/>
      <c r="P29" s="10">
        <f>Financing!P107</f>
        <v>0</v>
      </c>
      <c r="Q29" s="10" t="e">
        <f>Financing!Q107</f>
        <v>#REF!</v>
      </c>
      <c r="R29" s="10" t="e">
        <f>Financing!R107</f>
        <v>#REF!</v>
      </c>
      <c r="S29" s="10" t="e">
        <f>Financing!S107</f>
        <v>#REF!</v>
      </c>
      <c r="T29" s="10" t="e">
        <f>Financing!T107</f>
        <v>#REF!</v>
      </c>
      <c r="U29" s="10" t="e">
        <f>Financing!U107</f>
        <v>#REF!</v>
      </c>
      <c r="V29" s="10" t="e">
        <f>Financing!V107</f>
        <v>#REF!</v>
      </c>
      <c r="W29" s="10" t="e">
        <f>Financing!W107</f>
        <v>#REF!</v>
      </c>
      <c r="X29" s="10" t="e">
        <f>Financing!X107</f>
        <v>#REF!</v>
      </c>
      <c r="Y29" s="10" t="e">
        <f>Financing!Y107</f>
        <v>#REF!</v>
      </c>
      <c r="Z29" s="10" t="e">
        <f>Financing!Z107</f>
        <v>#REF!</v>
      </c>
      <c r="AA29" s="10" t="e">
        <f>Financing!AA107</f>
        <v>#REF!</v>
      </c>
      <c r="AB29" s="10" t="e">
        <f>Financing!AB107</f>
        <v>#REF!</v>
      </c>
      <c r="AC29" s="10" t="e">
        <f>Financing!AC107</f>
        <v>#REF!</v>
      </c>
      <c r="AD29" s="10" t="e">
        <f>Financing!AD107</f>
        <v>#REF!</v>
      </c>
      <c r="AE29" s="10" t="e">
        <f>Financing!AE107</f>
        <v>#REF!</v>
      </c>
      <c r="AF29" s="10" t="e">
        <f>Financing!AF107</f>
        <v>#REF!</v>
      </c>
      <c r="AG29" s="10" t="e">
        <f>Financing!AG107</f>
        <v>#REF!</v>
      </c>
      <c r="AH29" s="10" t="e">
        <f>Financing!AH107</f>
        <v>#REF!</v>
      </c>
      <c r="AI29" s="10" t="e">
        <f>Financing!AI107</f>
        <v>#REF!</v>
      </c>
      <c r="AJ29" s="10" t="e">
        <f>Financing!AJ107</f>
        <v>#REF!</v>
      </c>
      <c r="AK29" s="10" t="e">
        <f>Financing!AK107</f>
        <v>#REF!</v>
      </c>
      <c r="AL29" s="10" t="e">
        <f>Financing!AL107</f>
        <v>#REF!</v>
      </c>
      <c r="AM29" s="10" t="e">
        <f>Financing!AM107</f>
        <v>#REF!</v>
      </c>
      <c r="AN29" s="10" t="e">
        <f>Financing!AN107</f>
        <v>#REF!</v>
      </c>
      <c r="AO29" s="10" t="e">
        <f>Financing!AO107</f>
        <v>#REF!</v>
      </c>
      <c r="AP29" s="10" t="e">
        <f>Financing!AP107</f>
        <v>#REF!</v>
      </c>
      <c r="AQ29" s="10" t="e">
        <f>Financing!AQ107</f>
        <v>#REF!</v>
      </c>
      <c r="AR29" s="10" t="e">
        <f>Financing!AR107</f>
        <v>#REF!</v>
      </c>
      <c r="AS29" s="10" t="e">
        <f>Financing!AS107</f>
        <v>#REF!</v>
      </c>
      <c r="AT29" s="10" t="e">
        <f>Financing!AT107</f>
        <v>#REF!</v>
      </c>
      <c r="AU29" s="10" t="e">
        <f>Financing!AU107</f>
        <v>#REF!</v>
      </c>
      <c r="AV29" s="10" t="e">
        <f>Financing!AV107</f>
        <v>#REF!</v>
      </c>
      <c r="AW29" s="10" t="e">
        <f>Financing!AW107</f>
        <v>#REF!</v>
      </c>
      <c r="AX29" s="10" t="e">
        <f>Financing!AX107</f>
        <v>#REF!</v>
      </c>
      <c r="AY29" s="10" t="e">
        <f>Financing!AY107</f>
        <v>#REF!</v>
      </c>
      <c r="AZ29" s="10" t="e">
        <f>Financing!AZ107</f>
        <v>#REF!</v>
      </c>
      <c r="BA29" s="10" t="e">
        <f>Financing!BA107</f>
        <v>#REF!</v>
      </c>
      <c r="BB29" s="10" t="e">
        <f>Financing!BB107</f>
        <v>#REF!</v>
      </c>
      <c r="BC29" s="10" t="e">
        <f>Financing!BC107</f>
        <v>#REF!</v>
      </c>
      <c r="BD29" s="10" t="e">
        <f>Financing!BD107</f>
        <v>#REF!</v>
      </c>
      <c r="BE29" s="10" t="e">
        <f>Financing!BE107</f>
        <v>#REF!</v>
      </c>
      <c r="BF29" s="10" t="e">
        <f>Financing!BF107</f>
        <v>#REF!</v>
      </c>
      <c r="BG29" s="10" t="e">
        <f>Financing!BG107</f>
        <v>#REF!</v>
      </c>
      <c r="BH29" s="10" t="e">
        <f>Financing!BH107</f>
        <v>#REF!</v>
      </c>
      <c r="BI29" s="10" t="e">
        <f>Financing!BI107</f>
        <v>#REF!</v>
      </c>
      <c r="BJ29" s="10" t="e">
        <f>Financing!BJ107</f>
        <v>#REF!</v>
      </c>
      <c r="BK29" s="10" t="e">
        <f>Financing!BK107</f>
        <v>#REF!</v>
      </c>
      <c r="BL29" s="10" t="e">
        <f>Financing!BL107</f>
        <v>#REF!</v>
      </c>
      <c r="BM29" s="10" t="e">
        <f>Financing!BM107</f>
        <v>#REF!</v>
      </c>
      <c r="BN29" s="10" t="e">
        <f>Financing!BN107</f>
        <v>#REF!</v>
      </c>
      <c r="BO29" s="10" t="e">
        <f>Financing!BO107</f>
        <v>#REF!</v>
      </c>
      <c r="BP29" s="10" t="e">
        <f>Financing!BP107</f>
        <v>#REF!</v>
      </c>
      <c r="BQ29" s="10" t="e">
        <f>Financing!BQ107</f>
        <v>#REF!</v>
      </c>
      <c r="BR29" s="10" t="e">
        <f>Financing!BR107</f>
        <v>#REF!</v>
      </c>
      <c r="BS29" s="10" t="e">
        <f>Financing!BS107</f>
        <v>#REF!</v>
      </c>
      <c r="BT29" s="10" t="e">
        <f>Financing!BT107</f>
        <v>#REF!</v>
      </c>
      <c r="BU29" s="10" t="e">
        <f>Financing!BU107</f>
        <v>#REF!</v>
      </c>
      <c r="BV29" s="10" t="e">
        <f>Financing!BV107</f>
        <v>#REF!</v>
      </c>
      <c r="BW29" s="10" t="e">
        <f>Financing!BW107</f>
        <v>#REF!</v>
      </c>
      <c r="BX29" s="10" t="e">
        <f>Financing!BX107</f>
        <v>#REF!</v>
      </c>
      <c r="BY29" s="10" t="e">
        <f>Financing!BY107</f>
        <v>#REF!</v>
      </c>
      <c r="BZ29" s="10" t="e">
        <f>Financing!BZ107</f>
        <v>#REF!</v>
      </c>
      <c r="CA29" s="10" t="e">
        <f>Financing!CA107</f>
        <v>#REF!</v>
      </c>
      <c r="CB29" s="10" t="e">
        <f>Financing!CB107</f>
        <v>#REF!</v>
      </c>
      <c r="CC29" s="10" t="e">
        <f>Financing!CC107</f>
        <v>#REF!</v>
      </c>
      <c r="CD29" s="10" t="e">
        <f>Financing!CD107</f>
        <v>#REF!</v>
      </c>
      <c r="CE29" s="10" t="e">
        <f>Financing!CE107</f>
        <v>#REF!</v>
      </c>
      <c r="CF29" s="10" t="e">
        <f>Financing!CF107</f>
        <v>#REF!</v>
      </c>
      <c r="CG29" s="10" t="e">
        <f>Financing!CG107</f>
        <v>#REF!</v>
      </c>
      <c r="CH29" s="10" t="e">
        <f>Financing!CH107</f>
        <v>#REF!</v>
      </c>
      <c r="CI29" s="10" t="e">
        <f>Financing!CI107</f>
        <v>#REF!</v>
      </c>
      <c r="CJ29" s="10" t="e">
        <f>Financing!CJ107</f>
        <v>#REF!</v>
      </c>
      <c r="CK29" s="10" t="e">
        <f>Financing!CK107</f>
        <v>#REF!</v>
      </c>
      <c r="CL29" s="10" t="e">
        <f>Financing!CL107</f>
        <v>#REF!</v>
      </c>
      <c r="CM29" s="10" t="e">
        <f>Financing!CM107</f>
        <v>#REF!</v>
      </c>
      <c r="CN29" s="10" t="e">
        <f>Financing!CN107</f>
        <v>#REF!</v>
      </c>
      <c r="CO29" s="10" t="e">
        <f>Financing!CO107</f>
        <v>#REF!</v>
      </c>
      <c r="CP29" s="10" t="e">
        <f>Financing!CP107</f>
        <v>#REF!</v>
      </c>
      <c r="CQ29" s="10" t="e">
        <f>Financing!CQ107</f>
        <v>#REF!</v>
      </c>
      <c r="CR29" s="10" t="e">
        <f>Financing!CR107</f>
        <v>#REF!</v>
      </c>
      <c r="CS29" s="10" t="e">
        <f>Financing!CS107</f>
        <v>#REF!</v>
      </c>
      <c r="CT29" s="10" t="e">
        <f>Financing!CT107</f>
        <v>#REF!</v>
      </c>
      <c r="CU29" s="10"/>
      <c r="CV29" s="10"/>
      <c r="CW29" s="10"/>
      <c r="CX29" s="10"/>
      <c r="CY29" s="10"/>
      <c r="CZ29" s="10"/>
      <c r="DA29" s="10"/>
      <c r="DB29" s="10"/>
      <c r="DC29" s="10"/>
      <c r="DD29" s="10"/>
    </row>
    <row r="30" spans="2:108" ht="12.75" customHeight="1" x14ac:dyDescent="0.25">
      <c r="B30" s="17" t="s">
        <v>32</v>
      </c>
      <c r="C30" t="s">
        <v>239</v>
      </c>
      <c r="H30" s="54" t="s">
        <v>3</v>
      </c>
      <c r="N30" s="25" t="e">
        <f>SUM(P30:DD30)</f>
        <v>#REF!</v>
      </c>
      <c r="O30" s="10"/>
      <c r="P30" s="10">
        <f>Financing!P108</f>
        <v>0</v>
      </c>
      <c r="Q30" s="10" t="e">
        <f>Financing!Q108</f>
        <v>#REF!</v>
      </c>
      <c r="R30" s="10" t="e">
        <f>Financing!R108</f>
        <v>#REF!</v>
      </c>
      <c r="S30" s="10" t="e">
        <f>Financing!S108</f>
        <v>#REF!</v>
      </c>
      <c r="T30" s="10" t="e">
        <f>Financing!T108</f>
        <v>#REF!</v>
      </c>
      <c r="U30" s="10" t="e">
        <f>Financing!U108</f>
        <v>#REF!</v>
      </c>
      <c r="V30" s="10" t="e">
        <f>Financing!V108</f>
        <v>#REF!</v>
      </c>
      <c r="W30" s="10" t="e">
        <f>Financing!W108</f>
        <v>#REF!</v>
      </c>
      <c r="X30" s="10" t="e">
        <f>Financing!X108</f>
        <v>#REF!</v>
      </c>
      <c r="Y30" s="10" t="e">
        <f>Financing!Y108</f>
        <v>#REF!</v>
      </c>
      <c r="Z30" s="10" t="e">
        <f>Financing!Z108</f>
        <v>#REF!</v>
      </c>
      <c r="AA30" s="10" t="e">
        <f>Financing!AA108</f>
        <v>#REF!</v>
      </c>
      <c r="AB30" s="10" t="e">
        <f>Financing!AB108</f>
        <v>#REF!</v>
      </c>
      <c r="AC30" s="10" t="e">
        <f>Financing!AC108</f>
        <v>#REF!</v>
      </c>
      <c r="AD30" s="10" t="e">
        <f>Financing!AD108</f>
        <v>#REF!</v>
      </c>
      <c r="AE30" s="10" t="e">
        <f>Financing!AE108</f>
        <v>#REF!</v>
      </c>
      <c r="AF30" s="10" t="e">
        <f>Financing!AF108</f>
        <v>#REF!</v>
      </c>
      <c r="AG30" s="10" t="e">
        <f>Financing!AG108</f>
        <v>#REF!</v>
      </c>
      <c r="AH30" s="10" t="e">
        <f>Financing!AH108</f>
        <v>#REF!</v>
      </c>
      <c r="AI30" s="10" t="e">
        <f>Financing!AI108</f>
        <v>#REF!</v>
      </c>
      <c r="AJ30" s="10" t="e">
        <f>Financing!AJ108</f>
        <v>#REF!</v>
      </c>
      <c r="AK30" s="10" t="e">
        <f>Financing!AK108</f>
        <v>#REF!</v>
      </c>
      <c r="AL30" s="10" t="e">
        <f>Financing!AL108</f>
        <v>#REF!</v>
      </c>
      <c r="AM30" s="10" t="e">
        <f>Financing!AM108</f>
        <v>#REF!</v>
      </c>
      <c r="AN30" s="10" t="e">
        <f>Financing!AN108</f>
        <v>#REF!</v>
      </c>
      <c r="AO30" s="10" t="e">
        <f>Financing!AO108</f>
        <v>#REF!</v>
      </c>
      <c r="AP30" s="10" t="e">
        <f>Financing!AP108</f>
        <v>#REF!</v>
      </c>
      <c r="AQ30" s="10" t="e">
        <f>Financing!AQ108</f>
        <v>#REF!</v>
      </c>
      <c r="AR30" s="10" t="e">
        <f>Financing!AR108</f>
        <v>#REF!</v>
      </c>
      <c r="AS30" s="10" t="e">
        <f>Financing!AS108</f>
        <v>#REF!</v>
      </c>
      <c r="AT30" s="10" t="e">
        <f>Financing!AT108</f>
        <v>#REF!</v>
      </c>
      <c r="AU30" s="10" t="e">
        <f>Financing!AU108</f>
        <v>#REF!</v>
      </c>
      <c r="AV30" s="10" t="e">
        <f>Financing!AV108</f>
        <v>#REF!</v>
      </c>
      <c r="AW30" s="10" t="e">
        <f>Financing!AW108</f>
        <v>#REF!</v>
      </c>
      <c r="AX30" s="10" t="e">
        <f>Financing!AX108</f>
        <v>#REF!</v>
      </c>
      <c r="AY30" s="10" t="e">
        <f>Financing!AY108</f>
        <v>#REF!</v>
      </c>
      <c r="AZ30" s="10" t="e">
        <f>Financing!AZ108</f>
        <v>#REF!</v>
      </c>
      <c r="BA30" s="10" t="e">
        <f>Financing!BA108</f>
        <v>#REF!</v>
      </c>
      <c r="BB30" s="10" t="e">
        <f>Financing!BB108</f>
        <v>#REF!</v>
      </c>
      <c r="BC30" s="10" t="e">
        <f>Financing!BC108</f>
        <v>#REF!</v>
      </c>
      <c r="BD30" s="10" t="e">
        <f>Financing!BD108</f>
        <v>#REF!</v>
      </c>
      <c r="BE30" s="10" t="e">
        <f>Financing!BE108</f>
        <v>#REF!</v>
      </c>
      <c r="BF30" s="10" t="e">
        <f>Financing!BF108</f>
        <v>#REF!</v>
      </c>
      <c r="BG30" s="10" t="e">
        <f>Financing!BG108</f>
        <v>#REF!</v>
      </c>
      <c r="BH30" s="10" t="e">
        <f>Financing!BH108</f>
        <v>#REF!</v>
      </c>
      <c r="BI30" s="10" t="e">
        <f>Financing!BI108</f>
        <v>#REF!</v>
      </c>
      <c r="BJ30" s="10" t="e">
        <f>Financing!BJ108</f>
        <v>#REF!</v>
      </c>
      <c r="BK30" s="10" t="e">
        <f>Financing!BK108</f>
        <v>#REF!</v>
      </c>
      <c r="BL30" s="10" t="e">
        <f>Financing!BL108</f>
        <v>#REF!</v>
      </c>
      <c r="BM30" s="10" t="e">
        <f>Financing!BM108</f>
        <v>#REF!</v>
      </c>
      <c r="BN30" s="10" t="e">
        <f>Financing!BN108</f>
        <v>#REF!</v>
      </c>
      <c r="BO30" s="10" t="e">
        <f>Financing!BO108</f>
        <v>#REF!</v>
      </c>
      <c r="BP30" s="10" t="e">
        <f>Financing!BP108</f>
        <v>#REF!</v>
      </c>
      <c r="BQ30" s="10" t="e">
        <f>Financing!BQ108</f>
        <v>#REF!</v>
      </c>
      <c r="BR30" s="10" t="e">
        <f>Financing!BR108</f>
        <v>#REF!</v>
      </c>
      <c r="BS30" s="10" t="e">
        <f>Financing!BS108</f>
        <v>#REF!</v>
      </c>
      <c r="BT30" s="10" t="e">
        <f>Financing!BT108</f>
        <v>#REF!</v>
      </c>
      <c r="BU30" s="10" t="e">
        <f>Financing!BU108</f>
        <v>#REF!</v>
      </c>
      <c r="BV30" s="10" t="e">
        <f>Financing!BV108</f>
        <v>#REF!</v>
      </c>
      <c r="BW30" s="10" t="e">
        <f>Financing!BW108</f>
        <v>#REF!</v>
      </c>
      <c r="BX30" s="10" t="e">
        <f>Financing!BX108</f>
        <v>#REF!</v>
      </c>
      <c r="BY30" s="10" t="e">
        <f>Financing!BY108</f>
        <v>#REF!</v>
      </c>
      <c r="BZ30" s="10" t="e">
        <f>Financing!BZ108</f>
        <v>#REF!</v>
      </c>
      <c r="CA30" s="10" t="e">
        <f>Financing!CA108</f>
        <v>#REF!</v>
      </c>
      <c r="CB30" s="10" t="e">
        <f>Financing!CB108</f>
        <v>#REF!</v>
      </c>
      <c r="CC30" s="10" t="e">
        <f>Financing!CC108</f>
        <v>#REF!</v>
      </c>
      <c r="CD30" s="10" t="e">
        <f>Financing!CD108</f>
        <v>#REF!</v>
      </c>
      <c r="CE30" s="10" t="e">
        <f>Financing!CE108</f>
        <v>#REF!</v>
      </c>
      <c r="CF30" s="10" t="e">
        <f>Financing!CF108</f>
        <v>#REF!</v>
      </c>
      <c r="CG30" s="10" t="e">
        <f>Financing!CG108</f>
        <v>#REF!</v>
      </c>
      <c r="CH30" s="10" t="e">
        <f>Financing!CH108</f>
        <v>#REF!</v>
      </c>
      <c r="CI30" s="10" t="e">
        <f>Financing!CI108</f>
        <v>#REF!</v>
      </c>
      <c r="CJ30" s="10" t="e">
        <f>Financing!CJ108</f>
        <v>#REF!</v>
      </c>
      <c r="CK30" s="10" t="e">
        <f>Financing!CK108</f>
        <v>#REF!</v>
      </c>
      <c r="CL30" s="10" t="e">
        <f>Financing!CL108</f>
        <v>#REF!</v>
      </c>
      <c r="CM30" s="10" t="e">
        <f>Financing!CM108</f>
        <v>#REF!</v>
      </c>
      <c r="CN30" s="10" t="e">
        <f>Financing!CN108</f>
        <v>#REF!</v>
      </c>
      <c r="CO30" s="10" t="e">
        <f>Financing!CO108</f>
        <v>#REF!</v>
      </c>
      <c r="CP30" s="10" t="e">
        <f>Financing!CP108</f>
        <v>#REF!</v>
      </c>
      <c r="CQ30" s="10" t="e">
        <f>Financing!CQ108</f>
        <v>#REF!</v>
      </c>
      <c r="CR30" s="10" t="e">
        <f>Financing!CR108</f>
        <v>#REF!</v>
      </c>
      <c r="CS30" s="10" t="e">
        <f>Financing!CS108</f>
        <v>#REF!</v>
      </c>
      <c r="CT30" s="10" t="e">
        <f>Financing!CT108</f>
        <v>#REF!</v>
      </c>
      <c r="CU30" s="10"/>
      <c r="CV30" s="10"/>
      <c r="CW30" s="10"/>
      <c r="CX30" s="10"/>
      <c r="CY30" s="10"/>
      <c r="CZ30" s="10"/>
      <c r="DA30" s="10"/>
      <c r="DB30" s="10"/>
      <c r="DC30" s="10"/>
      <c r="DD30" s="10"/>
    </row>
    <row r="31" spans="2:108" ht="12.75" customHeight="1" x14ac:dyDescent="0.25">
      <c r="B31" s="184"/>
      <c r="H31" s="54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</row>
    <row r="32" spans="2:108" ht="12.75" customHeight="1" x14ac:dyDescent="0.25">
      <c r="B32" s="43" t="s">
        <v>304</v>
      </c>
      <c r="H32" s="54" t="s">
        <v>3</v>
      </c>
      <c r="N32" s="25" t="e">
        <f>SUM(P32:DD32)</f>
        <v>#REF!</v>
      </c>
      <c r="O32" s="203"/>
      <c r="P32" s="203" t="e">
        <f t="shared" ref="P32" si="9">P26-P29-P30</f>
        <v>#REF!</v>
      </c>
      <c r="Q32" s="203" t="e">
        <f t="shared" ref="Q32:AJ32" si="10">Q26-Q29-Q30</f>
        <v>#REF!</v>
      </c>
      <c r="R32" s="203" t="e">
        <f t="shared" si="10"/>
        <v>#REF!</v>
      </c>
      <c r="S32" s="203" t="e">
        <f t="shared" si="10"/>
        <v>#REF!</v>
      </c>
      <c r="T32" s="203" t="e">
        <f t="shared" si="10"/>
        <v>#REF!</v>
      </c>
      <c r="U32" s="203" t="e">
        <f t="shared" si="10"/>
        <v>#REF!</v>
      </c>
      <c r="V32" s="203" t="e">
        <f t="shared" si="10"/>
        <v>#REF!</v>
      </c>
      <c r="W32" s="203" t="e">
        <f t="shared" si="10"/>
        <v>#REF!</v>
      </c>
      <c r="X32" s="203" t="e">
        <f t="shared" si="10"/>
        <v>#REF!</v>
      </c>
      <c r="Y32" s="203" t="e">
        <f t="shared" si="10"/>
        <v>#REF!</v>
      </c>
      <c r="Z32" s="203" t="e">
        <f t="shared" si="10"/>
        <v>#REF!</v>
      </c>
      <c r="AA32" s="203" t="e">
        <f t="shared" si="10"/>
        <v>#REF!</v>
      </c>
      <c r="AB32" s="203" t="e">
        <f t="shared" si="10"/>
        <v>#REF!</v>
      </c>
      <c r="AC32" s="203" t="e">
        <f t="shared" si="10"/>
        <v>#REF!</v>
      </c>
      <c r="AD32" s="203" t="e">
        <f t="shared" si="10"/>
        <v>#REF!</v>
      </c>
      <c r="AE32" s="203" t="e">
        <f t="shared" si="10"/>
        <v>#REF!</v>
      </c>
      <c r="AF32" s="203" t="e">
        <f t="shared" si="10"/>
        <v>#REF!</v>
      </c>
      <c r="AG32" s="203" t="e">
        <f t="shared" si="10"/>
        <v>#REF!</v>
      </c>
      <c r="AH32" s="203" t="e">
        <f t="shared" si="10"/>
        <v>#REF!</v>
      </c>
      <c r="AI32" s="203" t="e">
        <f t="shared" si="10"/>
        <v>#REF!</v>
      </c>
      <c r="AJ32" s="203" t="e">
        <f t="shared" si="10"/>
        <v>#REF!</v>
      </c>
      <c r="AK32" s="203" t="e">
        <f t="shared" ref="AK32:CT32" si="11">AK26-AK29-AK30</f>
        <v>#REF!</v>
      </c>
      <c r="AL32" s="203" t="e">
        <f t="shared" si="11"/>
        <v>#REF!</v>
      </c>
      <c r="AM32" s="203" t="e">
        <f t="shared" si="11"/>
        <v>#REF!</v>
      </c>
      <c r="AN32" s="203" t="e">
        <f t="shared" si="11"/>
        <v>#REF!</v>
      </c>
      <c r="AO32" s="203" t="e">
        <f t="shared" si="11"/>
        <v>#REF!</v>
      </c>
      <c r="AP32" s="203" t="e">
        <f t="shared" si="11"/>
        <v>#REF!</v>
      </c>
      <c r="AQ32" s="203" t="e">
        <f t="shared" si="11"/>
        <v>#REF!</v>
      </c>
      <c r="AR32" s="203" t="e">
        <f t="shared" si="11"/>
        <v>#REF!</v>
      </c>
      <c r="AS32" s="203" t="e">
        <f t="shared" si="11"/>
        <v>#REF!</v>
      </c>
      <c r="AT32" s="203" t="e">
        <f t="shared" si="11"/>
        <v>#REF!</v>
      </c>
      <c r="AU32" s="203" t="e">
        <f t="shared" si="11"/>
        <v>#REF!</v>
      </c>
      <c r="AV32" s="203" t="e">
        <f t="shared" si="11"/>
        <v>#REF!</v>
      </c>
      <c r="AW32" s="203" t="e">
        <f t="shared" si="11"/>
        <v>#REF!</v>
      </c>
      <c r="AX32" s="203" t="e">
        <f t="shared" si="11"/>
        <v>#REF!</v>
      </c>
      <c r="AY32" s="203" t="e">
        <f t="shared" si="11"/>
        <v>#REF!</v>
      </c>
      <c r="AZ32" s="203" t="e">
        <f t="shared" si="11"/>
        <v>#REF!</v>
      </c>
      <c r="BA32" s="203" t="e">
        <f t="shared" si="11"/>
        <v>#REF!</v>
      </c>
      <c r="BB32" s="203" t="e">
        <f t="shared" si="11"/>
        <v>#REF!</v>
      </c>
      <c r="BC32" s="203" t="e">
        <f t="shared" si="11"/>
        <v>#REF!</v>
      </c>
      <c r="BD32" s="203" t="e">
        <f t="shared" si="11"/>
        <v>#REF!</v>
      </c>
      <c r="BE32" s="203" t="e">
        <f t="shared" si="11"/>
        <v>#REF!</v>
      </c>
      <c r="BF32" s="203" t="e">
        <f t="shared" si="11"/>
        <v>#REF!</v>
      </c>
      <c r="BG32" s="203" t="e">
        <f t="shared" si="11"/>
        <v>#REF!</v>
      </c>
      <c r="BH32" s="203" t="e">
        <f t="shared" si="11"/>
        <v>#REF!</v>
      </c>
      <c r="BI32" s="203" t="e">
        <f t="shared" si="11"/>
        <v>#REF!</v>
      </c>
      <c r="BJ32" s="203" t="e">
        <f t="shared" si="11"/>
        <v>#REF!</v>
      </c>
      <c r="BK32" s="203" t="e">
        <f t="shared" si="11"/>
        <v>#REF!</v>
      </c>
      <c r="BL32" s="203" t="e">
        <f t="shared" si="11"/>
        <v>#REF!</v>
      </c>
      <c r="BM32" s="203" t="e">
        <f t="shared" si="11"/>
        <v>#REF!</v>
      </c>
      <c r="BN32" s="203" t="e">
        <f t="shared" si="11"/>
        <v>#REF!</v>
      </c>
      <c r="BO32" s="203" t="e">
        <f t="shared" si="11"/>
        <v>#REF!</v>
      </c>
      <c r="BP32" s="203" t="e">
        <f t="shared" si="11"/>
        <v>#REF!</v>
      </c>
      <c r="BQ32" s="203" t="e">
        <f t="shared" si="11"/>
        <v>#REF!</v>
      </c>
      <c r="BR32" s="203" t="e">
        <f t="shared" si="11"/>
        <v>#REF!</v>
      </c>
      <c r="BS32" s="203" t="e">
        <f t="shared" si="11"/>
        <v>#REF!</v>
      </c>
      <c r="BT32" s="203" t="e">
        <f t="shared" si="11"/>
        <v>#REF!</v>
      </c>
      <c r="BU32" s="203" t="e">
        <f t="shared" si="11"/>
        <v>#REF!</v>
      </c>
      <c r="BV32" s="203" t="e">
        <f t="shared" si="11"/>
        <v>#REF!</v>
      </c>
      <c r="BW32" s="203" t="e">
        <f t="shared" si="11"/>
        <v>#REF!</v>
      </c>
      <c r="BX32" s="203" t="e">
        <f t="shared" si="11"/>
        <v>#REF!</v>
      </c>
      <c r="BY32" s="203" t="e">
        <f t="shared" si="11"/>
        <v>#REF!</v>
      </c>
      <c r="BZ32" s="203" t="e">
        <f t="shared" si="11"/>
        <v>#REF!</v>
      </c>
      <c r="CA32" s="203" t="e">
        <f t="shared" si="11"/>
        <v>#REF!</v>
      </c>
      <c r="CB32" s="203" t="e">
        <f t="shared" si="11"/>
        <v>#REF!</v>
      </c>
      <c r="CC32" s="203" t="e">
        <f t="shared" si="11"/>
        <v>#REF!</v>
      </c>
      <c r="CD32" s="203" t="e">
        <f t="shared" si="11"/>
        <v>#REF!</v>
      </c>
      <c r="CE32" s="203" t="e">
        <f t="shared" si="11"/>
        <v>#REF!</v>
      </c>
      <c r="CF32" s="203" t="e">
        <f t="shared" si="11"/>
        <v>#REF!</v>
      </c>
      <c r="CG32" s="203" t="e">
        <f t="shared" si="11"/>
        <v>#REF!</v>
      </c>
      <c r="CH32" s="203" t="e">
        <f t="shared" si="11"/>
        <v>#REF!</v>
      </c>
      <c r="CI32" s="203" t="e">
        <f t="shared" si="11"/>
        <v>#REF!</v>
      </c>
      <c r="CJ32" s="203" t="e">
        <f t="shared" si="11"/>
        <v>#REF!</v>
      </c>
      <c r="CK32" s="203" t="e">
        <f t="shared" si="11"/>
        <v>#REF!</v>
      </c>
      <c r="CL32" s="203" t="e">
        <f t="shared" si="11"/>
        <v>#REF!</v>
      </c>
      <c r="CM32" s="203" t="e">
        <f t="shared" si="11"/>
        <v>#REF!</v>
      </c>
      <c r="CN32" s="203" t="e">
        <f t="shared" si="11"/>
        <v>#REF!</v>
      </c>
      <c r="CO32" s="203" t="e">
        <f t="shared" si="11"/>
        <v>#REF!</v>
      </c>
      <c r="CP32" s="203" t="e">
        <f t="shared" si="11"/>
        <v>#REF!</v>
      </c>
      <c r="CQ32" s="203" t="e">
        <f t="shared" si="11"/>
        <v>#REF!</v>
      </c>
      <c r="CR32" s="203" t="e">
        <f t="shared" si="11"/>
        <v>#REF!</v>
      </c>
      <c r="CS32" s="203" t="e">
        <f t="shared" si="11"/>
        <v>#REF!</v>
      </c>
      <c r="CT32" s="203" t="e">
        <f t="shared" si="11"/>
        <v>#REF!</v>
      </c>
      <c r="CU32" s="203"/>
      <c r="CV32" s="203"/>
      <c r="CW32" s="203"/>
      <c r="CX32" s="203"/>
      <c r="CY32" s="203"/>
      <c r="CZ32" s="203"/>
      <c r="DA32" s="203"/>
      <c r="DB32" s="203"/>
      <c r="DC32" s="203"/>
      <c r="DD32" s="203"/>
    </row>
    <row r="33" spans="2:108" ht="12.75" customHeight="1" x14ac:dyDescent="0.25">
      <c r="B33" s="184"/>
      <c r="H33" s="54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</row>
    <row r="34" spans="2:108" ht="12.75" customHeight="1" x14ac:dyDescent="0.25">
      <c r="B34" s="17" t="s">
        <v>32</v>
      </c>
      <c r="C34" t="s">
        <v>247</v>
      </c>
      <c r="H34" s="54" t="s">
        <v>3</v>
      </c>
      <c r="N34" s="19" t="e">
        <f>SUM(P34:DD34)</f>
        <v>#REF!</v>
      </c>
      <c r="O34" s="118"/>
      <c r="P34" s="118" t="e">
        <f>Financing!P95</f>
        <v>#REF!</v>
      </c>
      <c r="Q34" s="118" t="e">
        <f>Financing!Q95</f>
        <v>#REF!</v>
      </c>
      <c r="R34" s="118" t="e">
        <f>Financing!R95</f>
        <v>#REF!</v>
      </c>
      <c r="S34" s="118" t="e">
        <f>Financing!S95</f>
        <v>#REF!</v>
      </c>
      <c r="T34" s="118" t="e">
        <f>Financing!T95</f>
        <v>#REF!</v>
      </c>
      <c r="U34" s="118" t="e">
        <f>Financing!U95</f>
        <v>#REF!</v>
      </c>
      <c r="V34" s="118" t="e">
        <f>Financing!V95</f>
        <v>#REF!</v>
      </c>
      <c r="W34" s="118" t="e">
        <f>Financing!W95</f>
        <v>#REF!</v>
      </c>
      <c r="X34" s="118" t="e">
        <f>Financing!X95</f>
        <v>#REF!</v>
      </c>
      <c r="Y34" s="118" t="e">
        <f>Financing!Y95</f>
        <v>#REF!</v>
      </c>
      <c r="Z34" s="118" t="e">
        <f>Financing!Z95</f>
        <v>#REF!</v>
      </c>
      <c r="AA34" s="118" t="e">
        <f>Financing!AA95</f>
        <v>#REF!</v>
      </c>
      <c r="AB34" s="118" t="e">
        <f>Financing!AB95</f>
        <v>#REF!</v>
      </c>
      <c r="AC34" s="118" t="e">
        <f>Financing!AC95</f>
        <v>#REF!</v>
      </c>
      <c r="AD34" s="118" t="e">
        <f>Financing!AD95</f>
        <v>#REF!</v>
      </c>
      <c r="AE34" s="118" t="e">
        <f>Financing!AE95</f>
        <v>#REF!</v>
      </c>
      <c r="AF34" s="118" t="e">
        <f>Financing!AF95</f>
        <v>#REF!</v>
      </c>
      <c r="AG34" s="118" t="e">
        <f>Financing!AG95</f>
        <v>#REF!</v>
      </c>
      <c r="AH34" s="118" t="e">
        <f>Financing!AH95</f>
        <v>#REF!</v>
      </c>
      <c r="AI34" s="118" t="e">
        <f>Financing!AI95</f>
        <v>#REF!</v>
      </c>
      <c r="AJ34" s="118" t="e">
        <f>Financing!AJ95</f>
        <v>#REF!</v>
      </c>
      <c r="AK34" s="118" t="e">
        <f>Financing!AK95</f>
        <v>#REF!</v>
      </c>
      <c r="AL34" s="118" t="e">
        <f>Financing!AL95</f>
        <v>#REF!</v>
      </c>
      <c r="AM34" s="118" t="e">
        <f>Financing!AM95</f>
        <v>#REF!</v>
      </c>
      <c r="AN34" s="118" t="e">
        <f>Financing!AN95</f>
        <v>#REF!</v>
      </c>
      <c r="AO34" s="118" t="e">
        <f>Financing!AO95</f>
        <v>#REF!</v>
      </c>
      <c r="AP34" s="118" t="e">
        <f>Financing!AP95</f>
        <v>#REF!</v>
      </c>
      <c r="AQ34" s="118" t="e">
        <f>Financing!AQ95</f>
        <v>#REF!</v>
      </c>
      <c r="AR34" s="118" t="e">
        <f>Financing!AR95</f>
        <v>#REF!</v>
      </c>
      <c r="AS34" s="118" t="e">
        <f>Financing!AS95</f>
        <v>#REF!</v>
      </c>
      <c r="AT34" s="118" t="e">
        <f>Financing!AT95</f>
        <v>#REF!</v>
      </c>
      <c r="AU34" s="118" t="e">
        <f>Financing!AU95</f>
        <v>#REF!</v>
      </c>
      <c r="AV34" s="118" t="e">
        <f>Financing!AV95</f>
        <v>#REF!</v>
      </c>
      <c r="AW34" s="118" t="e">
        <f>Financing!AW95</f>
        <v>#REF!</v>
      </c>
      <c r="AX34" s="118" t="e">
        <f>Financing!AX95</f>
        <v>#REF!</v>
      </c>
      <c r="AY34" s="118" t="e">
        <f>Financing!AY95</f>
        <v>#REF!</v>
      </c>
      <c r="AZ34" s="118" t="e">
        <f>Financing!AZ95</f>
        <v>#REF!</v>
      </c>
      <c r="BA34" s="118" t="e">
        <f>Financing!BA95</f>
        <v>#REF!</v>
      </c>
      <c r="BB34" s="118" t="e">
        <f>Financing!BB95</f>
        <v>#REF!</v>
      </c>
      <c r="BC34" s="118" t="e">
        <f>Financing!BC95</f>
        <v>#REF!</v>
      </c>
      <c r="BD34" s="118" t="e">
        <f>Financing!BD95</f>
        <v>#REF!</v>
      </c>
      <c r="BE34" s="118" t="e">
        <f>Financing!BE95</f>
        <v>#REF!</v>
      </c>
      <c r="BF34" s="118" t="e">
        <f>Financing!BF95</f>
        <v>#REF!</v>
      </c>
      <c r="BG34" s="118" t="e">
        <f>Financing!BG95</f>
        <v>#REF!</v>
      </c>
      <c r="BH34" s="118" t="e">
        <f>Financing!BH95</f>
        <v>#REF!</v>
      </c>
      <c r="BI34" s="118" t="e">
        <f>Financing!BI95</f>
        <v>#REF!</v>
      </c>
      <c r="BJ34" s="118" t="e">
        <f>Financing!BJ95</f>
        <v>#REF!</v>
      </c>
      <c r="BK34" s="118" t="e">
        <f>Financing!BK95</f>
        <v>#REF!</v>
      </c>
      <c r="BL34" s="118" t="e">
        <f>Financing!BL95</f>
        <v>#REF!</v>
      </c>
      <c r="BM34" s="118" t="e">
        <f>Financing!BM95</f>
        <v>#REF!</v>
      </c>
      <c r="BN34" s="118" t="e">
        <f>Financing!BN95</f>
        <v>#REF!</v>
      </c>
      <c r="BO34" s="118" t="e">
        <f>Financing!BO95</f>
        <v>#REF!</v>
      </c>
      <c r="BP34" s="118" t="e">
        <f>Financing!BP95</f>
        <v>#REF!</v>
      </c>
      <c r="BQ34" s="118" t="e">
        <f>Financing!BQ95</f>
        <v>#REF!</v>
      </c>
      <c r="BR34" s="118" t="e">
        <f>Financing!BR95</f>
        <v>#REF!</v>
      </c>
      <c r="BS34" s="118" t="e">
        <f>Financing!BS95</f>
        <v>#REF!</v>
      </c>
      <c r="BT34" s="118" t="e">
        <f>Financing!BT95</f>
        <v>#REF!</v>
      </c>
      <c r="BU34" s="118" t="e">
        <f>Financing!BU95</f>
        <v>#REF!</v>
      </c>
      <c r="BV34" s="118" t="e">
        <f>Financing!BV95</f>
        <v>#REF!</v>
      </c>
      <c r="BW34" s="118" t="e">
        <f>Financing!BW95</f>
        <v>#REF!</v>
      </c>
      <c r="BX34" s="118" t="e">
        <f>Financing!BX95</f>
        <v>#REF!</v>
      </c>
      <c r="BY34" s="118" t="e">
        <f>Financing!BY95</f>
        <v>#REF!</v>
      </c>
      <c r="BZ34" s="118" t="e">
        <f>Financing!BZ95</f>
        <v>#REF!</v>
      </c>
      <c r="CA34" s="118" t="e">
        <f>Financing!CA95</f>
        <v>#REF!</v>
      </c>
      <c r="CB34" s="118" t="e">
        <f>Financing!CB95</f>
        <v>#REF!</v>
      </c>
      <c r="CC34" s="118" t="e">
        <f>Financing!CC95</f>
        <v>#REF!</v>
      </c>
      <c r="CD34" s="118" t="e">
        <f>Financing!CD95</f>
        <v>#REF!</v>
      </c>
      <c r="CE34" s="118" t="e">
        <f>Financing!CE95</f>
        <v>#REF!</v>
      </c>
      <c r="CF34" s="118" t="e">
        <f>Financing!CF95</f>
        <v>#REF!</v>
      </c>
      <c r="CG34" s="118" t="e">
        <f>Financing!CG95</f>
        <v>#REF!</v>
      </c>
      <c r="CH34" s="118" t="e">
        <f>Financing!CH95</f>
        <v>#REF!</v>
      </c>
      <c r="CI34" s="118" t="e">
        <f>Financing!CI95</f>
        <v>#REF!</v>
      </c>
      <c r="CJ34" s="118" t="e">
        <f>Financing!CJ95</f>
        <v>#REF!</v>
      </c>
      <c r="CK34" s="118" t="e">
        <f>Financing!CK95</f>
        <v>#REF!</v>
      </c>
      <c r="CL34" s="118" t="e">
        <f>Financing!CL95</f>
        <v>#REF!</v>
      </c>
      <c r="CM34" s="118" t="e">
        <f>Financing!CM95</f>
        <v>#REF!</v>
      </c>
      <c r="CN34" s="118" t="e">
        <f>Financing!CN95</f>
        <v>#REF!</v>
      </c>
      <c r="CO34" s="118" t="e">
        <f>Financing!CO95</f>
        <v>#REF!</v>
      </c>
      <c r="CP34" s="118" t="e">
        <f>Financing!CP95</f>
        <v>#REF!</v>
      </c>
      <c r="CQ34" s="118" t="e">
        <f>Financing!CQ95</f>
        <v>#REF!</v>
      </c>
      <c r="CR34" s="118" t="e">
        <f>Financing!CR95</f>
        <v>#REF!</v>
      </c>
      <c r="CS34" s="118" t="e">
        <f>Financing!CS95</f>
        <v>#REF!</v>
      </c>
      <c r="CT34" s="118" t="e">
        <f>Financing!CT95</f>
        <v>#REF!</v>
      </c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</row>
    <row r="35" spans="2:108" ht="12.75" customHeight="1" x14ac:dyDescent="0.25">
      <c r="B35" s="184"/>
      <c r="H35" s="54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</row>
    <row r="36" spans="2:108" ht="12.75" customHeight="1" x14ac:dyDescent="0.25">
      <c r="B36" s="43" t="s">
        <v>305</v>
      </c>
      <c r="H36" s="54" t="s">
        <v>3</v>
      </c>
      <c r="N36" s="25" t="e">
        <f>SUM(P36:DD36)</f>
        <v>#REF!</v>
      </c>
      <c r="O36" s="51"/>
      <c r="P36" s="51" t="e">
        <f t="shared" ref="P36" si="12">P32-P34</f>
        <v>#REF!</v>
      </c>
      <c r="Q36" s="51" t="e">
        <f t="shared" ref="Q36:AJ36" si="13">Q32-Q34</f>
        <v>#REF!</v>
      </c>
      <c r="R36" s="51" t="e">
        <f t="shared" si="13"/>
        <v>#REF!</v>
      </c>
      <c r="S36" s="51" t="e">
        <f t="shared" si="13"/>
        <v>#REF!</v>
      </c>
      <c r="T36" s="51" t="e">
        <f t="shared" si="13"/>
        <v>#REF!</v>
      </c>
      <c r="U36" s="51" t="e">
        <f t="shared" si="13"/>
        <v>#REF!</v>
      </c>
      <c r="V36" s="51" t="e">
        <f t="shared" si="13"/>
        <v>#REF!</v>
      </c>
      <c r="W36" s="51" t="e">
        <f t="shared" si="13"/>
        <v>#REF!</v>
      </c>
      <c r="X36" s="51" t="e">
        <f t="shared" si="13"/>
        <v>#REF!</v>
      </c>
      <c r="Y36" s="51" t="e">
        <f t="shared" si="13"/>
        <v>#REF!</v>
      </c>
      <c r="Z36" s="51" t="e">
        <f t="shared" si="13"/>
        <v>#REF!</v>
      </c>
      <c r="AA36" s="51" t="e">
        <f t="shared" si="13"/>
        <v>#REF!</v>
      </c>
      <c r="AB36" s="51" t="e">
        <f t="shared" si="13"/>
        <v>#REF!</v>
      </c>
      <c r="AC36" s="51" t="e">
        <f t="shared" si="13"/>
        <v>#REF!</v>
      </c>
      <c r="AD36" s="51" t="e">
        <f t="shared" si="13"/>
        <v>#REF!</v>
      </c>
      <c r="AE36" s="51" t="e">
        <f t="shared" si="13"/>
        <v>#REF!</v>
      </c>
      <c r="AF36" s="51" t="e">
        <f t="shared" si="13"/>
        <v>#REF!</v>
      </c>
      <c r="AG36" s="51" t="e">
        <f t="shared" si="13"/>
        <v>#REF!</v>
      </c>
      <c r="AH36" s="51" t="e">
        <f t="shared" si="13"/>
        <v>#REF!</v>
      </c>
      <c r="AI36" s="51" t="e">
        <f t="shared" si="13"/>
        <v>#REF!</v>
      </c>
      <c r="AJ36" s="51" t="e">
        <f t="shared" si="13"/>
        <v>#REF!</v>
      </c>
      <c r="AK36" s="51" t="e">
        <f t="shared" ref="AK36:CT36" si="14">AK32-AK34</f>
        <v>#REF!</v>
      </c>
      <c r="AL36" s="51" t="e">
        <f t="shared" si="14"/>
        <v>#REF!</v>
      </c>
      <c r="AM36" s="51" t="e">
        <f t="shared" si="14"/>
        <v>#REF!</v>
      </c>
      <c r="AN36" s="51" t="e">
        <f t="shared" si="14"/>
        <v>#REF!</v>
      </c>
      <c r="AO36" s="51" t="e">
        <f t="shared" si="14"/>
        <v>#REF!</v>
      </c>
      <c r="AP36" s="51" t="e">
        <f t="shared" si="14"/>
        <v>#REF!</v>
      </c>
      <c r="AQ36" s="51" t="e">
        <f t="shared" si="14"/>
        <v>#REF!</v>
      </c>
      <c r="AR36" s="51" t="e">
        <f t="shared" si="14"/>
        <v>#REF!</v>
      </c>
      <c r="AS36" s="51" t="e">
        <f t="shared" si="14"/>
        <v>#REF!</v>
      </c>
      <c r="AT36" s="51" t="e">
        <f t="shared" si="14"/>
        <v>#REF!</v>
      </c>
      <c r="AU36" s="51" t="e">
        <f t="shared" si="14"/>
        <v>#REF!</v>
      </c>
      <c r="AV36" s="51" t="e">
        <f t="shared" si="14"/>
        <v>#REF!</v>
      </c>
      <c r="AW36" s="51" t="e">
        <f t="shared" si="14"/>
        <v>#REF!</v>
      </c>
      <c r="AX36" s="51" t="e">
        <f t="shared" si="14"/>
        <v>#REF!</v>
      </c>
      <c r="AY36" s="51" t="e">
        <f t="shared" si="14"/>
        <v>#REF!</v>
      </c>
      <c r="AZ36" s="51" t="e">
        <f t="shared" si="14"/>
        <v>#REF!</v>
      </c>
      <c r="BA36" s="51" t="e">
        <f t="shared" si="14"/>
        <v>#REF!</v>
      </c>
      <c r="BB36" s="51" t="e">
        <f t="shared" si="14"/>
        <v>#REF!</v>
      </c>
      <c r="BC36" s="51" t="e">
        <f t="shared" si="14"/>
        <v>#REF!</v>
      </c>
      <c r="BD36" s="51" t="e">
        <f t="shared" si="14"/>
        <v>#REF!</v>
      </c>
      <c r="BE36" s="51" t="e">
        <f t="shared" si="14"/>
        <v>#REF!</v>
      </c>
      <c r="BF36" s="51" t="e">
        <f t="shared" si="14"/>
        <v>#REF!</v>
      </c>
      <c r="BG36" s="51" t="e">
        <f t="shared" si="14"/>
        <v>#REF!</v>
      </c>
      <c r="BH36" s="51" t="e">
        <f t="shared" si="14"/>
        <v>#REF!</v>
      </c>
      <c r="BI36" s="51" t="e">
        <f t="shared" si="14"/>
        <v>#REF!</v>
      </c>
      <c r="BJ36" s="51" t="e">
        <f t="shared" si="14"/>
        <v>#REF!</v>
      </c>
      <c r="BK36" s="51" t="e">
        <f t="shared" si="14"/>
        <v>#REF!</v>
      </c>
      <c r="BL36" s="51" t="e">
        <f t="shared" si="14"/>
        <v>#REF!</v>
      </c>
      <c r="BM36" s="51" t="e">
        <f t="shared" si="14"/>
        <v>#REF!</v>
      </c>
      <c r="BN36" s="51" t="e">
        <f t="shared" si="14"/>
        <v>#REF!</v>
      </c>
      <c r="BO36" s="51" t="e">
        <f t="shared" si="14"/>
        <v>#REF!</v>
      </c>
      <c r="BP36" s="51" t="e">
        <f t="shared" si="14"/>
        <v>#REF!</v>
      </c>
      <c r="BQ36" s="51" t="e">
        <f t="shared" si="14"/>
        <v>#REF!</v>
      </c>
      <c r="BR36" s="51" t="e">
        <f t="shared" si="14"/>
        <v>#REF!</v>
      </c>
      <c r="BS36" s="51" t="e">
        <f t="shared" si="14"/>
        <v>#REF!</v>
      </c>
      <c r="BT36" s="51" t="e">
        <f t="shared" si="14"/>
        <v>#REF!</v>
      </c>
      <c r="BU36" s="51" t="e">
        <f t="shared" si="14"/>
        <v>#REF!</v>
      </c>
      <c r="BV36" s="51" t="e">
        <f t="shared" si="14"/>
        <v>#REF!</v>
      </c>
      <c r="BW36" s="51" t="e">
        <f t="shared" si="14"/>
        <v>#REF!</v>
      </c>
      <c r="BX36" s="51" t="e">
        <f t="shared" si="14"/>
        <v>#REF!</v>
      </c>
      <c r="BY36" s="51" t="e">
        <f t="shared" si="14"/>
        <v>#REF!</v>
      </c>
      <c r="BZ36" s="51" t="e">
        <f t="shared" si="14"/>
        <v>#REF!</v>
      </c>
      <c r="CA36" s="51" t="e">
        <f t="shared" si="14"/>
        <v>#REF!</v>
      </c>
      <c r="CB36" s="51" t="e">
        <f t="shared" si="14"/>
        <v>#REF!</v>
      </c>
      <c r="CC36" s="51" t="e">
        <f t="shared" si="14"/>
        <v>#REF!</v>
      </c>
      <c r="CD36" s="51" t="e">
        <f t="shared" si="14"/>
        <v>#REF!</v>
      </c>
      <c r="CE36" s="51" t="e">
        <f t="shared" si="14"/>
        <v>#REF!</v>
      </c>
      <c r="CF36" s="51" t="e">
        <f t="shared" si="14"/>
        <v>#REF!</v>
      </c>
      <c r="CG36" s="51" t="e">
        <f t="shared" si="14"/>
        <v>#REF!</v>
      </c>
      <c r="CH36" s="51" t="e">
        <f t="shared" si="14"/>
        <v>#REF!</v>
      </c>
      <c r="CI36" s="51" t="e">
        <f t="shared" si="14"/>
        <v>#REF!</v>
      </c>
      <c r="CJ36" s="51" t="e">
        <f t="shared" si="14"/>
        <v>#REF!</v>
      </c>
      <c r="CK36" s="51" t="e">
        <f t="shared" si="14"/>
        <v>#REF!</v>
      </c>
      <c r="CL36" s="51" t="e">
        <f t="shared" si="14"/>
        <v>#REF!</v>
      </c>
      <c r="CM36" s="51" t="e">
        <f t="shared" si="14"/>
        <v>#REF!</v>
      </c>
      <c r="CN36" s="51" t="e">
        <f t="shared" si="14"/>
        <v>#REF!</v>
      </c>
      <c r="CO36" s="51" t="e">
        <f t="shared" si="14"/>
        <v>#REF!</v>
      </c>
      <c r="CP36" s="51" t="e">
        <f t="shared" si="14"/>
        <v>#REF!</v>
      </c>
      <c r="CQ36" s="51" t="e">
        <f t="shared" si="14"/>
        <v>#REF!</v>
      </c>
      <c r="CR36" s="51" t="e">
        <f t="shared" si="14"/>
        <v>#REF!</v>
      </c>
      <c r="CS36" s="51" t="e">
        <f t="shared" si="14"/>
        <v>#REF!</v>
      </c>
      <c r="CT36" s="51" t="e">
        <f t="shared" si="14"/>
        <v>#REF!</v>
      </c>
      <c r="CU36" s="51"/>
      <c r="CV36" s="51"/>
      <c r="CW36" s="51"/>
      <c r="CX36" s="51"/>
      <c r="CY36" s="51"/>
      <c r="CZ36" s="51"/>
      <c r="DA36" s="51"/>
      <c r="DB36" s="51"/>
      <c r="DC36" s="51"/>
      <c r="DD36" s="51"/>
    </row>
    <row r="37" spans="2:108" ht="12.75" customHeight="1" x14ac:dyDescent="0.25">
      <c r="B37" s="184"/>
      <c r="H37" s="54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</row>
    <row r="38" spans="2:108" ht="12.75" customHeight="1" x14ac:dyDescent="0.25">
      <c r="B38" s="17" t="s">
        <v>34</v>
      </c>
      <c r="C38" t="s">
        <v>306</v>
      </c>
      <c r="H38" s="54" t="s">
        <v>3</v>
      </c>
      <c r="N38" s="25" t="e">
        <f>SUM(P38:DD38)</f>
        <v>#REF!</v>
      </c>
      <c r="O38" s="118"/>
      <c r="P38" s="118">
        <f>Financing!P124</f>
        <v>0</v>
      </c>
      <c r="Q38" s="118" t="e">
        <f>Financing!Q124</f>
        <v>#REF!</v>
      </c>
      <c r="R38" s="118" t="e">
        <f>Financing!R124</f>
        <v>#REF!</v>
      </c>
      <c r="S38" s="118" t="e">
        <f>Financing!S124</f>
        <v>#REF!</v>
      </c>
      <c r="T38" s="118" t="e">
        <f>Financing!T124</f>
        <v>#REF!</v>
      </c>
      <c r="U38" s="118" t="e">
        <f>Financing!U124</f>
        <v>#REF!</v>
      </c>
      <c r="V38" s="118" t="e">
        <f>Financing!V124</f>
        <v>#REF!</v>
      </c>
      <c r="W38" s="118" t="e">
        <f>Financing!W124</f>
        <v>#REF!</v>
      </c>
      <c r="X38" s="118" t="e">
        <f>Financing!X124</f>
        <v>#REF!</v>
      </c>
      <c r="Y38" s="118" t="e">
        <f>Financing!Y124</f>
        <v>#REF!</v>
      </c>
      <c r="Z38" s="118" t="e">
        <f>Financing!Z124</f>
        <v>#REF!</v>
      </c>
      <c r="AA38" s="118" t="e">
        <f>Financing!AA124</f>
        <v>#REF!</v>
      </c>
      <c r="AB38" s="118" t="e">
        <f>Financing!AB124</f>
        <v>#REF!</v>
      </c>
      <c r="AC38" s="118" t="e">
        <f>Financing!AC124</f>
        <v>#REF!</v>
      </c>
      <c r="AD38" s="118" t="e">
        <f>Financing!AD124</f>
        <v>#REF!</v>
      </c>
      <c r="AE38" s="118" t="e">
        <f>Financing!AE124</f>
        <v>#REF!</v>
      </c>
      <c r="AF38" s="118" t="e">
        <f>Financing!AF124</f>
        <v>#REF!</v>
      </c>
      <c r="AG38" s="118" t="e">
        <f>Financing!AG124</f>
        <v>#REF!</v>
      </c>
      <c r="AH38" s="118" t="e">
        <f>Financing!AH124</f>
        <v>#REF!</v>
      </c>
      <c r="AI38" s="118" t="e">
        <f>Financing!AI124</f>
        <v>#REF!</v>
      </c>
      <c r="AJ38" s="118" t="e">
        <f>Financing!AJ124</f>
        <v>#REF!</v>
      </c>
      <c r="AK38" s="118" t="e">
        <f>Financing!AK124</f>
        <v>#REF!</v>
      </c>
      <c r="AL38" s="118" t="e">
        <f>Financing!AL124</f>
        <v>#REF!</v>
      </c>
      <c r="AM38" s="118" t="e">
        <f>Financing!AM124</f>
        <v>#REF!</v>
      </c>
      <c r="AN38" s="118" t="e">
        <f>Financing!AN124</f>
        <v>#REF!</v>
      </c>
      <c r="AO38" s="118" t="e">
        <f>Financing!AO124</f>
        <v>#REF!</v>
      </c>
      <c r="AP38" s="118" t="e">
        <f>Financing!AP124</f>
        <v>#REF!</v>
      </c>
      <c r="AQ38" s="118" t="e">
        <f>Financing!AQ124</f>
        <v>#REF!</v>
      </c>
      <c r="AR38" s="118" t="e">
        <f>Financing!AR124</f>
        <v>#REF!</v>
      </c>
      <c r="AS38" s="118" t="e">
        <f>Financing!AS124</f>
        <v>#REF!</v>
      </c>
      <c r="AT38" s="118" t="e">
        <f>Financing!AT124</f>
        <v>#REF!</v>
      </c>
      <c r="AU38" s="118" t="e">
        <f>Financing!AU124</f>
        <v>#REF!</v>
      </c>
      <c r="AV38" s="118" t="e">
        <f>Financing!AV124</f>
        <v>#REF!</v>
      </c>
      <c r="AW38" s="118" t="e">
        <f>Financing!AW124</f>
        <v>#REF!</v>
      </c>
      <c r="AX38" s="118" t="e">
        <f>Financing!AX124</f>
        <v>#REF!</v>
      </c>
      <c r="AY38" s="118" t="e">
        <f>Financing!AY124</f>
        <v>#REF!</v>
      </c>
      <c r="AZ38" s="118" t="e">
        <f>Financing!AZ124</f>
        <v>#REF!</v>
      </c>
      <c r="BA38" s="118" t="e">
        <f>Financing!BA124</f>
        <v>#REF!</v>
      </c>
      <c r="BB38" s="118" t="e">
        <f>Financing!BB124</f>
        <v>#REF!</v>
      </c>
      <c r="BC38" s="118" t="e">
        <f>Financing!BC124</f>
        <v>#REF!</v>
      </c>
      <c r="BD38" s="118" t="e">
        <f>Financing!BD124</f>
        <v>#REF!</v>
      </c>
      <c r="BE38" s="118" t="e">
        <f>Financing!BE124</f>
        <v>#REF!</v>
      </c>
      <c r="BF38" s="118" t="e">
        <f>Financing!BF124</f>
        <v>#REF!</v>
      </c>
      <c r="BG38" s="118" t="e">
        <f>Financing!BG124</f>
        <v>#REF!</v>
      </c>
      <c r="BH38" s="118" t="e">
        <f>Financing!BH124</f>
        <v>#REF!</v>
      </c>
      <c r="BI38" s="118" t="e">
        <f>Financing!BI124</f>
        <v>#REF!</v>
      </c>
      <c r="BJ38" s="118" t="e">
        <f>Financing!BJ124</f>
        <v>#REF!</v>
      </c>
      <c r="BK38" s="118" t="e">
        <f>Financing!BK124</f>
        <v>#REF!</v>
      </c>
      <c r="BL38" s="118" t="e">
        <f>Financing!BL124</f>
        <v>#REF!</v>
      </c>
      <c r="BM38" s="118" t="e">
        <f>Financing!BM124</f>
        <v>#REF!</v>
      </c>
      <c r="BN38" s="118" t="e">
        <f>Financing!BN124</f>
        <v>#REF!</v>
      </c>
      <c r="BO38" s="118" t="e">
        <f>Financing!BO124</f>
        <v>#REF!</v>
      </c>
      <c r="BP38" s="118" t="e">
        <f>Financing!BP124</f>
        <v>#REF!</v>
      </c>
      <c r="BQ38" s="118" t="e">
        <f>Financing!BQ124</f>
        <v>#REF!</v>
      </c>
      <c r="BR38" s="118" t="e">
        <f>Financing!BR124</f>
        <v>#REF!</v>
      </c>
      <c r="BS38" s="118" t="e">
        <f>Financing!BS124</f>
        <v>#REF!</v>
      </c>
      <c r="BT38" s="118" t="e">
        <f>Financing!BT124</f>
        <v>#REF!</v>
      </c>
      <c r="BU38" s="118" t="e">
        <f>Financing!BU124</f>
        <v>#REF!</v>
      </c>
      <c r="BV38" s="118" t="e">
        <f>Financing!BV124</f>
        <v>#REF!</v>
      </c>
      <c r="BW38" s="118" t="e">
        <f>Financing!BW124</f>
        <v>#REF!</v>
      </c>
      <c r="BX38" s="118" t="e">
        <f>Financing!BX124</f>
        <v>#REF!</v>
      </c>
      <c r="BY38" s="118" t="e">
        <f>Financing!BY124</f>
        <v>#REF!</v>
      </c>
      <c r="BZ38" s="118" t="e">
        <f>Financing!BZ124</f>
        <v>#REF!</v>
      </c>
      <c r="CA38" s="118" t="e">
        <f>Financing!CA124</f>
        <v>#REF!</v>
      </c>
      <c r="CB38" s="118" t="e">
        <f>Financing!CB124</f>
        <v>#REF!</v>
      </c>
      <c r="CC38" s="118" t="e">
        <f>Financing!CC124</f>
        <v>#REF!</v>
      </c>
      <c r="CD38" s="118" t="e">
        <f>Financing!CD124</f>
        <v>#REF!</v>
      </c>
      <c r="CE38" s="118" t="e">
        <f>Financing!CE124</f>
        <v>#REF!</v>
      </c>
      <c r="CF38" s="118" t="e">
        <f>Financing!CF124</f>
        <v>#REF!</v>
      </c>
      <c r="CG38" s="118" t="e">
        <f>Financing!CG124</f>
        <v>#REF!</v>
      </c>
      <c r="CH38" s="118" t="e">
        <f>Financing!CH124</f>
        <v>#REF!</v>
      </c>
      <c r="CI38" s="118" t="e">
        <f>Financing!CI124</f>
        <v>#REF!</v>
      </c>
      <c r="CJ38" s="118" t="e">
        <f>Financing!CJ124</f>
        <v>#REF!</v>
      </c>
      <c r="CK38" s="118" t="e">
        <f>Financing!CK124</f>
        <v>#REF!</v>
      </c>
      <c r="CL38" s="118" t="e">
        <f>Financing!CL124</f>
        <v>#REF!</v>
      </c>
      <c r="CM38" s="118" t="e">
        <f>Financing!CM124</f>
        <v>#REF!</v>
      </c>
      <c r="CN38" s="118" t="e">
        <f>Financing!CN124</f>
        <v>#REF!</v>
      </c>
      <c r="CO38" s="118" t="e">
        <f>Financing!CO124</f>
        <v>#REF!</v>
      </c>
      <c r="CP38" s="118" t="e">
        <f>Financing!CP124</f>
        <v>#REF!</v>
      </c>
      <c r="CQ38" s="118" t="e">
        <f>Financing!CQ124</f>
        <v>#REF!</v>
      </c>
      <c r="CR38" s="118" t="e">
        <f>Financing!CR124</f>
        <v>#REF!</v>
      </c>
      <c r="CS38" s="118" t="e">
        <f>Financing!CS124</f>
        <v>#REF!</v>
      </c>
      <c r="CT38" s="118" t="e">
        <f>Financing!CT124</f>
        <v>#REF!</v>
      </c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</row>
    <row r="39" spans="2:108" ht="12.75" customHeight="1" x14ac:dyDescent="0.25">
      <c r="B39" s="17" t="s">
        <v>32</v>
      </c>
      <c r="C39" t="s">
        <v>307</v>
      </c>
      <c r="H39" s="54" t="s">
        <v>3</v>
      </c>
      <c r="N39" s="25" t="e">
        <f>SUM(P39:DD39)</f>
        <v>#REF!</v>
      </c>
      <c r="O39" s="118"/>
      <c r="P39" s="118" t="e">
        <f>Financing!P125</f>
        <v>#REF!</v>
      </c>
      <c r="Q39" s="118" t="e">
        <f>Financing!Q125</f>
        <v>#REF!</v>
      </c>
      <c r="R39" s="118" t="e">
        <f>Financing!R125</f>
        <v>#REF!</v>
      </c>
      <c r="S39" s="118" t="e">
        <f>Financing!S125</f>
        <v>#REF!</v>
      </c>
      <c r="T39" s="118" t="e">
        <f>Financing!T125</f>
        <v>#REF!</v>
      </c>
      <c r="U39" s="118" t="e">
        <f>Financing!U125</f>
        <v>#REF!</v>
      </c>
      <c r="V39" s="118" t="e">
        <f>Financing!V125</f>
        <v>#REF!</v>
      </c>
      <c r="W39" s="118" t="e">
        <f>Financing!W125</f>
        <v>#REF!</v>
      </c>
      <c r="X39" s="118" t="e">
        <f>Financing!X125</f>
        <v>#REF!</v>
      </c>
      <c r="Y39" s="118" t="e">
        <f>Financing!Y125</f>
        <v>#REF!</v>
      </c>
      <c r="Z39" s="118" t="e">
        <f>Financing!Z125</f>
        <v>#REF!</v>
      </c>
      <c r="AA39" s="118" t="e">
        <f>Financing!AA125</f>
        <v>#REF!</v>
      </c>
      <c r="AB39" s="118" t="e">
        <f>Financing!AB125</f>
        <v>#REF!</v>
      </c>
      <c r="AC39" s="118" t="e">
        <f>Financing!AC125</f>
        <v>#REF!</v>
      </c>
      <c r="AD39" s="118" t="e">
        <f>Financing!AD125</f>
        <v>#REF!</v>
      </c>
      <c r="AE39" s="118" t="e">
        <f>Financing!AE125</f>
        <v>#REF!</v>
      </c>
      <c r="AF39" s="118" t="e">
        <f>Financing!AF125</f>
        <v>#REF!</v>
      </c>
      <c r="AG39" s="118" t="e">
        <f>Financing!AG125</f>
        <v>#REF!</v>
      </c>
      <c r="AH39" s="118" t="e">
        <f>Financing!AH125</f>
        <v>#REF!</v>
      </c>
      <c r="AI39" s="118" t="e">
        <f>Financing!AI125</f>
        <v>#REF!</v>
      </c>
      <c r="AJ39" s="118" t="e">
        <f>Financing!AJ125</f>
        <v>#REF!</v>
      </c>
      <c r="AK39" s="118" t="e">
        <f>Financing!AK125</f>
        <v>#REF!</v>
      </c>
      <c r="AL39" s="118" t="e">
        <f>Financing!AL125</f>
        <v>#REF!</v>
      </c>
      <c r="AM39" s="118" t="e">
        <f>Financing!AM125</f>
        <v>#REF!</v>
      </c>
      <c r="AN39" s="118" t="e">
        <f>Financing!AN125</f>
        <v>#REF!</v>
      </c>
      <c r="AO39" s="118" t="e">
        <f>Financing!AO125</f>
        <v>#REF!</v>
      </c>
      <c r="AP39" s="118" t="e">
        <f>Financing!AP125</f>
        <v>#REF!</v>
      </c>
      <c r="AQ39" s="118" t="e">
        <f>Financing!AQ125</f>
        <v>#REF!</v>
      </c>
      <c r="AR39" s="118" t="e">
        <f>Financing!AR125</f>
        <v>#REF!</v>
      </c>
      <c r="AS39" s="118" t="e">
        <f>Financing!AS125</f>
        <v>#REF!</v>
      </c>
      <c r="AT39" s="118" t="e">
        <f>Financing!AT125</f>
        <v>#REF!</v>
      </c>
      <c r="AU39" s="118" t="e">
        <f>Financing!AU125</f>
        <v>#REF!</v>
      </c>
      <c r="AV39" s="118" t="e">
        <f>Financing!AV125</f>
        <v>#REF!</v>
      </c>
      <c r="AW39" s="118" t="e">
        <f>Financing!AW125</f>
        <v>#REF!</v>
      </c>
      <c r="AX39" s="118" t="e">
        <f>Financing!AX125</f>
        <v>#REF!</v>
      </c>
      <c r="AY39" s="118" t="e">
        <f>Financing!AY125</f>
        <v>#REF!</v>
      </c>
      <c r="AZ39" s="118" t="e">
        <f>Financing!AZ125</f>
        <v>#REF!</v>
      </c>
      <c r="BA39" s="118" t="e">
        <f>Financing!BA125</f>
        <v>#REF!</v>
      </c>
      <c r="BB39" s="118" t="e">
        <f>Financing!BB125</f>
        <v>#REF!</v>
      </c>
      <c r="BC39" s="118" t="e">
        <f>Financing!BC125</f>
        <v>#REF!</v>
      </c>
      <c r="BD39" s="118" t="e">
        <f>Financing!BD125</f>
        <v>#REF!</v>
      </c>
      <c r="BE39" s="118" t="e">
        <f>Financing!BE125</f>
        <v>#REF!</v>
      </c>
      <c r="BF39" s="118" t="e">
        <f>Financing!BF125</f>
        <v>#REF!</v>
      </c>
      <c r="BG39" s="118" t="e">
        <f>Financing!BG125</f>
        <v>#REF!</v>
      </c>
      <c r="BH39" s="118" t="e">
        <f>Financing!BH125</f>
        <v>#REF!</v>
      </c>
      <c r="BI39" s="118" t="e">
        <f>Financing!BI125</f>
        <v>#REF!</v>
      </c>
      <c r="BJ39" s="118" t="e">
        <f>Financing!BJ125</f>
        <v>#REF!</v>
      </c>
      <c r="BK39" s="118" t="e">
        <f>Financing!BK125</f>
        <v>#REF!</v>
      </c>
      <c r="BL39" s="118" t="e">
        <f>Financing!BL125</f>
        <v>#REF!</v>
      </c>
      <c r="BM39" s="118" t="e">
        <f>Financing!BM125</f>
        <v>#REF!</v>
      </c>
      <c r="BN39" s="118" t="e">
        <f>Financing!BN125</f>
        <v>#REF!</v>
      </c>
      <c r="BO39" s="118" t="e">
        <f>Financing!BO125</f>
        <v>#REF!</v>
      </c>
      <c r="BP39" s="118" t="e">
        <f>Financing!BP125</f>
        <v>#REF!</v>
      </c>
      <c r="BQ39" s="118" t="e">
        <f>Financing!BQ125</f>
        <v>#REF!</v>
      </c>
      <c r="BR39" s="118" t="e">
        <f>Financing!BR125</f>
        <v>#REF!</v>
      </c>
      <c r="BS39" s="118" t="e">
        <f>Financing!BS125</f>
        <v>#REF!</v>
      </c>
      <c r="BT39" s="118" t="e">
        <f>Financing!BT125</f>
        <v>#REF!</v>
      </c>
      <c r="BU39" s="118" t="e">
        <f>Financing!BU125</f>
        <v>#REF!</v>
      </c>
      <c r="BV39" s="118" t="e">
        <f>Financing!BV125</f>
        <v>#REF!</v>
      </c>
      <c r="BW39" s="118" t="e">
        <f>Financing!BW125</f>
        <v>#REF!</v>
      </c>
      <c r="BX39" s="118" t="e">
        <f>Financing!BX125</f>
        <v>#REF!</v>
      </c>
      <c r="BY39" s="118" t="e">
        <f>Financing!BY125</f>
        <v>#REF!</v>
      </c>
      <c r="BZ39" s="118" t="e">
        <f>Financing!BZ125</f>
        <v>#REF!</v>
      </c>
      <c r="CA39" s="118" t="e">
        <f>Financing!CA125</f>
        <v>#REF!</v>
      </c>
      <c r="CB39" s="118" t="e">
        <f>Financing!CB125</f>
        <v>#REF!</v>
      </c>
      <c r="CC39" s="118" t="e">
        <f>Financing!CC125</f>
        <v>#REF!</v>
      </c>
      <c r="CD39" s="118" t="e">
        <f>Financing!CD125</f>
        <v>#REF!</v>
      </c>
      <c r="CE39" s="118" t="e">
        <f>Financing!CE125</f>
        <v>#REF!</v>
      </c>
      <c r="CF39" s="118" t="e">
        <f>Financing!CF125</f>
        <v>#REF!</v>
      </c>
      <c r="CG39" s="118" t="e">
        <f>Financing!CG125</f>
        <v>#REF!</v>
      </c>
      <c r="CH39" s="118" t="e">
        <f>Financing!CH125</f>
        <v>#REF!</v>
      </c>
      <c r="CI39" s="118" t="e">
        <f>Financing!CI125</f>
        <v>#REF!</v>
      </c>
      <c r="CJ39" s="118" t="e">
        <f>Financing!CJ125</f>
        <v>#REF!</v>
      </c>
      <c r="CK39" s="118" t="e">
        <f>Financing!CK125</f>
        <v>#REF!</v>
      </c>
      <c r="CL39" s="118" t="e">
        <f>Financing!CL125</f>
        <v>#REF!</v>
      </c>
      <c r="CM39" s="118" t="e">
        <f>Financing!CM125</f>
        <v>#REF!</v>
      </c>
      <c r="CN39" s="118" t="e">
        <f>Financing!CN125</f>
        <v>#REF!</v>
      </c>
      <c r="CO39" s="118" t="e">
        <f>Financing!CO125</f>
        <v>#REF!</v>
      </c>
      <c r="CP39" s="118" t="e">
        <f>Financing!CP125</f>
        <v>#REF!</v>
      </c>
      <c r="CQ39" s="118" t="e">
        <f>Financing!CQ125</f>
        <v>#REF!</v>
      </c>
      <c r="CR39" s="118" t="e">
        <f>Financing!CR125</f>
        <v>#REF!</v>
      </c>
      <c r="CS39" s="118" t="e">
        <f>Financing!CS125</f>
        <v>#REF!</v>
      </c>
      <c r="CT39" s="118" t="e">
        <f>Financing!CT125</f>
        <v>#REF!</v>
      </c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</row>
    <row r="40" spans="2:108" ht="12.75" customHeight="1" x14ac:dyDescent="0.25">
      <c r="B40" s="17" t="s">
        <v>32</v>
      </c>
      <c r="C40" t="s">
        <v>308</v>
      </c>
      <c r="H40" s="54" t="s">
        <v>3</v>
      </c>
      <c r="N40" s="25" t="e">
        <f>SUM(P40:DD40)</f>
        <v>#REF!</v>
      </c>
      <c r="O40" s="118"/>
      <c r="P40" s="118">
        <f>IS!P21</f>
        <v>0</v>
      </c>
      <c r="Q40" s="118" t="e">
        <f>IS!Q21</f>
        <v>#REF!</v>
      </c>
      <c r="R40" s="118" t="e">
        <f>IS!R21</f>
        <v>#REF!</v>
      </c>
      <c r="S40" s="118" t="e">
        <f>IS!S21</f>
        <v>#REF!</v>
      </c>
      <c r="T40" s="118" t="e">
        <f>IS!T21</f>
        <v>#REF!</v>
      </c>
      <c r="U40" s="118" t="e">
        <f>IS!U21</f>
        <v>#REF!</v>
      </c>
      <c r="V40" s="118" t="e">
        <f>IS!V21</f>
        <v>#REF!</v>
      </c>
      <c r="W40" s="118" t="e">
        <f>IS!W21</f>
        <v>#REF!</v>
      </c>
      <c r="X40" s="118" t="e">
        <f>IS!X21</f>
        <v>#REF!</v>
      </c>
      <c r="Y40" s="118" t="e">
        <f>IS!Y21</f>
        <v>#REF!</v>
      </c>
      <c r="Z40" s="118" t="e">
        <f>IS!Z21</f>
        <v>#REF!</v>
      </c>
      <c r="AA40" s="118" t="e">
        <f>IS!AA21</f>
        <v>#REF!</v>
      </c>
      <c r="AB40" s="118" t="e">
        <f>IS!AB21</f>
        <v>#REF!</v>
      </c>
      <c r="AC40" s="118" t="e">
        <f>IS!AC21</f>
        <v>#REF!</v>
      </c>
      <c r="AD40" s="118" t="e">
        <f>IS!AD21</f>
        <v>#REF!</v>
      </c>
      <c r="AE40" s="118" t="e">
        <f>IS!AE21</f>
        <v>#REF!</v>
      </c>
      <c r="AF40" s="118" t="e">
        <f>IS!AF21</f>
        <v>#REF!</v>
      </c>
      <c r="AG40" s="118" t="e">
        <f>IS!AG21</f>
        <v>#REF!</v>
      </c>
      <c r="AH40" s="118" t="e">
        <f>IS!AH21</f>
        <v>#REF!</v>
      </c>
      <c r="AI40" s="118" t="e">
        <f>IS!AI21</f>
        <v>#REF!</v>
      </c>
      <c r="AJ40" s="118" t="e">
        <f>IS!AJ21</f>
        <v>#REF!</v>
      </c>
      <c r="AK40" s="118" t="e">
        <f>IS!AK21</f>
        <v>#REF!</v>
      </c>
      <c r="AL40" s="118" t="e">
        <f>IS!AL21</f>
        <v>#REF!</v>
      </c>
      <c r="AM40" s="118" t="e">
        <f>IS!AM21</f>
        <v>#REF!</v>
      </c>
      <c r="AN40" s="118" t="e">
        <f>IS!AN21</f>
        <v>#REF!</v>
      </c>
      <c r="AO40" s="118" t="e">
        <f>IS!AO21</f>
        <v>#REF!</v>
      </c>
      <c r="AP40" s="118" t="e">
        <f>IS!AP21</f>
        <v>#REF!</v>
      </c>
      <c r="AQ40" s="118" t="e">
        <f>IS!AQ21</f>
        <v>#REF!</v>
      </c>
      <c r="AR40" s="118" t="e">
        <f>IS!AR21</f>
        <v>#REF!</v>
      </c>
      <c r="AS40" s="118" t="e">
        <f>IS!AS21</f>
        <v>#REF!</v>
      </c>
      <c r="AT40" s="118" t="e">
        <f>IS!AT21</f>
        <v>#REF!</v>
      </c>
      <c r="AU40" s="118" t="e">
        <f>IS!AU21</f>
        <v>#REF!</v>
      </c>
      <c r="AV40" s="118" t="e">
        <f>IS!AV21</f>
        <v>#REF!</v>
      </c>
      <c r="AW40" s="118" t="e">
        <f>IS!AW21</f>
        <v>#REF!</v>
      </c>
      <c r="AX40" s="118" t="e">
        <f>IS!AX21</f>
        <v>#REF!</v>
      </c>
      <c r="AY40" s="118" t="e">
        <f>IS!AY21</f>
        <v>#REF!</v>
      </c>
      <c r="AZ40" s="118" t="e">
        <f>IS!AZ21</f>
        <v>#REF!</v>
      </c>
      <c r="BA40" s="118" t="e">
        <f>IS!BA21</f>
        <v>#REF!</v>
      </c>
      <c r="BB40" s="118" t="e">
        <f>IS!BB21</f>
        <v>#REF!</v>
      </c>
      <c r="BC40" s="118" t="e">
        <f>IS!BC21</f>
        <v>#REF!</v>
      </c>
      <c r="BD40" s="118" t="e">
        <f>IS!BD21</f>
        <v>#REF!</v>
      </c>
      <c r="BE40" s="118" t="e">
        <f>IS!BE21</f>
        <v>#REF!</v>
      </c>
      <c r="BF40" s="118" t="e">
        <f>IS!BF21</f>
        <v>#REF!</v>
      </c>
      <c r="BG40" s="118" t="e">
        <f>IS!BG21</f>
        <v>#REF!</v>
      </c>
      <c r="BH40" s="118" t="e">
        <f>IS!BH21</f>
        <v>#REF!</v>
      </c>
      <c r="BI40" s="118" t="e">
        <f>IS!BI21</f>
        <v>#REF!</v>
      </c>
      <c r="BJ40" s="118" t="e">
        <f>IS!BJ21</f>
        <v>#REF!</v>
      </c>
      <c r="BK40" s="118" t="e">
        <f>IS!BK21</f>
        <v>#REF!</v>
      </c>
      <c r="BL40" s="118" t="e">
        <f>IS!BL21</f>
        <v>#REF!</v>
      </c>
      <c r="BM40" s="118" t="e">
        <f>IS!BM21</f>
        <v>#REF!</v>
      </c>
      <c r="BN40" s="118" t="e">
        <f>IS!BN21</f>
        <v>#REF!</v>
      </c>
      <c r="BO40" s="118" t="e">
        <f>IS!BO21</f>
        <v>#REF!</v>
      </c>
      <c r="BP40" s="118" t="e">
        <f>IS!BP21</f>
        <v>#REF!</v>
      </c>
      <c r="BQ40" s="118" t="e">
        <f>IS!BQ21</f>
        <v>#REF!</v>
      </c>
      <c r="BR40" s="118" t="e">
        <f>IS!BR21</f>
        <v>#REF!</v>
      </c>
      <c r="BS40" s="118" t="e">
        <f>IS!BS21</f>
        <v>#REF!</v>
      </c>
      <c r="BT40" s="118" t="e">
        <f>IS!BT21</f>
        <v>#REF!</v>
      </c>
      <c r="BU40" s="118" t="e">
        <f>IS!BU21</f>
        <v>#REF!</v>
      </c>
      <c r="BV40" s="118" t="e">
        <f>IS!BV21</f>
        <v>#REF!</v>
      </c>
      <c r="BW40" s="118" t="e">
        <f>IS!BW21</f>
        <v>#REF!</v>
      </c>
      <c r="BX40" s="118" t="e">
        <f>IS!BX21</f>
        <v>#REF!</v>
      </c>
      <c r="BY40" s="118" t="e">
        <f>IS!BY21</f>
        <v>#REF!</v>
      </c>
      <c r="BZ40" s="118" t="e">
        <f>IS!BZ21</f>
        <v>#REF!</v>
      </c>
      <c r="CA40" s="118" t="e">
        <f>IS!CA21</f>
        <v>#REF!</v>
      </c>
      <c r="CB40" s="118" t="e">
        <f>IS!CB21</f>
        <v>#REF!</v>
      </c>
      <c r="CC40" s="118" t="e">
        <f>IS!CC21</f>
        <v>#REF!</v>
      </c>
      <c r="CD40" s="118" t="e">
        <f>IS!CD21</f>
        <v>#REF!</v>
      </c>
      <c r="CE40" s="118" t="e">
        <f>IS!CE21</f>
        <v>#REF!</v>
      </c>
      <c r="CF40" s="118" t="e">
        <f>IS!CF21</f>
        <v>#REF!</v>
      </c>
      <c r="CG40" s="118" t="e">
        <f>IS!CG21</f>
        <v>#REF!</v>
      </c>
      <c r="CH40" s="118" t="e">
        <f>IS!CH21</f>
        <v>#REF!</v>
      </c>
      <c r="CI40" s="118" t="e">
        <f>IS!CI21</f>
        <v>#REF!</v>
      </c>
      <c r="CJ40" s="118" t="e">
        <f>IS!CJ21</f>
        <v>#REF!</v>
      </c>
      <c r="CK40" s="118" t="e">
        <f>IS!CK21</f>
        <v>#REF!</v>
      </c>
      <c r="CL40" s="118" t="e">
        <f>IS!CL21</f>
        <v>#REF!</v>
      </c>
      <c r="CM40" s="118" t="e">
        <f>IS!CM21</f>
        <v>#REF!</v>
      </c>
      <c r="CN40" s="118" t="e">
        <f>IS!CN21</f>
        <v>#REF!</v>
      </c>
      <c r="CO40" s="118" t="e">
        <f>IS!CO21</f>
        <v>#REF!</v>
      </c>
      <c r="CP40" s="118" t="e">
        <f>IS!CP21</f>
        <v>#REF!</v>
      </c>
      <c r="CQ40" s="118" t="e">
        <f>IS!CQ21</f>
        <v>#REF!</v>
      </c>
      <c r="CR40" s="118">
        <f>IS!CR21</f>
        <v>0</v>
      </c>
      <c r="CS40" s="118">
        <f>IS!CS21</f>
        <v>0</v>
      </c>
      <c r="CT40" s="118">
        <f>IS!CT21</f>
        <v>0</v>
      </c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</row>
    <row r="41" spans="2:108" ht="12.75" customHeight="1" x14ac:dyDescent="0.25">
      <c r="B41" s="184"/>
      <c r="H41" s="54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</row>
    <row r="42" spans="2:108" ht="12.75" customHeight="1" x14ac:dyDescent="0.25">
      <c r="B42" s="43" t="s">
        <v>309</v>
      </c>
      <c r="H42" s="54" t="s">
        <v>3</v>
      </c>
      <c r="N42" s="25" t="e">
        <f>SUM(P42:DD42)</f>
        <v>#REF!</v>
      </c>
      <c r="O42" s="203"/>
      <c r="P42" s="203" t="e">
        <f>P36-P38-P39-P40</f>
        <v>#REF!</v>
      </c>
      <c r="Q42" s="203" t="e">
        <f t="shared" ref="Q42:AJ42" si="15">Q36-Q38-Q39-Q40</f>
        <v>#REF!</v>
      </c>
      <c r="R42" s="203" t="e">
        <f t="shared" si="15"/>
        <v>#REF!</v>
      </c>
      <c r="S42" s="203" t="e">
        <f t="shared" si="15"/>
        <v>#REF!</v>
      </c>
      <c r="T42" s="203" t="e">
        <f t="shared" si="15"/>
        <v>#REF!</v>
      </c>
      <c r="U42" s="203" t="e">
        <f t="shared" si="15"/>
        <v>#REF!</v>
      </c>
      <c r="V42" s="203" t="e">
        <f t="shared" si="15"/>
        <v>#REF!</v>
      </c>
      <c r="W42" s="203" t="e">
        <f t="shared" si="15"/>
        <v>#REF!</v>
      </c>
      <c r="X42" s="203" t="e">
        <f t="shared" si="15"/>
        <v>#REF!</v>
      </c>
      <c r="Y42" s="203" t="e">
        <f t="shared" si="15"/>
        <v>#REF!</v>
      </c>
      <c r="Z42" s="203" t="e">
        <f t="shared" si="15"/>
        <v>#REF!</v>
      </c>
      <c r="AA42" s="203" t="e">
        <f t="shared" si="15"/>
        <v>#REF!</v>
      </c>
      <c r="AB42" s="203" t="e">
        <f t="shared" si="15"/>
        <v>#REF!</v>
      </c>
      <c r="AC42" s="203" t="e">
        <f t="shared" si="15"/>
        <v>#REF!</v>
      </c>
      <c r="AD42" s="203" t="e">
        <f t="shared" si="15"/>
        <v>#REF!</v>
      </c>
      <c r="AE42" s="203" t="e">
        <f t="shared" si="15"/>
        <v>#REF!</v>
      </c>
      <c r="AF42" s="203" t="e">
        <f t="shared" si="15"/>
        <v>#REF!</v>
      </c>
      <c r="AG42" s="203" t="e">
        <f t="shared" si="15"/>
        <v>#REF!</v>
      </c>
      <c r="AH42" s="203" t="e">
        <f t="shared" si="15"/>
        <v>#REF!</v>
      </c>
      <c r="AI42" s="203" t="e">
        <f t="shared" si="15"/>
        <v>#REF!</v>
      </c>
      <c r="AJ42" s="203" t="e">
        <f t="shared" si="15"/>
        <v>#REF!</v>
      </c>
      <c r="AK42" s="203" t="e">
        <f t="shared" ref="AK42:CT42" si="16">AK36-AK38-AK39-AK40</f>
        <v>#REF!</v>
      </c>
      <c r="AL42" s="203" t="e">
        <f t="shared" si="16"/>
        <v>#REF!</v>
      </c>
      <c r="AM42" s="203" t="e">
        <f t="shared" si="16"/>
        <v>#REF!</v>
      </c>
      <c r="AN42" s="203" t="e">
        <f t="shared" si="16"/>
        <v>#REF!</v>
      </c>
      <c r="AO42" s="203" t="e">
        <f t="shared" si="16"/>
        <v>#REF!</v>
      </c>
      <c r="AP42" s="203" t="e">
        <f t="shared" si="16"/>
        <v>#REF!</v>
      </c>
      <c r="AQ42" s="203" t="e">
        <f t="shared" si="16"/>
        <v>#REF!</v>
      </c>
      <c r="AR42" s="203" t="e">
        <f t="shared" si="16"/>
        <v>#REF!</v>
      </c>
      <c r="AS42" s="203" t="e">
        <f t="shared" si="16"/>
        <v>#REF!</v>
      </c>
      <c r="AT42" s="203" t="e">
        <f t="shared" si="16"/>
        <v>#REF!</v>
      </c>
      <c r="AU42" s="203" t="e">
        <f t="shared" si="16"/>
        <v>#REF!</v>
      </c>
      <c r="AV42" s="203" t="e">
        <f t="shared" si="16"/>
        <v>#REF!</v>
      </c>
      <c r="AW42" s="203" t="e">
        <f t="shared" si="16"/>
        <v>#REF!</v>
      </c>
      <c r="AX42" s="203" t="e">
        <f t="shared" si="16"/>
        <v>#REF!</v>
      </c>
      <c r="AY42" s="203" t="e">
        <f t="shared" si="16"/>
        <v>#REF!</v>
      </c>
      <c r="AZ42" s="203" t="e">
        <f t="shared" si="16"/>
        <v>#REF!</v>
      </c>
      <c r="BA42" s="203" t="e">
        <f t="shared" si="16"/>
        <v>#REF!</v>
      </c>
      <c r="BB42" s="203" t="e">
        <f t="shared" si="16"/>
        <v>#REF!</v>
      </c>
      <c r="BC42" s="203" t="e">
        <f t="shared" si="16"/>
        <v>#REF!</v>
      </c>
      <c r="BD42" s="203" t="e">
        <f t="shared" si="16"/>
        <v>#REF!</v>
      </c>
      <c r="BE42" s="203" t="e">
        <f t="shared" si="16"/>
        <v>#REF!</v>
      </c>
      <c r="BF42" s="203" t="e">
        <f t="shared" si="16"/>
        <v>#REF!</v>
      </c>
      <c r="BG42" s="203" t="e">
        <f t="shared" si="16"/>
        <v>#REF!</v>
      </c>
      <c r="BH42" s="203" t="e">
        <f t="shared" si="16"/>
        <v>#REF!</v>
      </c>
      <c r="BI42" s="203" t="e">
        <f t="shared" si="16"/>
        <v>#REF!</v>
      </c>
      <c r="BJ42" s="203" t="e">
        <f t="shared" si="16"/>
        <v>#REF!</v>
      </c>
      <c r="BK42" s="203" t="e">
        <f t="shared" si="16"/>
        <v>#REF!</v>
      </c>
      <c r="BL42" s="203" t="e">
        <f t="shared" si="16"/>
        <v>#REF!</v>
      </c>
      <c r="BM42" s="203" t="e">
        <f t="shared" si="16"/>
        <v>#REF!</v>
      </c>
      <c r="BN42" s="203" t="e">
        <f t="shared" si="16"/>
        <v>#REF!</v>
      </c>
      <c r="BO42" s="203" t="e">
        <f t="shared" si="16"/>
        <v>#REF!</v>
      </c>
      <c r="BP42" s="203" t="e">
        <f t="shared" si="16"/>
        <v>#REF!</v>
      </c>
      <c r="BQ42" s="203" t="e">
        <f t="shared" si="16"/>
        <v>#REF!</v>
      </c>
      <c r="BR42" s="203" t="e">
        <f t="shared" si="16"/>
        <v>#REF!</v>
      </c>
      <c r="BS42" s="203" t="e">
        <f t="shared" si="16"/>
        <v>#REF!</v>
      </c>
      <c r="BT42" s="203" t="e">
        <f t="shared" si="16"/>
        <v>#REF!</v>
      </c>
      <c r="BU42" s="203" t="e">
        <f t="shared" si="16"/>
        <v>#REF!</v>
      </c>
      <c r="BV42" s="203" t="e">
        <f t="shared" si="16"/>
        <v>#REF!</v>
      </c>
      <c r="BW42" s="203" t="e">
        <f t="shared" si="16"/>
        <v>#REF!</v>
      </c>
      <c r="BX42" s="203" t="e">
        <f t="shared" si="16"/>
        <v>#REF!</v>
      </c>
      <c r="BY42" s="203" t="e">
        <f t="shared" si="16"/>
        <v>#REF!</v>
      </c>
      <c r="BZ42" s="203" t="e">
        <f t="shared" si="16"/>
        <v>#REF!</v>
      </c>
      <c r="CA42" s="203" t="e">
        <f t="shared" si="16"/>
        <v>#REF!</v>
      </c>
      <c r="CB42" s="203" t="e">
        <f t="shared" si="16"/>
        <v>#REF!</v>
      </c>
      <c r="CC42" s="203" t="e">
        <f t="shared" si="16"/>
        <v>#REF!</v>
      </c>
      <c r="CD42" s="203" t="e">
        <f t="shared" si="16"/>
        <v>#REF!</v>
      </c>
      <c r="CE42" s="203" t="e">
        <f t="shared" si="16"/>
        <v>#REF!</v>
      </c>
      <c r="CF42" s="203" t="e">
        <f t="shared" si="16"/>
        <v>#REF!</v>
      </c>
      <c r="CG42" s="203" t="e">
        <f t="shared" si="16"/>
        <v>#REF!</v>
      </c>
      <c r="CH42" s="203" t="e">
        <f t="shared" si="16"/>
        <v>#REF!</v>
      </c>
      <c r="CI42" s="203" t="e">
        <f t="shared" si="16"/>
        <v>#REF!</v>
      </c>
      <c r="CJ42" s="203" t="e">
        <f t="shared" si="16"/>
        <v>#REF!</v>
      </c>
      <c r="CK42" s="203" t="e">
        <f t="shared" si="16"/>
        <v>#REF!</v>
      </c>
      <c r="CL42" s="203" t="e">
        <f t="shared" si="16"/>
        <v>#REF!</v>
      </c>
      <c r="CM42" s="203" t="e">
        <f t="shared" si="16"/>
        <v>#REF!</v>
      </c>
      <c r="CN42" s="203" t="e">
        <f t="shared" si="16"/>
        <v>#REF!</v>
      </c>
      <c r="CO42" s="203" t="e">
        <f t="shared" si="16"/>
        <v>#REF!</v>
      </c>
      <c r="CP42" s="203" t="e">
        <f t="shared" si="16"/>
        <v>#REF!</v>
      </c>
      <c r="CQ42" s="203" t="e">
        <f t="shared" si="16"/>
        <v>#REF!</v>
      </c>
      <c r="CR42" s="203" t="e">
        <f t="shared" si="16"/>
        <v>#REF!</v>
      </c>
      <c r="CS42" s="203" t="e">
        <f t="shared" si="16"/>
        <v>#REF!</v>
      </c>
      <c r="CT42" s="203" t="e">
        <f t="shared" si="16"/>
        <v>#REF!</v>
      </c>
      <c r="CU42" s="203"/>
      <c r="CV42" s="203"/>
      <c r="CW42" s="203"/>
      <c r="CX42" s="203"/>
      <c r="CY42" s="203"/>
      <c r="CZ42" s="203"/>
      <c r="DA42" s="203"/>
      <c r="DB42" s="203"/>
      <c r="DC42" s="203"/>
      <c r="DD42" s="203"/>
    </row>
    <row r="43" spans="2:108" ht="12.75" customHeight="1" x14ac:dyDescent="0.25">
      <c r="B43" s="184"/>
      <c r="H43" s="54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</row>
    <row r="44" spans="2:108" ht="12.75" customHeight="1" x14ac:dyDescent="0.25">
      <c r="B44" s="17" t="s">
        <v>34</v>
      </c>
      <c r="C44" t="s">
        <v>310</v>
      </c>
      <c r="H44" s="54" t="s">
        <v>3</v>
      </c>
      <c r="N44" s="25" t="e">
        <f>SUM(P44:DD44)</f>
        <v>#REF!</v>
      </c>
      <c r="O44" s="118"/>
      <c r="P44" s="118" t="e">
        <f t="shared" ref="P44" si="17">ABS(MIN(P42,0))</f>
        <v>#REF!</v>
      </c>
      <c r="Q44" s="118" t="e">
        <f t="shared" ref="Q44:AJ44" si="18">ABS(MIN(Q42,0))</f>
        <v>#REF!</v>
      </c>
      <c r="R44" s="118" t="e">
        <f t="shared" si="18"/>
        <v>#REF!</v>
      </c>
      <c r="S44" s="118" t="e">
        <f t="shared" si="18"/>
        <v>#REF!</v>
      </c>
      <c r="T44" s="118" t="e">
        <f t="shared" si="18"/>
        <v>#REF!</v>
      </c>
      <c r="U44" s="118" t="e">
        <f t="shared" si="18"/>
        <v>#REF!</v>
      </c>
      <c r="V44" s="118" t="e">
        <f t="shared" si="18"/>
        <v>#REF!</v>
      </c>
      <c r="W44" s="118" t="e">
        <f t="shared" si="18"/>
        <v>#REF!</v>
      </c>
      <c r="X44" s="118" t="e">
        <f t="shared" si="18"/>
        <v>#REF!</v>
      </c>
      <c r="Y44" s="118" t="e">
        <f t="shared" si="18"/>
        <v>#REF!</v>
      </c>
      <c r="Z44" s="118" t="e">
        <f t="shared" si="18"/>
        <v>#REF!</v>
      </c>
      <c r="AA44" s="118" t="e">
        <f t="shared" si="18"/>
        <v>#REF!</v>
      </c>
      <c r="AB44" s="118" t="e">
        <f t="shared" si="18"/>
        <v>#REF!</v>
      </c>
      <c r="AC44" s="118" t="e">
        <f t="shared" si="18"/>
        <v>#REF!</v>
      </c>
      <c r="AD44" s="118" t="e">
        <f t="shared" si="18"/>
        <v>#REF!</v>
      </c>
      <c r="AE44" s="118" t="e">
        <f t="shared" si="18"/>
        <v>#REF!</v>
      </c>
      <c r="AF44" s="118" t="e">
        <f t="shared" si="18"/>
        <v>#REF!</v>
      </c>
      <c r="AG44" s="118" t="e">
        <f t="shared" si="18"/>
        <v>#REF!</v>
      </c>
      <c r="AH44" s="118" t="e">
        <f t="shared" si="18"/>
        <v>#REF!</v>
      </c>
      <c r="AI44" s="118" t="e">
        <f t="shared" si="18"/>
        <v>#REF!</v>
      </c>
      <c r="AJ44" s="118" t="e">
        <f t="shared" si="18"/>
        <v>#REF!</v>
      </c>
      <c r="AK44" s="118" t="e">
        <f t="shared" ref="AK44:CT44" si="19">ABS(MIN(AK42,0))</f>
        <v>#REF!</v>
      </c>
      <c r="AL44" s="118" t="e">
        <f t="shared" si="19"/>
        <v>#REF!</v>
      </c>
      <c r="AM44" s="118" t="e">
        <f t="shared" si="19"/>
        <v>#REF!</v>
      </c>
      <c r="AN44" s="118" t="e">
        <f t="shared" si="19"/>
        <v>#REF!</v>
      </c>
      <c r="AO44" s="118" t="e">
        <f t="shared" si="19"/>
        <v>#REF!</v>
      </c>
      <c r="AP44" s="118" t="e">
        <f t="shared" si="19"/>
        <v>#REF!</v>
      </c>
      <c r="AQ44" s="118" t="e">
        <f t="shared" si="19"/>
        <v>#REF!</v>
      </c>
      <c r="AR44" s="118" t="e">
        <f t="shared" si="19"/>
        <v>#REF!</v>
      </c>
      <c r="AS44" s="118" t="e">
        <f t="shared" si="19"/>
        <v>#REF!</v>
      </c>
      <c r="AT44" s="118" t="e">
        <f t="shared" si="19"/>
        <v>#REF!</v>
      </c>
      <c r="AU44" s="118" t="e">
        <f t="shared" si="19"/>
        <v>#REF!</v>
      </c>
      <c r="AV44" s="118" t="e">
        <f t="shared" si="19"/>
        <v>#REF!</v>
      </c>
      <c r="AW44" s="118" t="e">
        <f t="shared" si="19"/>
        <v>#REF!</v>
      </c>
      <c r="AX44" s="118" t="e">
        <f t="shared" si="19"/>
        <v>#REF!</v>
      </c>
      <c r="AY44" s="118" t="e">
        <f t="shared" si="19"/>
        <v>#REF!</v>
      </c>
      <c r="AZ44" s="118" t="e">
        <f t="shared" si="19"/>
        <v>#REF!</v>
      </c>
      <c r="BA44" s="118" t="e">
        <f t="shared" si="19"/>
        <v>#REF!</v>
      </c>
      <c r="BB44" s="118" t="e">
        <f t="shared" si="19"/>
        <v>#REF!</v>
      </c>
      <c r="BC44" s="118" t="e">
        <f t="shared" si="19"/>
        <v>#REF!</v>
      </c>
      <c r="BD44" s="118" t="e">
        <f t="shared" si="19"/>
        <v>#REF!</v>
      </c>
      <c r="BE44" s="118" t="e">
        <f t="shared" si="19"/>
        <v>#REF!</v>
      </c>
      <c r="BF44" s="118" t="e">
        <f t="shared" si="19"/>
        <v>#REF!</v>
      </c>
      <c r="BG44" s="118" t="e">
        <f t="shared" si="19"/>
        <v>#REF!</v>
      </c>
      <c r="BH44" s="118" t="e">
        <f t="shared" si="19"/>
        <v>#REF!</v>
      </c>
      <c r="BI44" s="118" t="e">
        <f t="shared" si="19"/>
        <v>#REF!</v>
      </c>
      <c r="BJ44" s="118" t="e">
        <f t="shared" si="19"/>
        <v>#REF!</v>
      </c>
      <c r="BK44" s="118" t="e">
        <f t="shared" si="19"/>
        <v>#REF!</v>
      </c>
      <c r="BL44" s="118" t="e">
        <f t="shared" si="19"/>
        <v>#REF!</v>
      </c>
      <c r="BM44" s="118" t="e">
        <f t="shared" si="19"/>
        <v>#REF!</v>
      </c>
      <c r="BN44" s="118" t="e">
        <f t="shared" si="19"/>
        <v>#REF!</v>
      </c>
      <c r="BO44" s="118" t="e">
        <f t="shared" si="19"/>
        <v>#REF!</v>
      </c>
      <c r="BP44" s="118" t="e">
        <f t="shared" si="19"/>
        <v>#REF!</v>
      </c>
      <c r="BQ44" s="118" t="e">
        <f t="shared" si="19"/>
        <v>#REF!</v>
      </c>
      <c r="BR44" s="118" t="e">
        <f t="shared" si="19"/>
        <v>#REF!</v>
      </c>
      <c r="BS44" s="118" t="e">
        <f t="shared" si="19"/>
        <v>#REF!</v>
      </c>
      <c r="BT44" s="118" t="e">
        <f t="shared" si="19"/>
        <v>#REF!</v>
      </c>
      <c r="BU44" s="118" t="e">
        <f t="shared" si="19"/>
        <v>#REF!</v>
      </c>
      <c r="BV44" s="118" t="e">
        <f t="shared" si="19"/>
        <v>#REF!</v>
      </c>
      <c r="BW44" s="118" t="e">
        <f t="shared" si="19"/>
        <v>#REF!</v>
      </c>
      <c r="BX44" s="118" t="e">
        <f t="shared" si="19"/>
        <v>#REF!</v>
      </c>
      <c r="BY44" s="118" t="e">
        <f t="shared" si="19"/>
        <v>#REF!</v>
      </c>
      <c r="BZ44" s="118" t="e">
        <f t="shared" si="19"/>
        <v>#REF!</v>
      </c>
      <c r="CA44" s="118" t="e">
        <f t="shared" si="19"/>
        <v>#REF!</v>
      </c>
      <c r="CB44" s="118" t="e">
        <f t="shared" si="19"/>
        <v>#REF!</v>
      </c>
      <c r="CC44" s="118" t="e">
        <f t="shared" si="19"/>
        <v>#REF!</v>
      </c>
      <c r="CD44" s="118" t="e">
        <f t="shared" si="19"/>
        <v>#REF!</v>
      </c>
      <c r="CE44" s="118" t="e">
        <f t="shared" si="19"/>
        <v>#REF!</v>
      </c>
      <c r="CF44" s="118" t="e">
        <f t="shared" si="19"/>
        <v>#REF!</v>
      </c>
      <c r="CG44" s="118" t="e">
        <f t="shared" si="19"/>
        <v>#REF!</v>
      </c>
      <c r="CH44" s="118" t="e">
        <f t="shared" si="19"/>
        <v>#REF!</v>
      </c>
      <c r="CI44" s="118" t="e">
        <f t="shared" si="19"/>
        <v>#REF!</v>
      </c>
      <c r="CJ44" s="118" t="e">
        <f t="shared" si="19"/>
        <v>#REF!</v>
      </c>
      <c r="CK44" s="118" t="e">
        <f t="shared" si="19"/>
        <v>#REF!</v>
      </c>
      <c r="CL44" s="118" t="e">
        <f t="shared" si="19"/>
        <v>#REF!</v>
      </c>
      <c r="CM44" s="118" t="e">
        <f t="shared" si="19"/>
        <v>#REF!</v>
      </c>
      <c r="CN44" s="118" t="e">
        <f t="shared" si="19"/>
        <v>#REF!</v>
      </c>
      <c r="CO44" s="118" t="e">
        <f t="shared" si="19"/>
        <v>#REF!</v>
      </c>
      <c r="CP44" s="118" t="e">
        <f t="shared" si="19"/>
        <v>#REF!</v>
      </c>
      <c r="CQ44" s="118" t="e">
        <f t="shared" si="19"/>
        <v>#REF!</v>
      </c>
      <c r="CR44" s="118" t="e">
        <f t="shared" si="19"/>
        <v>#REF!</v>
      </c>
      <c r="CS44" s="118" t="e">
        <f t="shared" si="19"/>
        <v>#REF!</v>
      </c>
      <c r="CT44" s="118" t="e">
        <f t="shared" si="19"/>
        <v>#REF!</v>
      </c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</row>
    <row r="45" spans="2:108" ht="12.75" customHeight="1" x14ac:dyDescent="0.25">
      <c r="B45" s="184"/>
      <c r="H45" s="54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</row>
    <row r="46" spans="2:108" ht="12.75" customHeight="1" x14ac:dyDescent="0.25">
      <c r="B46" s="17" t="s">
        <v>32</v>
      </c>
      <c r="C46" t="s">
        <v>295</v>
      </c>
      <c r="H46" s="54" t="s">
        <v>3</v>
      </c>
      <c r="N46" s="25" t="e">
        <f t="shared" ref="N46" si="20">SUM(P46:DD46)</f>
        <v>#REF!</v>
      </c>
      <c r="P46" s="10" t="e">
        <f>Equity!P50</f>
        <v>#REF!</v>
      </c>
      <c r="Q46" s="10" t="e">
        <f>Equity!Q50</f>
        <v>#REF!</v>
      </c>
      <c r="R46" s="10" t="e">
        <f>Equity!R50</f>
        <v>#REF!</v>
      </c>
      <c r="S46" s="10" t="e">
        <f>Equity!S50</f>
        <v>#REF!</v>
      </c>
      <c r="T46" s="10" t="e">
        <f>Equity!T50</f>
        <v>#REF!</v>
      </c>
      <c r="U46" s="10" t="e">
        <f>Equity!U50</f>
        <v>#REF!</v>
      </c>
      <c r="V46" s="10" t="e">
        <f>Equity!V50</f>
        <v>#REF!</v>
      </c>
      <c r="W46" s="10" t="e">
        <f>Equity!W50</f>
        <v>#REF!</v>
      </c>
      <c r="X46" s="10" t="e">
        <f>Equity!X50</f>
        <v>#REF!</v>
      </c>
      <c r="Y46" s="10" t="e">
        <f>Equity!Y50</f>
        <v>#REF!</v>
      </c>
      <c r="Z46" s="10" t="e">
        <f>Equity!Z50</f>
        <v>#REF!</v>
      </c>
      <c r="AA46" s="10" t="e">
        <f>Equity!AA50</f>
        <v>#REF!</v>
      </c>
      <c r="AB46" s="10" t="e">
        <f>Equity!AB50</f>
        <v>#REF!</v>
      </c>
      <c r="AC46" s="10" t="e">
        <f>Equity!AC50</f>
        <v>#REF!</v>
      </c>
      <c r="AD46" s="10" t="e">
        <f>Equity!AD50</f>
        <v>#REF!</v>
      </c>
      <c r="AE46" s="10" t="e">
        <f>Equity!AE50</f>
        <v>#REF!</v>
      </c>
      <c r="AF46" s="10" t="e">
        <f>Equity!AF50</f>
        <v>#REF!</v>
      </c>
      <c r="AG46" s="10" t="e">
        <f>Equity!AG50</f>
        <v>#REF!</v>
      </c>
      <c r="AH46" s="10" t="e">
        <f>Equity!AH50</f>
        <v>#REF!</v>
      </c>
      <c r="AI46" s="10" t="e">
        <f>Equity!AI50</f>
        <v>#REF!</v>
      </c>
      <c r="AJ46" s="10" t="e">
        <f>Equity!AJ50</f>
        <v>#REF!</v>
      </c>
      <c r="AK46" s="10" t="e">
        <f>Equity!AK50</f>
        <v>#REF!</v>
      </c>
      <c r="AL46" s="10" t="e">
        <f>Equity!AL50</f>
        <v>#REF!</v>
      </c>
      <c r="AM46" s="10" t="e">
        <f>Equity!AM50</f>
        <v>#REF!</v>
      </c>
      <c r="AN46" s="10" t="e">
        <f>Equity!AN50</f>
        <v>#REF!</v>
      </c>
      <c r="AO46" s="10" t="e">
        <f>Equity!AO50</f>
        <v>#REF!</v>
      </c>
      <c r="AP46" s="10" t="e">
        <f>Equity!AP50</f>
        <v>#REF!</v>
      </c>
      <c r="AQ46" s="10" t="e">
        <f>Equity!AQ50</f>
        <v>#REF!</v>
      </c>
      <c r="AR46" s="10" t="e">
        <f>Equity!AR50</f>
        <v>#REF!</v>
      </c>
      <c r="AS46" s="10" t="e">
        <f>Equity!AS50</f>
        <v>#REF!</v>
      </c>
      <c r="AT46" s="10" t="e">
        <f>Equity!AT50</f>
        <v>#REF!</v>
      </c>
      <c r="AU46" s="10" t="e">
        <f>Equity!AU50</f>
        <v>#REF!</v>
      </c>
      <c r="AV46" s="10" t="e">
        <f>Equity!AV50</f>
        <v>#REF!</v>
      </c>
      <c r="AW46" s="10" t="e">
        <f>Equity!AW50</f>
        <v>#REF!</v>
      </c>
      <c r="AX46" s="10" t="e">
        <f>Equity!AX50</f>
        <v>#REF!</v>
      </c>
      <c r="AY46" s="10" t="e">
        <f>Equity!AY50</f>
        <v>#REF!</v>
      </c>
      <c r="AZ46" s="10" t="e">
        <f>Equity!AZ50</f>
        <v>#REF!</v>
      </c>
      <c r="BA46" s="10" t="e">
        <f>Equity!BA50</f>
        <v>#REF!</v>
      </c>
      <c r="BB46" s="10" t="e">
        <f>Equity!BB50</f>
        <v>#REF!</v>
      </c>
      <c r="BC46" s="10" t="e">
        <f>Equity!BC50</f>
        <v>#REF!</v>
      </c>
      <c r="BD46" s="10" t="e">
        <f>Equity!BD50</f>
        <v>#REF!</v>
      </c>
      <c r="BE46" s="10" t="e">
        <f>Equity!BE50</f>
        <v>#REF!</v>
      </c>
      <c r="BF46" s="10" t="e">
        <f>Equity!BF50</f>
        <v>#REF!</v>
      </c>
      <c r="BG46" s="10" t="e">
        <f>Equity!BG50</f>
        <v>#REF!</v>
      </c>
      <c r="BH46" s="10" t="e">
        <f>Equity!BH50</f>
        <v>#REF!</v>
      </c>
      <c r="BI46" s="10" t="e">
        <f>Equity!BI50</f>
        <v>#REF!</v>
      </c>
      <c r="BJ46" s="10" t="e">
        <f>Equity!BJ50</f>
        <v>#REF!</v>
      </c>
      <c r="BK46" s="10" t="e">
        <f>Equity!BK50</f>
        <v>#REF!</v>
      </c>
      <c r="BL46" s="10" t="e">
        <f>Equity!BL50</f>
        <v>#REF!</v>
      </c>
      <c r="BM46" s="10" t="e">
        <f>Equity!BM50</f>
        <v>#REF!</v>
      </c>
      <c r="BN46" s="10" t="e">
        <f>Equity!BN50</f>
        <v>#REF!</v>
      </c>
      <c r="BO46" s="10" t="e">
        <f>Equity!BO50</f>
        <v>#REF!</v>
      </c>
      <c r="BP46" s="10" t="e">
        <f>Equity!BP50</f>
        <v>#REF!</v>
      </c>
      <c r="BQ46" s="10" t="e">
        <f>Equity!BQ50</f>
        <v>#REF!</v>
      </c>
      <c r="BR46" s="10" t="e">
        <f>Equity!BR50</f>
        <v>#REF!</v>
      </c>
      <c r="BS46" s="10" t="e">
        <f>Equity!BS50</f>
        <v>#REF!</v>
      </c>
      <c r="BT46" s="10" t="e">
        <f>Equity!BT50</f>
        <v>#REF!</v>
      </c>
      <c r="BU46" s="10" t="e">
        <f>Equity!BU50</f>
        <v>#REF!</v>
      </c>
      <c r="BV46" s="10" t="e">
        <f>Equity!BV50</f>
        <v>#REF!</v>
      </c>
      <c r="BW46" s="10" t="e">
        <f>Equity!BW50</f>
        <v>#REF!</v>
      </c>
      <c r="BX46" s="10" t="e">
        <f>Equity!BX50</f>
        <v>#REF!</v>
      </c>
      <c r="BY46" s="10" t="e">
        <f>Equity!BY50</f>
        <v>#REF!</v>
      </c>
      <c r="BZ46" s="10" t="e">
        <f>Equity!BZ50</f>
        <v>#REF!</v>
      </c>
      <c r="CA46" s="10" t="e">
        <f>Equity!CA50</f>
        <v>#REF!</v>
      </c>
      <c r="CB46" s="10" t="e">
        <f>Equity!CB50</f>
        <v>#REF!</v>
      </c>
      <c r="CC46" s="10" t="e">
        <f>Equity!CC50</f>
        <v>#REF!</v>
      </c>
      <c r="CD46" s="10" t="e">
        <f>Equity!CD50</f>
        <v>#REF!</v>
      </c>
      <c r="CE46" s="10" t="e">
        <f>Equity!CE50</f>
        <v>#REF!</v>
      </c>
      <c r="CF46" s="10" t="e">
        <f>Equity!CF50</f>
        <v>#REF!</v>
      </c>
      <c r="CG46" s="10" t="e">
        <f>Equity!CG50</f>
        <v>#REF!</v>
      </c>
      <c r="CH46" s="10" t="e">
        <f>Equity!CH50</f>
        <v>#REF!</v>
      </c>
      <c r="CI46" s="10" t="e">
        <f>Equity!CI50</f>
        <v>#REF!</v>
      </c>
      <c r="CJ46" s="10" t="e">
        <f>Equity!CJ50</f>
        <v>#REF!</v>
      </c>
      <c r="CK46" s="10" t="e">
        <f>Equity!CK50</f>
        <v>#REF!</v>
      </c>
      <c r="CL46" s="10" t="e">
        <f>Equity!CL50</f>
        <v>#REF!</v>
      </c>
      <c r="CM46" s="10" t="e">
        <f>Equity!CM50</f>
        <v>#REF!</v>
      </c>
      <c r="CN46" s="10" t="e">
        <f>Equity!CN50</f>
        <v>#REF!</v>
      </c>
      <c r="CO46" s="10" t="e">
        <f>Equity!CO50</f>
        <v>#REF!</v>
      </c>
      <c r="CP46" s="10" t="e">
        <f>Equity!CP50</f>
        <v>#REF!</v>
      </c>
      <c r="CQ46" s="10" t="e">
        <f>Equity!CQ50</f>
        <v>#REF!</v>
      </c>
      <c r="CR46" s="10" t="e">
        <f>Equity!CR50</f>
        <v>#REF!</v>
      </c>
      <c r="CS46" s="10" t="e">
        <f>Equity!CS50</f>
        <v>#REF!</v>
      </c>
      <c r="CT46" s="10" t="e">
        <f>Equity!CT50</f>
        <v>#REF!</v>
      </c>
    </row>
    <row r="47" spans="2:108" ht="12.75" customHeight="1" x14ac:dyDescent="0.25">
      <c r="B47" s="184"/>
      <c r="H47" s="54"/>
    </row>
    <row r="48" spans="2:108" ht="12.75" customHeight="1" x14ac:dyDescent="0.25">
      <c r="B48" s="43" t="s">
        <v>311</v>
      </c>
      <c r="H48" s="54" t="s">
        <v>3</v>
      </c>
      <c r="N48" s="25" t="e">
        <f t="shared" ref="N48" si="21">SUM(P48:DD48)</f>
        <v>#REF!</v>
      </c>
      <c r="P48" s="10" t="e">
        <f t="shared" ref="P48:AJ48" si="22">P42+P44-P46</f>
        <v>#REF!</v>
      </c>
      <c r="Q48" s="10" t="e">
        <f t="shared" si="22"/>
        <v>#REF!</v>
      </c>
      <c r="R48" s="10" t="e">
        <f t="shared" si="22"/>
        <v>#REF!</v>
      </c>
      <c r="S48" s="10" t="e">
        <f t="shared" si="22"/>
        <v>#REF!</v>
      </c>
      <c r="T48" s="10" t="e">
        <f t="shared" si="22"/>
        <v>#REF!</v>
      </c>
      <c r="U48" s="10" t="e">
        <f t="shared" si="22"/>
        <v>#REF!</v>
      </c>
      <c r="V48" s="10" t="e">
        <f t="shared" si="22"/>
        <v>#REF!</v>
      </c>
      <c r="W48" s="10" t="e">
        <f t="shared" si="22"/>
        <v>#REF!</v>
      </c>
      <c r="X48" s="10" t="e">
        <f t="shared" si="22"/>
        <v>#REF!</v>
      </c>
      <c r="Y48" s="10" t="e">
        <f t="shared" si="22"/>
        <v>#REF!</v>
      </c>
      <c r="Z48" s="10" t="e">
        <f t="shared" si="22"/>
        <v>#REF!</v>
      </c>
      <c r="AA48" s="10" t="e">
        <f t="shared" si="22"/>
        <v>#REF!</v>
      </c>
      <c r="AB48" s="10" t="e">
        <f t="shared" si="22"/>
        <v>#REF!</v>
      </c>
      <c r="AC48" s="10" t="e">
        <f t="shared" si="22"/>
        <v>#REF!</v>
      </c>
      <c r="AD48" s="10" t="e">
        <f t="shared" si="22"/>
        <v>#REF!</v>
      </c>
      <c r="AE48" s="10" t="e">
        <f t="shared" si="22"/>
        <v>#REF!</v>
      </c>
      <c r="AF48" s="10" t="e">
        <f t="shared" si="22"/>
        <v>#REF!</v>
      </c>
      <c r="AG48" s="10" t="e">
        <f t="shared" si="22"/>
        <v>#REF!</v>
      </c>
      <c r="AH48" s="10" t="e">
        <f t="shared" si="22"/>
        <v>#REF!</v>
      </c>
      <c r="AI48" s="10" t="e">
        <f t="shared" si="22"/>
        <v>#REF!</v>
      </c>
      <c r="AJ48" s="10" t="e">
        <f t="shared" si="22"/>
        <v>#REF!</v>
      </c>
      <c r="AK48" s="10" t="e">
        <f t="shared" ref="AK48:CT48" si="23">AK42+AK44-AK46</f>
        <v>#REF!</v>
      </c>
      <c r="AL48" s="10" t="e">
        <f t="shared" si="23"/>
        <v>#REF!</v>
      </c>
      <c r="AM48" s="10" t="e">
        <f t="shared" si="23"/>
        <v>#REF!</v>
      </c>
      <c r="AN48" s="10" t="e">
        <f t="shared" si="23"/>
        <v>#REF!</v>
      </c>
      <c r="AO48" s="10" t="e">
        <f t="shared" si="23"/>
        <v>#REF!</v>
      </c>
      <c r="AP48" s="10" t="e">
        <f t="shared" si="23"/>
        <v>#REF!</v>
      </c>
      <c r="AQ48" s="10" t="e">
        <f t="shared" si="23"/>
        <v>#REF!</v>
      </c>
      <c r="AR48" s="10" t="e">
        <f t="shared" si="23"/>
        <v>#REF!</v>
      </c>
      <c r="AS48" s="10" t="e">
        <f t="shared" si="23"/>
        <v>#REF!</v>
      </c>
      <c r="AT48" s="10" t="e">
        <f t="shared" si="23"/>
        <v>#REF!</v>
      </c>
      <c r="AU48" s="10" t="e">
        <f t="shared" si="23"/>
        <v>#REF!</v>
      </c>
      <c r="AV48" s="10" t="e">
        <f t="shared" si="23"/>
        <v>#REF!</v>
      </c>
      <c r="AW48" s="10" t="e">
        <f t="shared" si="23"/>
        <v>#REF!</v>
      </c>
      <c r="AX48" s="10" t="e">
        <f t="shared" si="23"/>
        <v>#REF!</v>
      </c>
      <c r="AY48" s="10" t="e">
        <f t="shared" si="23"/>
        <v>#REF!</v>
      </c>
      <c r="AZ48" s="10" t="e">
        <f t="shared" si="23"/>
        <v>#REF!</v>
      </c>
      <c r="BA48" s="10" t="e">
        <f t="shared" si="23"/>
        <v>#REF!</v>
      </c>
      <c r="BB48" s="10" t="e">
        <f t="shared" si="23"/>
        <v>#REF!</v>
      </c>
      <c r="BC48" s="10" t="e">
        <f t="shared" si="23"/>
        <v>#REF!</v>
      </c>
      <c r="BD48" s="10" t="e">
        <f t="shared" si="23"/>
        <v>#REF!</v>
      </c>
      <c r="BE48" s="10" t="e">
        <f t="shared" si="23"/>
        <v>#REF!</v>
      </c>
      <c r="BF48" s="10" t="e">
        <f t="shared" si="23"/>
        <v>#REF!</v>
      </c>
      <c r="BG48" s="10" t="e">
        <f t="shared" si="23"/>
        <v>#REF!</v>
      </c>
      <c r="BH48" s="10" t="e">
        <f t="shared" si="23"/>
        <v>#REF!</v>
      </c>
      <c r="BI48" s="10" t="e">
        <f t="shared" si="23"/>
        <v>#REF!</v>
      </c>
      <c r="BJ48" s="10" t="e">
        <f t="shared" si="23"/>
        <v>#REF!</v>
      </c>
      <c r="BK48" s="10" t="e">
        <f t="shared" si="23"/>
        <v>#REF!</v>
      </c>
      <c r="BL48" s="10" t="e">
        <f t="shared" si="23"/>
        <v>#REF!</v>
      </c>
      <c r="BM48" s="10" t="e">
        <f t="shared" si="23"/>
        <v>#REF!</v>
      </c>
      <c r="BN48" s="10" t="e">
        <f t="shared" si="23"/>
        <v>#REF!</v>
      </c>
      <c r="BO48" s="10" t="e">
        <f t="shared" si="23"/>
        <v>#REF!</v>
      </c>
      <c r="BP48" s="10" t="e">
        <f t="shared" si="23"/>
        <v>#REF!</v>
      </c>
      <c r="BQ48" s="10" t="e">
        <f t="shared" si="23"/>
        <v>#REF!</v>
      </c>
      <c r="BR48" s="10" t="e">
        <f t="shared" si="23"/>
        <v>#REF!</v>
      </c>
      <c r="BS48" s="10" t="e">
        <f t="shared" si="23"/>
        <v>#REF!</v>
      </c>
      <c r="BT48" s="10" t="e">
        <f t="shared" si="23"/>
        <v>#REF!</v>
      </c>
      <c r="BU48" s="10" t="e">
        <f t="shared" si="23"/>
        <v>#REF!</v>
      </c>
      <c r="BV48" s="10" t="e">
        <f t="shared" si="23"/>
        <v>#REF!</v>
      </c>
      <c r="BW48" s="10" t="e">
        <f t="shared" si="23"/>
        <v>#REF!</v>
      </c>
      <c r="BX48" s="10" t="e">
        <f t="shared" si="23"/>
        <v>#REF!</v>
      </c>
      <c r="BY48" s="10" t="e">
        <f t="shared" si="23"/>
        <v>#REF!</v>
      </c>
      <c r="BZ48" s="10" t="e">
        <f t="shared" si="23"/>
        <v>#REF!</v>
      </c>
      <c r="CA48" s="10" t="e">
        <f t="shared" si="23"/>
        <v>#REF!</v>
      </c>
      <c r="CB48" s="10" t="e">
        <f t="shared" si="23"/>
        <v>#REF!</v>
      </c>
      <c r="CC48" s="10" t="e">
        <f t="shared" si="23"/>
        <v>#REF!</v>
      </c>
      <c r="CD48" s="10" t="e">
        <f t="shared" si="23"/>
        <v>#REF!</v>
      </c>
      <c r="CE48" s="10" t="e">
        <f t="shared" si="23"/>
        <v>#REF!</v>
      </c>
      <c r="CF48" s="10" t="e">
        <f t="shared" si="23"/>
        <v>#REF!</v>
      </c>
      <c r="CG48" s="10" t="e">
        <f t="shared" si="23"/>
        <v>#REF!</v>
      </c>
      <c r="CH48" s="10" t="e">
        <f t="shared" si="23"/>
        <v>#REF!</v>
      </c>
      <c r="CI48" s="10" t="e">
        <f t="shared" si="23"/>
        <v>#REF!</v>
      </c>
      <c r="CJ48" s="10" t="e">
        <f t="shared" si="23"/>
        <v>#REF!</v>
      </c>
      <c r="CK48" s="10" t="e">
        <f t="shared" si="23"/>
        <v>#REF!</v>
      </c>
      <c r="CL48" s="10" t="e">
        <f t="shared" si="23"/>
        <v>#REF!</v>
      </c>
      <c r="CM48" s="10" t="e">
        <f t="shared" si="23"/>
        <v>#REF!</v>
      </c>
      <c r="CN48" s="10" t="e">
        <f t="shared" si="23"/>
        <v>#REF!</v>
      </c>
      <c r="CO48" s="10" t="e">
        <f t="shared" si="23"/>
        <v>#REF!</v>
      </c>
      <c r="CP48" s="10" t="e">
        <f t="shared" si="23"/>
        <v>#REF!</v>
      </c>
      <c r="CQ48" s="10" t="e">
        <f t="shared" si="23"/>
        <v>#REF!</v>
      </c>
      <c r="CR48" s="10" t="e">
        <f t="shared" si="23"/>
        <v>#REF!</v>
      </c>
      <c r="CS48" s="10" t="e">
        <f t="shared" si="23"/>
        <v>#REF!</v>
      </c>
      <c r="CT48" s="10" t="e">
        <f t="shared" si="23"/>
        <v>#REF!</v>
      </c>
    </row>
    <row r="49" spans="1:108" ht="12.75" customHeight="1" x14ac:dyDescent="0.25">
      <c r="H49" s="54"/>
    </row>
    <row r="50" spans="1:108" s="292" customFormat="1" ht="12.75" customHeight="1" x14ac:dyDescent="0.25">
      <c r="A50" s="287" t="s">
        <v>53</v>
      </c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287"/>
      <c r="T50" s="287"/>
      <c r="U50" s="287"/>
      <c r="V50" s="287"/>
      <c r="W50" s="287"/>
      <c r="X50" s="287"/>
      <c r="Y50" s="287"/>
      <c r="Z50" s="287"/>
      <c r="AA50" s="287"/>
      <c r="AB50" s="287"/>
      <c r="AC50" s="287"/>
      <c r="AD50" s="287"/>
      <c r="AE50" s="287"/>
      <c r="AF50" s="287"/>
      <c r="AG50" s="287"/>
      <c r="AH50" s="287"/>
      <c r="AI50" s="287"/>
      <c r="AJ50" s="287"/>
      <c r="AK50" s="287"/>
      <c r="AL50" s="287"/>
      <c r="AM50" s="287"/>
      <c r="AN50" s="287"/>
      <c r="AO50" s="287"/>
      <c r="AP50" s="287"/>
      <c r="AQ50" s="287"/>
      <c r="AR50" s="287"/>
      <c r="AS50" s="287"/>
      <c r="AT50" s="287"/>
      <c r="AU50" s="287"/>
      <c r="AV50" s="287"/>
      <c r="AW50" s="287"/>
      <c r="AX50" s="287"/>
      <c r="AY50" s="287"/>
      <c r="AZ50" s="287"/>
      <c r="BA50" s="287"/>
      <c r="BB50" s="287"/>
      <c r="BC50" s="287"/>
      <c r="BD50" s="287"/>
      <c r="BE50" s="287"/>
      <c r="BF50" s="287"/>
      <c r="BG50" s="287"/>
      <c r="BH50" s="287"/>
      <c r="BI50" s="287"/>
      <c r="BJ50" s="287"/>
      <c r="BK50" s="287"/>
      <c r="BL50" s="287"/>
      <c r="BM50" s="287"/>
      <c r="BN50" s="287"/>
      <c r="BO50" s="287"/>
      <c r="BP50" s="287"/>
      <c r="BQ50" s="287"/>
      <c r="BR50" s="287"/>
      <c r="BS50" s="287"/>
      <c r="BT50" s="287"/>
      <c r="BU50" s="287"/>
      <c r="BV50" s="287"/>
      <c r="BW50" s="287"/>
      <c r="BX50" s="287"/>
      <c r="BY50" s="287"/>
      <c r="BZ50" s="287"/>
      <c r="CA50" s="287"/>
      <c r="CB50" s="287"/>
      <c r="CC50" s="287"/>
      <c r="CD50" s="287"/>
      <c r="CE50" s="287"/>
      <c r="CF50" s="287"/>
      <c r="CG50" s="287"/>
      <c r="CH50" s="287"/>
      <c r="CI50" s="287"/>
      <c r="CJ50" s="287"/>
      <c r="CK50" s="287"/>
      <c r="CL50" s="287"/>
      <c r="CM50" s="287"/>
      <c r="CN50" s="287"/>
      <c r="CO50" s="287"/>
      <c r="CP50" s="287"/>
      <c r="CQ50" s="287"/>
      <c r="CR50" s="287"/>
      <c r="CS50" s="287"/>
      <c r="CT50" s="287"/>
      <c r="CU50" s="287"/>
      <c r="CV50" s="287"/>
      <c r="CW50" s="287"/>
      <c r="CX50" s="287"/>
      <c r="CY50" s="287"/>
      <c r="CZ50" s="287"/>
      <c r="DA50" s="287"/>
      <c r="DB50" s="287"/>
      <c r="DC50" s="287"/>
      <c r="DD50" s="287"/>
    </row>
  </sheetData>
  <conditionalFormatting sqref="CU7:DD7">
    <cfRule type="expression" dxfId="146" priority="12">
      <formula>CU7="Ops"</formula>
    </cfRule>
    <cfRule type="expression" dxfId="145" priority="13">
      <formula>CU7="Const"</formula>
    </cfRule>
  </conditionalFormatting>
  <conditionalFormatting sqref="P7:CT7">
    <cfRule type="expression" dxfId="144" priority="10">
      <formula>P7="Ops"</formula>
    </cfRule>
    <cfRule type="expression" dxfId="143" priority="11">
      <formula>P7="Const"</formula>
    </cfRule>
  </conditionalFormatting>
  <conditionalFormatting sqref="J2:J3">
    <cfRule type="expression" dxfId="142" priority="9">
      <formula>#REF!=TRUE</formula>
    </cfRule>
  </conditionalFormatting>
  <conditionalFormatting sqref="J5:J6">
    <cfRule type="expression" dxfId="141" priority="8">
      <formula>#REF!=TRUE</formula>
    </cfRule>
  </conditionalFormatting>
  <conditionalFormatting sqref="J7">
    <cfRule type="expression" dxfId="140" priority="7">
      <formula>#REF!=TRUE</formula>
    </cfRule>
  </conditionalFormatting>
  <conditionalFormatting sqref="CU44:DD44 CU38:DD39">
    <cfRule type="expression" dxfId="139" priority="5">
      <formula>CU$7="Actuals"</formula>
    </cfRule>
  </conditionalFormatting>
  <conditionalFormatting sqref="CU32:DD32">
    <cfRule type="expression" dxfId="138" priority="4">
      <formula>CU$7="Actuals"</formula>
    </cfRule>
  </conditionalFormatting>
  <conditionalFormatting sqref="CU34:DD34">
    <cfRule type="expression" dxfId="137" priority="3">
      <formula>CU$7="Actuals"</formula>
    </cfRule>
  </conditionalFormatting>
  <conditionalFormatting sqref="CU42:DD42">
    <cfRule type="expression" dxfId="136" priority="2">
      <formula>CU$7="Actuals"</formula>
    </cfRule>
  </conditionalFormatting>
  <conditionalFormatting sqref="CU40:DD40">
    <cfRule type="expression" dxfId="135" priority="1">
      <formula>CU$7="Actuals"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61106-1660-4DF9-99E3-27C812E165B7}">
  <sheetPr codeName="Sheet14">
    <tabColor theme="8" tint="-0.499984740745262"/>
  </sheetPr>
  <dimension ref="A1:DD44"/>
  <sheetViews>
    <sheetView showGridLines="0" zoomScale="50" zoomScaleNormal="50" workbookViewId="0">
      <pane xSplit="14" ySplit="8" topLeftCell="O9" activePane="bottomRight" state="frozen"/>
      <selection activeCell="I11" sqref="I11"/>
      <selection pane="topRight" activeCell="I11" sqref="I11"/>
      <selection pane="bottomLeft" activeCell="I11" sqref="I11"/>
      <selection pane="bottomRight" activeCell="A44" sqref="A44:XFD44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5" width="14.28515625" customWidth="1"/>
    <col min="96" max="98" width="11.140625" customWidth="1"/>
    <col min="99" max="16384" width="9.140625" hidden="1"/>
  </cols>
  <sheetData>
    <row r="1" spans="2:108" s="282" customFormat="1" ht="12.75" customHeight="1" x14ac:dyDescent="0.2">
      <c r="H1" s="284"/>
    </row>
    <row r="2" spans="2:108" s="282" customFormat="1" ht="12.75" customHeight="1" x14ac:dyDescent="0.2">
      <c r="H2" s="284"/>
      <c r="J2" s="285"/>
    </row>
    <row r="3" spans="2:108" s="282" customFormat="1" ht="12.75" customHeight="1" x14ac:dyDescent="0.2">
      <c r="H3" s="284"/>
      <c r="J3" s="286"/>
    </row>
    <row r="4" spans="2:108" s="282" customFormat="1" ht="12.75" customHeight="1" x14ac:dyDescent="0.2">
      <c r="H4" s="284"/>
    </row>
    <row r="5" spans="2:108" s="282" customFormat="1" ht="12.75" customHeight="1" x14ac:dyDescent="0.2">
      <c r="H5" s="284"/>
      <c r="J5" s="285"/>
      <c r="N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2:108" s="282" customFormat="1" ht="12.75" customHeight="1" x14ac:dyDescent="0.2">
      <c r="H6" s="284"/>
      <c r="J6" s="286"/>
      <c r="N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2:108" s="282" customFormat="1" ht="12.75" customHeight="1" x14ac:dyDescent="0.2">
      <c r="H7" s="284"/>
      <c r="J7" s="286"/>
      <c r="N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2:108" s="282" customFormat="1" ht="12.75" customHeight="1" x14ac:dyDescent="0.2">
      <c r="H8" s="284"/>
    </row>
    <row r="9" spans="2:108" ht="12.75" customHeight="1" x14ac:dyDescent="0.25"/>
    <row r="10" spans="2:108" ht="15" x14ac:dyDescent="0.25">
      <c r="B10" s="21" t="s">
        <v>354</v>
      </c>
      <c r="H10" s="54"/>
    </row>
    <row r="11" spans="2:108" ht="15" x14ac:dyDescent="0.25">
      <c r="H11" s="54"/>
    </row>
    <row r="12" spans="2:108" ht="15" x14ac:dyDescent="0.25">
      <c r="B12" s="23" t="s">
        <v>355</v>
      </c>
      <c r="H12" s="54"/>
    </row>
    <row r="13" spans="2:108" ht="15" x14ac:dyDescent="0.25">
      <c r="H13" s="54"/>
    </row>
    <row r="14" spans="2:108" ht="15" x14ac:dyDescent="0.25">
      <c r="B14" t="s">
        <v>356</v>
      </c>
      <c r="H14" s="54" t="s">
        <v>3</v>
      </c>
      <c r="O14" s="10"/>
      <c r="P14" s="10" t="e">
        <f>'T&amp;D'!P47</f>
        <v>#REF!</v>
      </c>
      <c r="Q14" s="10" t="e">
        <f>'T&amp;D'!Q47</f>
        <v>#REF!</v>
      </c>
      <c r="R14" s="10" t="e">
        <f>'T&amp;D'!R47</f>
        <v>#REF!</v>
      </c>
      <c r="S14" s="10" t="e">
        <f>'T&amp;D'!S47</f>
        <v>#REF!</v>
      </c>
      <c r="T14" s="10" t="e">
        <f>'T&amp;D'!T47</f>
        <v>#REF!</v>
      </c>
      <c r="U14" s="10" t="e">
        <f>'T&amp;D'!U47</f>
        <v>#REF!</v>
      </c>
      <c r="V14" s="10" t="e">
        <f>'T&amp;D'!V47</f>
        <v>#REF!</v>
      </c>
      <c r="W14" s="10" t="e">
        <f>'T&amp;D'!W47</f>
        <v>#REF!</v>
      </c>
      <c r="X14" s="10" t="e">
        <f>'T&amp;D'!X47</f>
        <v>#REF!</v>
      </c>
      <c r="Y14" s="10" t="e">
        <f>'T&amp;D'!Y47</f>
        <v>#REF!</v>
      </c>
      <c r="Z14" s="10" t="e">
        <f>'T&amp;D'!Z47</f>
        <v>#REF!</v>
      </c>
      <c r="AA14" s="10" t="e">
        <f>'T&amp;D'!AA47</f>
        <v>#REF!</v>
      </c>
      <c r="AB14" s="10" t="e">
        <f>'T&amp;D'!AB47</f>
        <v>#REF!</v>
      </c>
      <c r="AC14" s="10" t="e">
        <f>'T&amp;D'!AC47</f>
        <v>#REF!</v>
      </c>
      <c r="AD14" s="10" t="e">
        <f>'T&amp;D'!AD47</f>
        <v>#REF!</v>
      </c>
      <c r="AE14" s="10" t="e">
        <f>'T&amp;D'!AE47</f>
        <v>#REF!</v>
      </c>
      <c r="AF14" s="10" t="e">
        <f>'T&amp;D'!AF47</f>
        <v>#REF!</v>
      </c>
      <c r="AG14" s="10" t="e">
        <f>'T&amp;D'!AG47</f>
        <v>#REF!</v>
      </c>
      <c r="AH14" s="10" t="e">
        <f>'T&amp;D'!AH47</f>
        <v>#REF!</v>
      </c>
      <c r="AI14" s="10" t="e">
        <f>'T&amp;D'!AI47</f>
        <v>#REF!</v>
      </c>
      <c r="AJ14" s="10" t="e">
        <f>'T&amp;D'!AJ47</f>
        <v>#REF!</v>
      </c>
      <c r="AK14" s="10" t="e">
        <f>'T&amp;D'!AK47</f>
        <v>#REF!</v>
      </c>
      <c r="AL14" s="10" t="e">
        <f>'T&amp;D'!AL47</f>
        <v>#REF!</v>
      </c>
      <c r="AM14" s="10" t="e">
        <f>'T&amp;D'!AM47</f>
        <v>#REF!</v>
      </c>
      <c r="AN14" s="10" t="e">
        <f>'T&amp;D'!AN47</f>
        <v>#REF!</v>
      </c>
      <c r="AO14" s="10" t="e">
        <f>'T&amp;D'!AO47</f>
        <v>#REF!</v>
      </c>
      <c r="AP14" s="10" t="e">
        <f>'T&amp;D'!AP47</f>
        <v>#REF!</v>
      </c>
      <c r="AQ14" s="10" t="e">
        <f>'T&amp;D'!AQ47</f>
        <v>#REF!</v>
      </c>
      <c r="AR14" s="10" t="e">
        <f>'T&amp;D'!AR47</f>
        <v>#REF!</v>
      </c>
      <c r="AS14" s="10" t="e">
        <f>'T&amp;D'!AS47</f>
        <v>#REF!</v>
      </c>
      <c r="AT14" s="10" t="e">
        <f>'T&amp;D'!AT47</f>
        <v>#REF!</v>
      </c>
      <c r="AU14" s="10" t="e">
        <f>'T&amp;D'!AU47</f>
        <v>#REF!</v>
      </c>
      <c r="AV14" s="10" t="e">
        <f>'T&amp;D'!AV47</f>
        <v>#REF!</v>
      </c>
      <c r="AW14" s="10" t="e">
        <f>'T&amp;D'!AW47</f>
        <v>#REF!</v>
      </c>
      <c r="AX14" s="10" t="e">
        <f>'T&amp;D'!AX47</f>
        <v>#REF!</v>
      </c>
      <c r="AY14" s="10" t="e">
        <f>'T&amp;D'!AY47</f>
        <v>#REF!</v>
      </c>
      <c r="AZ14" s="10" t="e">
        <f>'T&amp;D'!AZ47</f>
        <v>#REF!</v>
      </c>
      <c r="BA14" s="10" t="e">
        <f>'T&amp;D'!BA47</f>
        <v>#REF!</v>
      </c>
      <c r="BB14" s="10" t="e">
        <f>'T&amp;D'!BB47</f>
        <v>#REF!</v>
      </c>
      <c r="BC14" s="10" t="e">
        <f>'T&amp;D'!BC47</f>
        <v>#REF!</v>
      </c>
      <c r="BD14" s="10" t="e">
        <f>'T&amp;D'!BD47</f>
        <v>#REF!</v>
      </c>
      <c r="BE14" s="10" t="e">
        <f>'T&amp;D'!BE47</f>
        <v>#REF!</v>
      </c>
      <c r="BF14" s="10" t="e">
        <f>'T&amp;D'!BF47</f>
        <v>#REF!</v>
      </c>
      <c r="BG14" s="10" t="e">
        <f>'T&amp;D'!BG47</f>
        <v>#REF!</v>
      </c>
      <c r="BH14" s="10" t="e">
        <f>'T&amp;D'!BH47</f>
        <v>#REF!</v>
      </c>
      <c r="BI14" s="10" t="e">
        <f>'T&amp;D'!BI47</f>
        <v>#REF!</v>
      </c>
      <c r="BJ14" s="10" t="e">
        <f>'T&amp;D'!BJ47</f>
        <v>#REF!</v>
      </c>
      <c r="BK14" s="10" t="e">
        <f>'T&amp;D'!BK47</f>
        <v>#REF!</v>
      </c>
      <c r="BL14" s="10" t="e">
        <f>'T&amp;D'!BL47</f>
        <v>#REF!</v>
      </c>
      <c r="BM14" s="10" t="e">
        <f>'T&amp;D'!BM47</f>
        <v>#REF!</v>
      </c>
      <c r="BN14" s="10" t="e">
        <f>'T&amp;D'!BN47</f>
        <v>#REF!</v>
      </c>
      <c r="BO14" s="10" t="e">
        <f>'T&amp;D'!BO47</f>
        <v>#REF!</v>
      </c>
      <c r="BP14" s="10" t="e">
        <f>'T&amp;D'!BP47</f>
        <v>#REF!</v>
      </c>
      <c r="BQ14" s="10" t="e">
        <f>'T&amp;D'!BQ47</f>
        <v>#REF!</v>
      </c>
      <c r="BR14" s="10" t="e">
        <f>'T&amp;D'!BR47</f>
        <v>#REF!</v>
      </c>
      <c r="BS14" s="10" t="e">
        <f>'T&amp;D'!BS47</f>
        <v>#REF!</v>
      </c>
      <c r="BT14" s="10" t="e">
        <f>'T&amp;D'!BT47</f>
        <v>#REF!</v>
      </c>
      <c r="BU14" s="10" t="e">
        <f>'T&amp;D'!BU47</f>
        <v>#REF!</v>
      </c>
      <c r="BV14" s="10" t="e">
        <f>'T&amp;D'!BV47</f>
        <v>#REF!</v>
      </c>
      <c r="BW14" s="10" t="e">
        <f>'T&amp;D'!BW47</f>
        <v>#REF!</v>
      </c>
      <c r="BX14" s="10" t="e">
        <f>'T&amp;D'!BX47</f>
        <v>#REF!</v>
      </c>
      <c r="BY14" s="10" t="e">
        <f>'T&amp;D'!BY47</f>
        <v>#REF!</v>
      </c>
      <c r="BZ14" s="10" t="e">
        <f>'T&amp;D'!BZ47</f>
        <v>#REF!</v>
      </c>
      <c r="CA14" s="10" t="e">
        <f>'T&amp;D'!CA47</f>
        <v>#REF!</v>
      </c>
      <c r="CB14" s="10" t="e">
        <f>'T&amp;D'!CB47</f>
        <v>#REF!</v>
      </c>
      <c r="CC14" s="10" t="e">
        <f>'T&amp;D'!CC47</f>
        <v>#REF!</v>
      </c>
      <c r="CD14" s="10" t="e">
        <f>'T&amp;D'!CD47</f>
        <v>#REF!</v>
      </c>
      <c r="CE14" s="10" t="e">
        <f>'T&amp;D'!CE47</f>
        <v>#REF!</v>
      </c>
      <c r="CF14" s="10" t="e">
        <f>'T&amp;D'!CF47</f>
        <v>#REF!</v>
      </c>
      <c r="CG14" s="10" t="e">
        <f>'T&amp;D'!CG47</f>
        <v>#REF!</v>
      </c>
      <c r="CH14" s="10" t="e">
        <f>'T&amp;D'!CH47</f>
        <v>#REF!</v>
      </c>
      <c r="CI14" s="10" t="e">
        <f>'T&amp;D'!CI47</f>
        <v>#REF!</v>
      </c>
      <c r="CJ14" s="10" t="e">
        <f>'T&amp;D'!CJ47</f>
        <v>#REF!</v>
      </c>
      <c r="CK14" s="10" t="e">
        <f>'T&amp;D'!CK47</f>
        <v>#REF!</v>
      </c>
      <c r="CL14" s="10" t="e">
        <f>'T&amp;D'!CL47</f>
        <v>#REF!</v>
      </c>
      <c r="CM14" s="10" t="e">
        <f>'T&amp;D'!CM47</f>
        <v>#REF!</v>
      </c>
      <c r="CN14" s="10" t="e">
        <f>'T&amp;D'!CN47</f>
        <v>#REF!</v>
      </c>
      <c r="CO14" s="10" t="e">
        <f>'T&amp;D'!CO47</f>
        <v>#REF!</v>
      </c>
      <c r="CP14" s="10" t="e">
        <f>'T&amp;D'!CP47</f>
        <v>#REF!</v>
      </c>
      <c r="CQ14" s="10" t="e">
        <f>'T&amp;D'!CQ47</f>
        <v>#REF!</v>
      </c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</row>
    <row r="15" spans="2:108" ht="15" x14ac:dyDescent="0.25">
      <c r="H15" s="54"/>
    </row>
    <row r="16" spans="2:108" ht="15" x14ac:dyDescent="0.25">
      <c r="B16" s="23" t="s">
        <v>357</v>
      </c>
      <c r="H16" s="54"/>
    </row>
    <row r="17" spans="2:108" ht="15" x14ac:dyDescent="0.25">
      <c r="H17" s="54"/>
    </row>
    <row r="18" spans="2:108" ht="15" x14ac:dyDescent="0.25">
      <c r="B18" t="s">
        <v>178</v>
      </c>
      <c r="H18" s="54"/>
      <c r="P18" s="10" t="e">
        <f>Ops!P72</f>
        <v>#REF!</v>
      </c>
      <c r="Q18" s="10" t="e">
        <f>Ops!Q72</f>
        <v>#REF!</v>
      </c>
      <c r="R18" s="10" t="e">
        <f>Ops!R72</f>
        <v>#REF!</v>
      </c>
      <c r="S18" s="10" t="e">
        <f>Ops!S72</f>
        <v>#REF!</v>
      </c>
      <c r="T18" s="10" t="e">
        <f>Ops!T72</f>
        <v>#REF!</v>
      </c>
      <c r="U18" s="10" t="e">
        <f>Ops!U72</f>
        <v>#REF!</v>
      </c>
      <c r="V18" s="10" t="e">
        <f>Ops!V72</f>
        <v>#REF!</v>
      </c>
      <c r="W18" s="10" t="e">
        <f>Ops!W72</f>
        <v>#REF!</v>
      </c>
      <c r="X18" s="10" t="e">
        <f>Ops!X72</f>
        <v>#REF!</v>
      </c>
      <c r="Y18" s="10" t="e">
        <f>Ops!Y72</f>
        <v>#REF!</v>
      </c>
      <c r="Z18" s="10" t="e">
        <f>Ops!Z72</f>
        <v>#REF!</v>
      </c>
      <c r="AA18" s="10" t="e">
        <f>Ops!AA72</f>
        <v>#REF!</v>
      </c>
      <c r="AB18" s="10" t="e">
        <f>Ops!AB72</f>
        <v>#REF!</v>
      </c>
      <c r="AC18" s="10" t="e">
        <f>Ops!AC72</f>
        <v>#REF!</v>
      </c>
      <c r="AD18" s="10" t="e">
        <f>Ops!AD72</f>
        <v>#REF!</v>
      </c>
      <c r="AE18" s="10" t="e">
        <f>Ops!AE72</f>
        <v>#REF!</v>
      </c>
      <c r="AF18" s="10" t="e">
        <f>Ops!AF72</f>
        <v>#REF!</v>
      </c>
      <c r="AG18" s="10" t="e">
        <f>Ops!AG72</f>
        <v>#REF!</v>
      </c>
      <c r="AH18" s="10" t="e">
        <f>Ops!AH72</f>
        <v>#REF!</v>
      </c>
      <c r="AI18" s="10" t="e">
        <f>Ops!AI72</f>
        <v>#REF!</v>
      </c>
      <c r="AJ18" s="10" t="e">
        <f>Ops!AJ72</f>
        <v>#REF!</v>
      </c>
      <c r="AK18" s="10" t="e">
        <f>Ops!AK72</f>
        <v>#REF!</v>
      </c>
      <c r="AL18" s="10" t="e">
        <f>Ops!AL72</f>
        <v>#REF!</v>
      </c>
      <c r="AM18" s="10" t="e">
        <f>Ops!AM72</f>
        <v>#REF!</v>
      </c>
      <c r="AN18" s="10" t="e">
        <f>Ops!AN72</f>
        <v>#REF!</v>
      </c>
      <c r="AO18" s="10" t="e">
        <f>Ops!AO72</f>
        <v>#REF!</v>
      </c>
      <c r="AP18" s="10" t="e">
        <f>Ops!AP72</f>
        <v>#REF!</v>
      </c>
      <c r="AQ18" s="10" t="e">
        <f>Ops!AQ72</f>
        <v>#REF!</v>
      </c>
      <c r="AR18" s="10" t="e">
        <f>Ops!AR72</f>
        <v>#REF!</v>
      </c>
      <c r="AS18" s="10" t="e">
        <f>Ops!AS72</f>
        <v>#REF!</v>
      </c>
      <c r="AT18" s="10" t="e">
        <f>Ops!AT72</f>
        <v>#REF!</v>
      </c>
      <c r="AU18" s="10" t="e">
        <f>Ops!AU72</f>
        <v>#REF!</v>
      </c>
      <c r="AV18" s="10" t="e">
        <f>Ops!AV72</f>
        <v>#REF!</v>
      </c>
      <c r="AW18" s="10" t="e">
        <f>Ops!AW72</f>
        <v>#REF!</v>
      </c>
      <c r="AX18" s="10" t="e">
        <f>Ops!AX72</f>
        <v>#REF!</v>
      </c>
      <c r="AY18" s="10" t="e">
        <f>Ops!AY72</f>
        <v>#REF!</v>
      </c>
      <c r="AZ18" s="10" t="e">
        <f>Ops!AZ72</f>
        <v>#REF!</v>
      </c>
      <c r="BA18" s="10" t="e">
        <f>Ops!BA72</f>
        <v>#REF!</v>
      </c>
      <c r="BB18" s="10" t="e">
        <f>Ops!BB72</f>
        <v>#REF!</v>
      </c>
      <c r="BC18" s="10" t="e">
        <f>Ops!BC72</f>
        <v>#REF!</v>
      </c>
      <c r="BD18" s="10" t="e">
        <f>Ops!BD72</f>
        <v>#REF!</v>
      </c>
      <c r="BE18" s="10" t="e">
        <f>Ops!BE72</f>
        <v>#REF!</v>
      </c>
      <c r="BF18" s="10" t="e">
        <f>Ops!BF72</f>
        <v>#REF!</v>
      </c>
      <c r="BG18" s="10" t="e">
        <f>Ops!BG72</f>
        <v>#REF!</v>
      </c>
      <c r="BH18" s="10" t="e">
        <f>Ops!BH72</f>
        <v>#REF!</v>
      </c>
      <c r="BI18" s="10" t="e">
        <f>Ops!BI72</f>
        <v>#REF!</v>
      </c>
      <c r="BJ18" s="10" t="e">
        <f>Ops!BJ72</f>
        <v>#REF!</v>
      </c>
      <c r="BK18" s="10" t="e">
        <f>Ops!BK72</f>
        <v>#REF!</v>
      </c>
      <c r="BL18" s="10" t="e">
        <f>Ops!BL72</f>
        <v>#REF!</v>
      </c>
      <c r="BM18" s="10" t="e">
        <f>Ops!BM72</f>
        <v>#REF!</v>
      </c>
      <c r="BN18" s="10" t="e">
        <f>Ops!BN72</f>
        <v>#REF!</v>
      </c>
      <c r="BO18" s="10" t="e">
        <f>Ops!BO72</f>
        <v>#REF!</v>
      </c>
      <c r="BP18" s="10" t="e">
        <f>Ops!BP72</f>
        <v>#REF!</v>
      </c>
      <c r="BQ18" s="10" t="e">
        <f>Ops!BQ72</f>
        <v>#REF!</v>
      </c>
      <c r="BR18" s="10" t="e">
        <f>Ops!BR72</f>
        <v>#REF!</v>
      </c>
      <c r="BS18" s="10" t="e">
        <f>Ops!BS72</f>
        <v>#REF!</v>
      </c>
      <c r="BT18" s="10" t="e">
        <f>Ops!BT72</f>
        <v>#REF!</v>
      </c>
      <c r="BU18" s="10" t="e">
        <f>Ops!BU72</f>
        <v>#REF!</v>
      </c>
      <c r="BV18" s="10" t="e">
        <f>Ops!BV72</f>
        <v>#REF!</v>
      </c>
      <c r="BW18" s="10" t="e">
        <f>Ops!BW72</f>
        <v>#REF!</v>
      </c>
      <c r="BX18" s="10" t="e">
        <f>Ops!BX72</f>
        <v>#REF!</v>
      </c>
      <c r="BY18" s="10" t="e">
        <f>Ops!BY72</f>
        <v>#REF!</v>
      </c>
      <c r="BZ18" s="10" t="e">
        <f>Ops!BZ72</f>
        <v>#REF!</v>
      </c>
      <c r="CA18" s="10" t="e">
        <f>Ops!CA72</f>
        <v>#REF!</v>
      </c>
      <c r="CB18" s="10" t="e">
        <f>Ops!CB72</f>
        <v>#REF!</v>
      </c>
      <c r="CC18" s="10" t="e">
        <f>Ops!CC72</f>
        <v>#REF!</v>
      </c>
      <c r="CD18" s="10" t="e">
        <f>Ops!CD72</f>
        <v>#REF!</v>
      </c>
      <c r="CE18" s="10" t="e">
        <f>Ops!CE72</f>
        <v>#REF!</v>
      </c>
      <c r="CF18" s="10" t="e">
        <f>Ops!CF72</f>
        <v>#REF!</v>
      </c>
      <c r="CG18" s="10" t="e">
        <f>Ops!CG72</f>
        <v>#REF!</v>
      </c>
      <c r="CH18" s="10" t="e">
        <f>Ops!CH72</f>
        <v>#REF!</v>
      </c>
      <c r="CI18" s="10" t="e">
        <f>Ops!CI72</f>
        <v>#REF!</v>
      </c>
      <c r="CJ18" s="10" t="e">
        <f>Ops!CJ72</f>
        <v>#REF!</v>
      </c>
      <c r="CK18" s="10" t="e">
        <f>Ops!CK72</f>
        <v>#REF!</v>
      </c>
      <c r="CL18" s="10" t="e">
        <f>Ops!CL72</f>
        <v>#REF!</v>
      </c>
      <c r="CM18" s="10" t="e">
        <f>Ops!CM72</f>
        <v>#REF!</v>
      </c>
      <c r="CN18" s="10" t="e">
        <f>Ops!CN72</f>
        <v>#REF!</v>
      </c>
      <c r="CO18" s="10" t="e">
        <f>Ops!CO72</f>
        <v>#REF!</v>
      </c>
      <c r="CP18" s="10" t="e">
        <f>Ops!CP72</f>
        <v>#REF!</v>
      </c>
      <c r="CQ18" s="10" t="e">
        <f>Ops!CQ72</f>
        <v>#REF!</v>
      </c>
    </row>
    <row r="19" spans="2:108" ht="15" x14ac:dyDescent="0.25">
      <c r="B19" t="s">
        <v>336</v>
      </c>
      <c r="H19" s="54" t="s">
        <v>3</v>
      </c>
      <c r="O19" s="10"/>
      <c r="P19" s="10" t="e">
        <f>Equity!P71</f>
        <v>#REF!</v>
      </c>
      <c r="Q19" s="10" t="e">
        <f>Equity!Q71</f>
        <v>#REF!</v>
      </c>
      <c r="R19" s="10" t="e">
        <f>Equity!R71</f>
        <v>#REF!</v>
      </c>
      <c r="S19" s="10" t="e">
        <f>Equity!S71</f>
        <v>#REF!</v>
      </c>
      <c r="T19" s="10" t="e">
        <f>Equity!T71</f>
        <v>#REF!</v>
      </c>
      <c r="U19" s="10" t="e">
        <f>Equity!U71</f>
        <v>#REF!</v>
      </c>
      <c r="V19" s="10" t="e">
        <f>Equity!V71</f>
        <v>#REF!</v>
      </c>
      <c r="W19" s="10" t="e">
        <f>Equity!W71</f>
        <v>#REF!</v>
      </c>
      <c r="X19" s="10" t="e">
        <f>Equity!X71</f>
        <v>#REF!</v>
      </c>
      <c r="Y19" s="10" t="e">
        <f>Equity!Y71</f>
        <v>#REF!</v>
      </c>
      <c r="Z19" s="10" t="e">
        <f>Equity!Z71</f>
        <v>#REF!</v>
      </c>
      <c r="AA19" s="10" t="e">
        <f>Equity!AA71</f>
        <v>#REF!</v>
      </c>
      <c r="AB19" s="10" t="e">
        <f>Equity!AB71</f>
        <v>#REF!</v>
      </c>
      <c r="AC19" s="10" t="e">
        <f>Equity!AC71</f>
        <v>#REF!</v>
      </c>
      <c r="AD19" s="10" t="e">
        <f>Equity!AD71</f>
        <v>#REF!</v>
      </c>
      <c r="AE19" s="10" t="e">
        <f>Equity!AE71</f>
        <v>#REF!</v>
      </c>
      <c r="AF19" s="10" t="e">
        <f>Equity!AF71</f>
        <v>#REF!</v>
      </c>
      <c r="AG19" s="10" t="e">
        <f>Equity!AG71</f>
        <v>#REF!</v>
      </c>
      <c r="AH19" s="10" t="e">
        <f>Equity!AH71</f>
        <v>#REF!</v>
      </c>
      <c r="AI19" s="10" t="e">
        <f>Equity!AI71</f>
        <v>#REF!</v>
      </c>
      <c r="AJ19" s="10" t="e">
        <f>Equity!AJ71</f>
        <v>#REF!</v>
      </c>
      <c r="AK19" s="10" t="e">
        <f>Equity!AK71</f>
        <v>#REF!</v>
      </c>
      <c r="AL19" s="10" t="e">
        <f>Equity!AL71</f>
        <v>#REF!</v>
      </c>
      <c r="AM19" s="10" t="e">
        <f>Equity!AM71</f>
        <v>#REF!</v>
      </c>
      <c r="AN19" s="10" t="e">
        <f>Equity!AN71</f>
        <v>#REF!</v>
      </c>
      <c r="AO19" s="10" t="e">
        <f>Equity!AO71</f>
        <v>#REF!</v>
      </c>
      <c r="AP19" s="10" t="e">
        <f>Equity!AP71</f>
        <v>#REF!</v>
      </c>
      <c r="AQ19" s="10" t="e">
        <f>Equity!AQ71</f>
        <v>#REF!</v>
      </c>
      <c r="AR19" s="10" t="e">
        <f>Equity!AR71</f>
        <v>#REF!</v>
      </c>
      <c r="AS19" s="10" t="e">
        <f>Equity!AS71</f>
        <v>#REF!</v>
      </c>
      <c r="AT19" s="10" t="e">
        <f>Equity!AT71</f>
        <v>#REF!</v>
      </c>
      <c r="AU19" s="10" t="e">
        <f>Equity!AU71</f>
        <v>#REF!</v>
      </c>
      <c r="AV19" s="10" t="e">
        <f>Equity!AV71</f>
        <v>#REF!</v>
      </c>
      <c r="AW19" s="10" t="e">
        <f>Equity!AW71</f>
        <v>#REF!</v>
      </c>
      <c r="AX19" s="10" t="e">
        <f>Equity!AX71</f>
        <v>#REF!</v>
      </c>
      <c r="AY19" s="10" t="e">
        <f>Equity!AY71</f>
        <v>#REF!</v>
      </c>
      <c r="AZ19" s="10" t="e">
        <f>Equity!AZ71</f>
        <v>#REF!</v>
      </c>
      <c r="BA19" s="10" t="e">
        <f>Equity!BA71</f>
        <v>#REF!</v>
      </c>
      <c r="BB19" s="10" t="e">
        <f>Equity!BB71</f>
        <v>#REF!</v>
      </c>
      <c r="BC19" s="10" t="e">
        <f>Equity!BC71</f>
        <v>#REF!</v>
      </c>
      <c r="BD19" s="10" t="e">
        <f>Equity!BD71</f>
        <v>#REF!</v>
      </c>
      <c r="BE19" s="10" t="e">
        <f>Equity!BE71</f>
        <v>#REF!</v>
      </c>
      <c r="BF19" s="10" t="e">
        <f>Equity!BF71</f>
        <v>#REF!</v>
      </c>
      <c r="BG19" s="10" t="e">
        <f>Equity!BG71</f>
        <v>#REF!</v>
      </c>
      <c r="BH19" s="10" t="e">
        <f>Equity!BH71</f>
        <v>#REF!</v>
      </c>
      <c r="BI19" s="10" t="e">
        <f>Equity!BI71</f>
        <v>#REF!</v>
      </c>
      <c r="BJ19" s="10" t="e">
        <f>Equity!BJ71</f>
        <v>#REF!</v>
      </c>
      <c r="BK19" s="10" t="e">
        <f>Equity!BK71</f>
        <v>#REF!</v>
      </c>
      <c r="BL19" s="10" t="e">
        <f>Equity!BL71</f>
        <v>#REF!</v>
      </c>
      <c r="BM19" s="10" t="e">
        <f>Equity!BM71</f>
        <v>#REF!</v>
      </c>
      <c r="BN19" s="10" t="e">
        <f>Equity!BN71</f>
        <v>#REF!</v>
      </c>
      <c r="BO19" s="10" t="e">
        <f>Equity!BO71</f>
        <v>#REF!</v>
      </c>
      <c r="BP19" s="10" t="e">
        <f>Equity!BP71</f>
        <v>#REF!</v>
      </c>
      <c r="BQ19" s="10" t="e">
        <f>Equity!BQ71</f>
        <v>#REF!</v>
      </c>
      <c r="BR19" s="10" t="e">
        <f>Equity!BR71</f>
        <v>#REF!</v>
      </c>
      <c r="BS19" s="10" t="e">
        <f>Equity!BS71</f>
        <v>#REF!</v>
      </c>
      <c r="BT19" s="10" t="e">
        <f>Equity!BT71</f>
        <v>#REF!</v>
      </c>
      <c r="BU19" s="10" t="e">
        <f>Equity!BU71</f>
        <v>#REF!</v>
      </c>
      <c r="BV19" s="10" t="e">
        <f>Equity!BV71</f>
        <v>#REF!</v>
      </c>
      <c r="BW19" s="10" t="e">
        <f>Equity!BW71</f>
        <v>#REF!</v>
      </c>
      <c r="BX19" s="10" t="e">
        <f>Equity!BX71</f>
        <v>#REF!</v>
      </c>
      <c r="BY19" s="10" t="e">
        <f>Equity!BY71</f>
        <v>#REF!</v>
      </c>
      <c r="BZ19" s="10" t="e">
        <f>Equity!BZ71</f>
        <v>#REF!</v>
      </c>
      <c r="CA19" s="10" t="e">
        <f>Equity!CA71</f>
        <v>#REF!</v>
      </c>
      <c r="CB19" s="10" t="e">
        <f>Equity!CB71</f>
        <v>#REF!</v>
      </c>
      <c r="CC19" s="10" t="e">
        <f>Equity!CC71</f>
        <v>#REF!</v>
      </c>
      <c r="CD19" s="10" t="e">
        <f>Equity!CD71</f>
        <v>#REF!</v>
      </c>
      <c r="CE19" s="10" t="e">
        <f>Equity!CE71</f>
        <v>#REF!</v>
      </c>
      <c r="CF19" s="10" t="e">
        <f>Equity!CF71</f>
        <v>#REF!</v>
      </c>
      <c r="CG19" s="10" t="e">
        <f>Equity!CG71</f>
        <v>#REF!</v>
      </c>
      <c r="CH19" s="10" t="e">
        <f>Equity!CH71</f>
        <v>#REF!</v>
      </c>
      <c r="CI19" s="10" t="e">
        <f>Equity!CI71</f>
        <v>#REF!</v>
      </c>
      <c r="CJ19" s="10" t="e">
        <f>Equity!CJ71</f>
        <v>#REF!</v>
      </c>
      <c r="CK19" s="10" t="e">
        <f>Equity!CK71</f>
        <v>#REF!</v>
      </c>
      <c r="CL19" s="10" t="e">
        <f>Equity!CL71</f>
        <v>#REF!</v>
      </c>
      <c r="CM19" s="10" t="e">
        <f>Equity!CM71</f>
        <v>#REF!</v>
      </c>
      <c r="CN19" s="10" t="e">
        <f>Equity!CN71</f>
        <v>#REF!</v>
      </c>
      <c r="CO19" s="10" t="e">
        <f>Equity!CO71</f>
        <v>#REF!</v>
      </c>
      <c r="CP19" s="10" t="e">
        <f>Equity!CP71</f>
        <v>#REF!</v>
      </c>
      <c r="CQ19" s="10" t="e">
        <f>Equity!CQ71</f>
        <v>#REF!</v>
      </c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</row>
    <row r="20" spans="2:108" ht="15" x14ac:dyDescent="0.25">
      <c r="H20" s="54"/>
    </row>
    <row r="21" spans="2:108" ht="15" x14ac:dyDescent="0.25">
      <c r="B21" s="162" t="s">
        <v>358</v>
      </c>
      <c r="C21" s="163"/>
      <c r="D21" s="163"/>
      <c r="E21" s="163"/>
      <c r="F21" s="163"/>
      <c r="G21" s="163"/>
      <c r="H21" s="164" t="s">
        <v>3</v>
      </c>
      <c r="I21" s="163"/>
      <c r="J21" s="163"/>
      <c r="K21" s="163"/>
      <c r="L21" s="163"/>
      <c r="M21" s="163"/>
      <c r="N21" s="163"/>
      <c r="O21" s="166"/>
      <c r="P21" s="166" t="e">
        <f>SUM(P14:P19)</f>
        <v>#REF!</v>
      </c>
      <c r="Q21" s="166" t="e">
        <f t="shared" ref="Q21:CB21" si="1">SUM(Q14:Q19)</f>
        <v>#REF!</v>
      </c>
      <c r="R21" s="166" t="e">
        <f t="shared" si="1"/>
        <v>#REF!</v>
      </c>
      <c r="S21" s="166" t="e">
        <f t="shared" si="1"/>
        <v>#REF!</v>
      </c>
      <c r="T21" s="166" t="e">
        <f t="shared" si="1"/>
        <v>#REF!</v>
      </c>
      <c r="U21" s="166" t="e">
        <f t="shared" si="1"/>
        <v>#REF!</v>
      </c>
      <c r="V21" s="166" t="e">
        <f t="shared" si="1"/>
        <v>#REF!</v>
      </c>
      <c r="W21" s="166" t="e">
        <f t="shared" si="1"/>
        <v>#REF!</v>
      </c>
      <c r="X21" s="166" t="e">
        <f t="shared" si="1"/>
        <v>#REF!</v>
      </c>
      <c r="Y21" s="166" t="e">
        <f t="shared" si="1"/>
        <v>#REF!</v>
      </c>
      <c r="Z21" s="166" t="e">
        <f t="shared" si="1"/>
        <v>#REF!</v>
      </c>
      <c r="AA21" s="166" t="e">
        <f t="shared" si="1"/>
        <v>#REF!</v>
      </c>
      <c r="AB21" s="166" t="e">
        <f t="shared" si="1"/>
        <v>#REF!</v>
      </c>
      <c r="AC21" s="166" t="e">
        <f t="shared" si="1"/>
        <v>#REF!</v>
      </c>
      <c r="AD21" s="166" t="e">
        <f t="shared" si="1"/>
        <v>#REF!</v>
      </c>
      <c r="AE21" s="166" t="e">
        <f t="shared" si="1"/>
        <v>#REF!</v>
      </c>
      <c r="AF21" s="166" t="e">
        <f t="shared" si="1"/>
        <v>#REF!</v>
      </c>
      <c r="AG21" s="166" t="e">
        <f t="shared" si="1"/>
        <v>#REF!</v>
      </c>
      <c r="AH21" s="166" t="e">
        <f t="shared" si="1"/>
        <v>#REF!</v>
      </c>
      <c r="AI21" s="166" t="e">
        <f t="shared" si="1"/>
        <v>#REF!</v>
      </c>
      <c r="AJ21" s="166" t="e">
        <f t="shared" si="1"/>
        <v>#REF!</v>
      </c>
      <c r="AK21" s="166" t="e">
        <f t="shared" si="1"/>
        <v>#REF!</v>
      </c>
      <c r="AL21" s="166" t="e">
        <f t="shared" si="1"/>
        <v>#REF!</v>
      </c>
      <c r="AM21" s="166" t="e">
        <f t="shared" si="1"/>
        <v>#REF!</v>
      </c>
      <c r="AN21" s="166" t="e">
        <f t="shared" si="1"/>
        <v>#REF!</v>
      </c>
      <c r="AO21" s="166" t="e">
        <f t="shared" si="1"/>
        <v>#REF!</v>
      </c>
      <c r="AP21" s="166" t="e">
        <f t="shared" si="1"/>
        <v>#REF!</v>
      </c>
      <c r="AQ21" s="166" t="e">
        <f t="shared" si="1"/>
        <v>#REF!</v>
      </c>
      <c r="AR21" s="166" t="e">
        <f t="shared" si="1"/>
        <v>#REF!</v>
      </c>
      <c r="AS21" s="166" t="e">
        <f t="shared" si="1"/>
        <v>#REF!</v>
      </c>
      <c r="AT21" s="166" t="e">
        <f t="shared" si="1"/>
        <v>#REF!</v>
      </c>
      <c r="AU21" s="166" t="e">
        <f t="shared" si="1"/>
        <v>#REF!</v>
      </c>
      <c r="AV21" s="166" t="e">
        <f t="shared" si="1"/>
        <v>#REF!</v>
      </c>
      <c r="AW21" s="166" t="e">
        <f t="shared" si="1"/>
        <v>#REF!</v>
      </c>
      <c r="AX21" s="166" t="e">
        <f t="shared" si="1"/>
        <v>#REF!</v>
      </c>
      <c r="AY21" s="166" t="e">
        <f t="shared" si="1"/>
        <v>#REF!</v>
      </c>
      <c r="AZ21" s="166" t="e">
        <f t="shared" si="1"/>
        <v>#REF!</v>
      </c>
      <c r="BA21" s="166" t="e">
        <f t="shared" si="1"/>
        <v>#REF!</v>
      </c>
      <c r="BB21" s="166" t="e">
        <f t="shared" si="1"/>
        <v>#REF!</v>
      </c>
      <c r="BC21" s="166" t="e">
        <f t="shared" si="1"/>
        <v>#REF!</v>
      </c>
      <c r="BD21" s="166" t="e">
        <f t="shared" si="1"/>
        <v>#REF!</v>
      </c>
      <c r="BE21" s="166" t="e">
        <f t="shared" si="1"/>
        <v>#REF!</v>
      </c>
      <c r="BF21" s="166" t="e">
        <f t="shared" si="1"/>
        <v>#REF!</v>
      </c>
      <c r="BG21" s="166" t="e">
        <f t="shared" si="1"/>
        <v>#REF!</v>
      </c>
      <c r="BH21" s="166" t="e">
        <f t="shared" si="1"/>
        <v>#REF!</v>
      </c>
      <c r="BI21" s="166" t="e">
        <f t="shared" si="1"/>
        <v>#REF!</v>
      </c>
      <c r="BJ21" s="166" t="e">
        <f t="shared" si="1"/>
        <v>#REF!</v>
      </c>
      <c r="BK21" s="166" t="e">
        <f t="shared" si="1"/>
        <v>#REF!</v>
      </c>
      <c r="BL21" s="166" t="e">
        <f t="shared" si="1"/>
        <v>#REF!</v>
      </c>
      <c r="BM21" s="166" t="e">
        <f t="shared" si="1"/>
        <v>#REF!</v>
      </c>
      <c r="BN21" s="166" t="e">
        <f t="shared" si="1"/>
        <v>#REF!</v>
      </c>
      <c r="BO21" s="166" t="e">
        <f t="shared" si="1"/>
        <v>#REF!</v>
      </c>
      <c r="BP21" s="166" t="e">
        <f t="shared" si="1"/>
        <v>#REF!</v>
      </c>
      <c r="BQ21" s="166" t="e">
        <f t="shared" si="1"/>
        <v>#REF!</v>
      </c>
      <c r="BR21" s="166" t="e">
        <f t="shared" si="1"/>
        <v>#REF!</v>
      </c>
      <c r="BS21" s="166" t="e">
        <f t="shared" si="1"/>
        <v>#REF!</v>
      </c>
      <c r="BT21" s="166" t="e">
        <f t="shared" si="1"/>
        <v>#REF!</v>
      </c>
      <c r="BU21" s="166" t="e">
        <f t="shared" si="1"/>
        <v>#REF!</v>
      </c>
      <c r="BV21" s="166" t="e">
        <f t="shared" si="1"/>
        <v>#REF!</v>
      </c>
      <c r="BW21" s="166" t="e">
        <f t="shared" si="1"/>
        <v>#REF!</v>
      </c>
      <c r="BX21" s="166" t="e">
        <f t="shared" si="1"/>
        <v>#REF!</v>
      </c>
      <c r="BY21" s="166" t="e">
        <f t="shared" si="1"/>
        <v>#REF!</v>
      </c>
      <c r="BZ21" s="166" t="e">
        <f t="shared" si="1"/>
        <v>#REF!</v>
      </c>
      <c r="CA21" s="166" t="e">
        <f t="shared" si="1"/>
        <v>#REF!</v>
      </c>
      <c r="CB21" s="166" t="e">
        <f t="shared" si="1"/>
        <v>#REF!</v>
      </c>
      <c r="CC21" s="166" t="e">
        <f t="shared" ref="CC21:CQ21" si="2">SUM(CC14:CC19)</f>
        <v>#REF!</v>
      </c>
      <c r="CD21" s="166" t="e">
        <f t="shared" si="2"/>
        <v>#REF!</v>
      </c>
      <c r="CE21" s="166" t="e">
        <f t="shared" si="2"/>
        <v>#REF!</v>
      </c>
      <c r="CF21" s="166" t="e">
        <f t="shared" si="2"/>
        <v>#REF!</v>
      </c>
      <c r="CG21" s="166" t="e">
        <f t="shared" si="2"/>
        <v>#REF!</v>
      </c>
      <c r="CH21" s="166" t="e">
        <f t="shared" si="2"/>
        <v>#REF!</v>
      </c>
      <c r="CI21" s="166" t="e">
        <f t="shared" si="2"/>
        <v>#REF!</v>
      </c>
      <c r="CJ21" s="166" t="e">
        <f t="shared" si="2"/>
        <v>#REF!</v>
      </c>
      <c r="CK21" s="166" t="e">
        <f t="shared" si="2"/>
        <v>#REF!</v>
      </c>
      <c r="CL21" s="166" t="e">
        <f t="shared" si="2"/>
        <v>#REF!</v>
      </c>
      <c r="CM21" s="166" t="e">
        <f t="shared" si="2"/>
        <v>#REF!</v>
      </c>
      <c r="CN21" s="166" t="e">
        <f t="shared" si="2"/>
        <v>#REF!</v>
      </c>
      <c r="CO21" s="166" t="e">
        <f t="shared" si="2"/>
        <v>#REF!</v>
      </c>
      <c r="CP21" s="166" t="e">
        <f t="shared" si="2"/>
        <v>#REF!</v>
      </c>
      <c r="CQ21" s="166" t="e">
        <f t="shared" si="2"/>
        <v>#REF!</v>
      </c>
      <c r="CR21" s="166"/>
      <c r="CS21" s="166"/>
      <c r="CT21" s="166"/>
      <c r="CU21" s="166"/>
      <c r="CV21" s="166"/>
      <c r="CW21" s="166"/>
      <c r="CX21" s="166"/>
      <c r="CY21" s="166"/>
      <c r="CZ21" s="166"/>
      <c r="DA21" s="166"/>
      <c r="DB21" s="166"/>
      <c r="DC21" s="166"/>
      <c r="DD21" s="166"/>
    </row>
    <row r="22" spans="2:108" ht="15" x14ac:dyDescent="0.25">
      <c r="H22" s="54"/>
    </row>
    <row r="23" spans="2:108" ht="15" x14ac:dyDescent="0.25">
      <c r="B23" s="21" t="s">
        <v>359</v>
      </c>
      <c r="H23" s="54"/>
    </row>
    <row r="24" spans="2:108" ht="15" x14ac:dyDescent="0.25">
      <c r="H24" s="54"/>
    </row>
    <row r="25" spans="2:108" ht="15" x14ac:dyDescent="0.25">
      <c r="B25" s="23" t="s">
        <v>360</v>
      </c>
      <c r="H25" s="54"/>
    </row>
    <row r="26" spans="2:108" ht="15" x14ac:dyDescent="0.25">
      <c r="H26" s="54"/>
    </row>
    <row r="27" spans="2:108" ht="15" x14ac:dyDescent="0.25">
      <c r="B27" t="s">
        <v>74</v>
      </c>
      <c r="H27" s="54" t="s">
        <v>3</v>
      </c>
      <c r="O27" s="10"/>
      <c r="P27" s="10" t="e">
        <f>Financing!P89</f>
        <v>#REF!</v>
      </c>
      <c r="Q27" s="10" t="e">
        <f>Financing!Q89</f>
        <v>#REF!</v>
      </c>
      <c r="R27" s="10" t="e">
        <f>Financing!R89</f>
        <v>#REF!</v>
      </c>
      <c r="S27" s="10" t="e">
        <f>Financing!S89</f>
        <v>#REF!</v>
      </c>
      <c r="T27" s="10" t="e">
        <f>Financing!T89</f>
        <v>#REF!</v>
      </c>
      <c r="U27" s="10" t="e">
        <f>Financing!U89</f>
        <v>#REF!</v>
      </c>
      <c r="V27" s="10" t="e">
        <f>Financing!V89</f>
        <v>#REF!</v>
      </c>
      <c r="W27" s="10" t="e">
        <f>Financing!W89</f>
        <v>#REF!</v>
      </c>
      <c r="X27" s="10" t="e">
        <f>Financing!X89</f>
        <v>#REF!</v>
      </c>
      <c r="Y27" s="10" t="e">
        <f>Financing!Y89</f>
        <v>#REF!</v>
      </c>
      <c r="Z27" s="10" t="e">
        <f>Financing!Z89</f>
        <v>#REF!</v>
      </c>
      <c r="AA27" s="10" t="e">
        <f>Financing!AA89</f>
        <v>#REF!</v>
      </c>
      <c r="AB27" s="10" t="e">
        <f>Financing!AB89</f>
        <v>#REF!</v>
      </c>
      <c r="AC27" s="10" t="e">
        <f>Financing!AC89</f>
        <v>#REF!</v>
      </c>
      <c r="AD27" s="10" t="e">
        <f>Financing!AD89</f>
        <v>#REF!</v>
      </c>
      <c r="AE27" s="10" t="e">
        <f>Financing!AE89</f>
        <v>#REF!</v>
      </c>
      <c r="AF27" s="10" t="e">
        <f>Financing!AF89</f>
        <v>#REF!</v>
      </c>
      <c r="AG27" s="10" t="e">
        <f>Financing!AG89</f>
        <v>#REF!</v>
      </c>
      <c r="AH27" s="10" t="e">
        <f>Financing!AH89</f>
        <v>#REF!</v>
      </c>
      <c r="AI27" s="10" t="e">
        <f>Financing!AI89</f>
        <v>#REF!</v>
      </c>
      <c r="AJ27" s="10" t="e">
        <f>Financing!AJ89</f>
        <v>#REF!</v>
      </c>
      <c r="AK27" s="10" t="e">
        <f>Financing!AK89</f>
        <v>#REF!</v>
      </c>
      <c r="AL27" s="10" t="e">
        <f>Financing!AL89</f>
        <v>#REF!</v>
      </c>
      <c r="AM27" s="10" t="e">
        <f>Financing!AM89</f>
        <v>#REF!</v>
      </c>
      <c r="AN27" s="10" t="e">
        <f>Financing!AN89</f>
        <v>#REF!</v>
      </c>
      <c r="AO27" s="10" t="e">
        <f>Financing!AO89</f>
        <v>#REF!</v>
      </c>
      <c r="AP27" s="10" t="e">
        <f>Financing!AP89</f>
        <v>#REF!</v>
      </c>
      <c r="AQ27" s="10" t="e">
        <f>Financing!AQ89</f>
        <v>#REF!</v>
      </c>
      <c r="AR27" s="10" t="e">
        <f>Financing!AR89</f>
        <v>#REF!</v>
      </c>
      <c r="AS27" s="10" t="e">
        <f>Financing!AS89</f>
        <v>#REF!</v>
      </c>
      <c r="AT27" s="10" t="e">
        <f>Financing!AT89</f>
        <v>#REF!</v>
      </c>
      <c r="AU27" s="10" t="e">
        <f>Financing!AU89</f>
        <v>#REF!</v>
      </c>
      <c r="AV27" s="10" t="e">
        <f>Financing!AV89</f>
        <v>#REF!</v>
      </c>
      <c r="AW27" s="10" t="e">
        <f>Financing!AW89</f>
        <v>#REF!</v>
      </c>
      <c r="AX27" s="10" t="e">
        <f>Financing!AX89</f>
        <v>#REF!</v>
      </c>
      <c r="AY27" s="10" t="e">
        <f>Financing!AY89</f>
        <v>#REF!</v>
      </c>
      <c r="AZ27" s="10" t="e">
        <f>Financing!AZ89</f>
        <v>#REF!</v>
      </c>
      <c r="BA27" s="10" t="e">
        <f>Financing!BA89</f>
        <v>#REF!</v>
      </c>
      <c r="BB27" s="10" t="e">
        <f>Financing!BB89</f>
        <v>#REF!</v>
      </c>
      <c r="BC27" s="10" t="e">
        <f>Financing!BC89</f>
        <v>#REF!</v>
      </c>
      <c r="BD27" s="10" t="e">
        <f>Financing!BD89</f>
        <v>#REF!</v>
      </c>
      <c r="BE27" s="10" t="e">
        <f>Financing!BE89</f>
        <v>#REF!</v>
      </c>
      <c r="BF27" s="10" t="e">
        <f>Financing!BF89</f>
        <v>#REF!</v>
      </c>
      <c r="BG27" s="10" t="e">
        <f>Financing!BG89</f>
        <v>#REF!</v>
      </c>
      <c r="BH27" s="10" t="e">
        <f>Financing!BH89</f>
        <v>#REF!</v>
      </c>
      <c r="BI27" s="10" t="e">
        <f>Financing!BI89</f>
        <v>#REF!</v>
      </c>
      <c r="BJ27" s="10" t="e">
        <f>Financing!BJ89</f>
        <v>#REF!</v>
      </c>
      <c r="BK27" s="10" t="e">
        <f>Financing!BK89</f>
        <v>#REF!</v>
      </c>
      <c r="BL27" s="10" t="e">
        <f>Financing!BL89</f>
        <v>#REF!</v>
      </c>
      <c r="BM27" s="10" t="e">
        <f>Financing!BM89</f>
        <v>#REF!</v>
      </c>
      <c r="BN27" s="10" t="e">
        <f>Financing!BN89</f>
        <v>#REF!</v>
      </c>
      <c r="BO27" s="10" t="e">
        <f>Financing!BO89</f>
        <v>#REF!</v>
      </c>
      <c r="BP27" s="10" t="e">
        <f>Financing!BP89</f>
        <v>#REF!</v>
      </c>
      <c r="BQ27" s="10" t="e">
        <f>Financing!BQ89</f>
        <v>#REF!</v>
      </c>
      <c r="BR27" s="10" t="e">
        <f>Financing!BR89</f>
        <v>#REF!</v>
      </c>
      <c r="BS27" s="10" t="e">
        <f>Financing!BS89</f>
        <v>#REF!</v>
      </c>
      <c r="BT27" s="10" t="e">
        <f>Financing!BT89</f>
        <v>#REF!</v>
      </c>
      <c r="BU27" s="10" t="e">
        <f>Financing!BU89</f>
        <v>#REF!</v>
      </c>
      <c r="BV27" s="10" t="e">
        <f>Financing!BV89</f>
        <v>#REF!</v>
      </c>
      <c r="BW27" s="10" t="e">
        <f>Financing!BW89</f>
        <v>#REF!</v>
      </c>
      <c r="BX27" s="10" t="e">
        <f>Financing!BX89</f>
        <v>#REF!</v>
      </c>
      <c r="BY27" s="10" t="e">
        <f>Financing!BY89</f>
        <v>#REF!</v>
      </c>
      <c r="BZ27" s="10" t="e">
        <f>Financing!BZ89</f>
        <v>#REF!</v>
      </c>
      <c r="CA27" s="10" t="e">
        <f>Financing!CA89</f>
        <v>#REF!</v>
      </c>
      <c r="CB27" s="10" t="e">
        <f>Financing!CB89</f>
        <v>#REF!</v>
      </c>
      <c r="CC27" s="10" t="e">
        <f>Financing!CC89</f>
        <v>#REF!</v>
      </c>
      <c r="CD27" s="10" t="e">
        <f>Financing!CD89</f>
        <v>#REF!</v>
      </c>
      <c r="CE27" s="10" t="e">
        <f>Financing!CE89</f>
        <v>#REF!</v>
      </c>
      <c r="CF27" s="10" t="e">
        <f>Financing!CF89</f>
        <v>#REF!</v>
      </c>
      <c r="CG27" s="10" t="e">
        <f>Financing!CG89</f>
        <v>#REF!</v>
      </c>
      <c r="CH27" s="10" t="e">
        <f>Financing!CH89</f>
        <v>#REF!</v>
      </c>
      <c r="CI27" s="10" t="e">
        <f>Financing!CI89</f>
        <v>#REF!</v>
      </c>
      <c r="CJ27" s="10" t="e">
        <f>Financing!CJ89</f>
        <v>#REF!</v>
      </c>
      <c r="CK27" s="10" t="e">
        <f>Financing!CK89</f>
        <v>#REF!</v>
      </c>
      <c r="CL27" s="10" t="e">
        <f>Financing!CL89</f>
        <v>#REF!</v>
      </c>
      <c r="CM27" s="10" t="e">
        <f>Financing!CM89</f>
        <v>#REF!</v>
      </c>
      <c r="CN27" s="10" t="e">
        <f>Financing!CN89</f>
        <v>#REF!</v>
      </c>
      <c r="CO27" s="10" t="e">
        <f>Financing!CO89</f>
        <v>#REF!</v>
      </c>
      <c r="CP27" s="10" t="e">
        <f>Financing!CP89</f>
        <v>#REF!</v>
      </c>
      <c r="CQ27" s="10" t="e">
        <f>Financing!CQ89</f>
        <v>#REF!</v>
      </c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</row>
    <row r="28" spans="2:108" ht="15" x14ac:dyDescent="0.25">
      <c r="B28" t="s">
        <v>133</v>
      </c>
      <c r="H28" s="54" t="s">
        <v>3</v>
      </c>
      <c r="O28" s="10"/>
      <c r="P28" s="10" t="e">
        <f>Financing!P126</f>
        <v>#REF!</v>
      </c>
      <c r="Q28" s="10" t="e">
        <f>Financing!Q126</f>
        <v>#REF!</v>
      </c>
      <c r="R28" s="10" t="e">
        <f>Financing!R126</f>
        <v>#REF!</v>
      </c>
      <c r="S28" s="10" t="e">
        <f>Financing!S126</f>
        <v>#REF!</v>
      </c>
      <c r="T28" s="10" t="e">
        <f>Financing!T126</f>
        <v>#REF!</v>
      </c>
      <c r="U28" s="10" t="e">
        <f>Financing!U126</f>
        <v>#REF!</v>
      </c>
      <c r="V28" s="10" t="e">
        <f>Financing!V126</f>
        <v>#REF!</v>
      </c>
      <c r="W28" s="10" t="e">
        <f>Financing!W126</f>
        <v>#REF!</v>
      </c>
      <c r="X28" s="10" t="e">
        <f>Financing!X126</f>
        <v>#REF!</v>
      </c>
      <c r="Y28" s="10" t="e">
        <f>Financing!Y126</f>
        <v>#REF!</v>
      </c>
      <c r="Z28" s="10" t="e">
        <f>Financing!Z126</f>
        <v>#REF!</v>
      </c>
      <c r="AA28" s="10" t="e">
        <f>Financing!AA126</f>
        <v>#REF!</v>
      </c>
      <c r="AB28" s="10" t="e">
        <f>Financing!AB126</f>
        <v>#REF!</v>
      </c>
      <c r="AC28" s="10" t="e">
        <f>Financing!AC126</f>
        <v>#REF!</v>
      </c>
      <c r="AD28" s="10" t="e">
        <f>Financing!AD126</f>
        <v>#REF!</v>
      </c>
      <c r="AE28" s="10" t="e">
        <f>Financing!AE126</f>
        <v>#REF!</v>
      </c>
      <c r="AF28" s="10" t="e">
        <f>Financing!AF126</f>
        <v>#REF!</v>
      </c>
      <c r="AG28" s="10" t="e">
        <f>Financing!AG126</f>
        <v>#REF!</v>
      </c>
      <c r="AH28" s="10" t="e">
        <f>Financing!AH126</f>
        <v>#REF!</v>
      </c>
      <c r="AI28" s="10" t="e">
        <f>Financing!AI126</f>
        <v>#REF!</v>
      </c>
      <c r="AJ28" s="10" t="e">
        <f>Financing!AJ126</f>
        <v>#REF!</v>
      </c>
      <c r="AK28" s="10" t="e">
        <f>Financing!AK126</f>
        <v>#REF!</v>
      </c>
      <c r="AL28" s="10" t="e">
        <f>Financing!AL126</f>
        <v>#REF!</v>
      </c>
      <c r="AM28" s="10" t="e">
        <f>Financing!AM126</f>
        <v>#REF!</v>
      </c>
      <c r="AN28" s="10" t="e">
        <f>Financing!AN126</f>
        <v>#REF!</v>
      </c>
      <c r="AO28" s="10" t="e">
        <f>Financing!AO126</f>
        <v>#REF!</v>
      </c>
      <c r="AP28" s="10" t="e">
        <f>Financing!AP126</f>
        <v>#REF!</v>
      </c>
      <c r="AQ28" s="10" t="e">
        <f>Financing!AQ126</f>
        <v>#REF!</v>
      </c>
      <c r="AR28" s="10" t="e">
        <f>Financing!AR126</f>
        <v>#REF!</v>
      </c>
      <c r="AS28" s="10" t="e">
        <f>Financing!AS126</f>
        <v>#REF!</v>
      </c>
      <c r="AT28" s="10" t="e">
        <f>Financing!AT126</f>
        <v>#REF!</v>
      </c>
      <c r="AU28" s="10" t="e">
        <f>Financing!AU126</f>
        <v>#REF!</v>
      </c>
      <c r="AV28" s="10" t="e">
        <f>Financing!AV126</f>
        <v>#REF!</v>
      </c>
      <c r="AW28" s="10" t="e">
        <f>Financing!AW126</f>
        <v>#REF!</v>
      </c>
      <c r="AX28" s="10" t="e">
        <f>Financing!AX126</f>
        <v>#REF!</v>
      </c>
      <c r="AY28" s="10" t="e">
        <f>Financing!AY126</f>
        <v>#REF!</v>
      </c>
      <c r="AZ28" s="10" t="e">
        <f>Financing!AZ126</f>
        <v>#REF!</v>
      </c>
      <c r="BA28" s="10" t="e">
        <f>Financing!BA126</f>
        <v>#REF!</v>
      </c>
      <c r="BB28" s="10" t="e">
        <f>Financing!BB126</f>
        <v>#REF!</v>
      </c>
      <c r="BC28" s="10" t="e">
        <f>Financing!BC126</f>
        <v>#REF!</v>
      </c>
      <c r="BD28" s="10" t="e">
        <f>Financing!BD126</f>
        <v>#REF!</v>
      </c>
      <c r="BE28" s="10" t="e">
        <f>Financing!BE126</f>
        <v>#REF!</v>
      </c>
      <c r="BF28" s="10" t="e">
        <f>Financing!BF126</f>
        <v>#REF!</v>
      </c>
      <c r="BG28" s="10" t="e">
        <f>Financing!BG126</f>
        <v>#REF!</v>
      </c>
      <c r="BH28" s="10" t="e">
        <f>Financing!BH126</f>
        <v>#REF!</v>
      </c>
      <c r="BI28" s="10" t="e">
        <f>Financing!BI126</f>
        <v>#REF!</v>
      </c>
      <c r="BJ28" s="10" t="e">
        <f>Financing!BJ126</f>
        <v>#REF!</v>
      </c>
      <c r="BK28" s="10" t="e">
        <f>Financing!BK126</f>
        <v>#REF!</v>
      </c>
      <c r="BL28" s="10" t="e">
        <f>Financing!BL126</f>
        <v>#REF!</v>
      </c>
      <c r="BM28" s="10" t="e">
        <f>Financing!BM126</f>
        <v>#REF!</v>
      </c>
      <c r="BN28" s="10" t="e">
        <f>Financing!BN126</f>
        <v>#REF!</v>
      </c>
      <c r="BO28" s="10" t="e">
        <f>Financing!BO126</f>
        <v>#REF!</v>
      </c>
      <c r="BP28" s="10" t="e">
        <f>Financing!BP126</f>
        <v>#REF!</v>
      </c>
      <c r="BQ28" s="10" t="e">
        <f>Financing!BQ126</f>
        <v>#REF!</v>
      </c>
      <c r="BR28" s="10" t="e">
        <f>Financing!BR126</f>
        <v>#REF!</v>
      </c>
      <c r="BS28" s="10" t="e">
        <f>Financing!BS126</f>
        <v>#REF!</v>
      </c>
      <c r="BT28" s="10" t="e">
        <f>Financing!BT126</f>
        <v>#REF!</v>
      </c>
      <c r="BU28" s="10" t="e">
        <f>Financing!BU126</f>
        <v>#REF!</v>
      </c>
      <c r="BV28" s="10" t="e">
        <f>Financing!BV126</f>
        <v>#REF!</v>
      </c>
      <c r="BW28" s="10" t="e">
        <f>Financing!BW126</f>
        <v>#REF!</v>
      </c>
      <c r="BX28" s="10" t="e">
        <f>Financing!BX126</f>
        <v>#REF!</v>
      </c>
      <c r="BY28" s="10" t="e">
        <f>Financing!BY126</f>
        <v>#REF!</v>
      </c>
      <c r="BZ28" s="10" t="e">
        <f>Financing!BZ126</f>
        <v>#REF!</v>
      </c>
      <c r="CA28" s="10" t="e">
        <f>Financing!CA126</f>
        <v>#REF!</v>
      </c>
      <c r="CB28" s="10" t="e">
        <f>Financing!CB126</f>
        <v>#REF!</v>
      </c>
      <c r="CC28" s="10" t="e">
        <f>Financing!CC126</f>
        <v>#REF!</v>
      </c>
      <c r="CD28" s="10" t="e">
        <f>Financing!CD126</f>
        <v>#REF!</v>
      </c>
      <c r="CE28" s="10" t="e">
        <f>Financing!CE126</f>
        <v>#REF!</v>
      </c>
      <c r="CF28" s="10" t="e">
        <f>Financing!CF126</f>
        <v>#REF!</v>
      </c>
      <c r="CG28" s="10" t="e">
        <f>Financing!CG126</f>
        <v>#REF!</v>
      </c>
      <c r="CH28" s="10" t="e">
        <f>Financing!CH126</f>
        <v>#REF!</v>
      </c>
      <c r="CI28" s="10" t="e">
        <f>Financing!CI126</f>
        <v>#REF!</v>
      </c>
      <c r="CJ28" s="10" t="e">
        <f>Financing!CJ126</f>
        <v>#REF!</v>
      </c>
      <c r="CK28" s="10" t="e">
        <f>Financing!CK126</f>
        <v>#REF!</v>
      </c>
      <c r="CL28" s="10" t="e">
        <f>Financing!CL126</f>
        <v>#REF!</v>
      </c>
      <c r="CM28" s="10" t="e">
        <f>Financing!CM126</f>
        <v>#REF!</v>
      </c>
      <c r="CN28" s="10" t="e">
        <f>Financing!CN126</f>
        <v>#REF!</v>
      </c>
      <c r="CO28" s="10" t="e">
        <f>Financing!CO126</f>
        <v>#REF!</v>
      </c>
      <c r="CP28" s="10" t="e">
        <f>Financing!CP126</f>
        <v>#REF!</v>
      </c>
      <c r="CQ28" s="10" t="e">
        <f>Financing!CQ126</f>
        <v>#REF!</v>
      </c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</row>
    <row r="29" spans="2:108" ht="15" x14ac:dyDescent="0.25">
      <c r="B29" t="s">
        <v>185</v>
      </c>
      <c r="H29" s="54" t="s">
        <v>3</v>
      </c>
      <c r="O29" s="10"/>
      <c r="P29" s="10" t="e">
        <f>Ops!P81</f>
        <v>#REF!</v>
      </c>
      <c r="Q29" s="10" t="e">
        <f>Ops!Q81</f>
        <v>#REF!</v>
      </c>
      <c r="R29" s="10" t="e">
        <f>Ops!R81</f>
        <v>#REF!</v>
      </c>
      <c r="S29" s="10" t="e">
        <f>Ops!S81</f>
        <v>#REF!</v>
      </c>
      <c r="T29" s="10" t="e">
        <f>Ops!T81</f>
        <v>#REF!</v>
      </c>
      <c r="U29" s="10" t="e">
        <f>Ops!U81</f>
        <v>#REF!</v>
      </c>
      <c r="V29" s="10" t="e">
        <f>Ops!V81</f>
        <v>#REF!</v>
      </c>
      <c r="W29" s="10" t="e">
        <f>Ops!W81</f>
        <v>#REF!</v>
      </c>
      <c r="X29" s="10" t="e">
        <f>Ops!X81</f>
        <v>#REF!</v>
      </c>
      <c r="Y29" s="10" t="e">
        <f>Ops!Y81</f>
        <v>#REF!</v>
      </c>
      <c r="Z29" s="10" t="e">
        <f>Ops!Z81</f>
        <v>#REF!</v>
      </c>
      <c r="AA29" s="10" t="e">
        <f>Ops!AA81</f>
        <v>#REF!</v>
      </c>
      <c r="AB29" s="10" t="e">
        <f>Ops!AB81</f>
        <v>#REF!</v>
      </c>
      <c r="AC29" s="10" t="e">
        <f>Ops!AC81</f>
        <v>#REF!</v>
      </c>
      <c r="AD29" s="10" t="e">
        <f>Ops!AD81</f>
        <v>#REF!</v>
      </c>
      <c r="AE29" s="10" t="e">
        <f>Ops!AE81</f>
        <v>#REF!</v>
      </c>
      <c r="AF29" s="10" t="e">
        <f>Ops!AF81</f>
        <v>#REF!</v>
      </c>
      <c r="AG29" s="10" t="e">
        <f>Ops!AG81</f>
        <v>#REF!</v>
      </c>
      <c r="AH29" s="10" t="e">
        <f>Ops!AH81</f>
        <v>#REF!</v>
      </c>
      <c r="AI29" s="10" t="e">
        <f>Ops!AI81</f>
        <v>#REF!</v>
      </c>
      <c r="AJ29" s="10" t="e">
        <f>Ops!AJ81</f>
        <v>#REF!</v>
      </c>
      <c r="AK29" s="10" t="e">
        <f>Ops!AK81</f>
        <v>#REF!</v>
      </c>
      <c r="AL29" s="10" t="e">
        <f>Ops!AL81</f>
        <v>#REF!</v>
      </c>
      <c r="AM29" s="10" t="e">
        <f>Ops!AM81</f>
        <v>#REF!</v>
      </c>
      <c r="AN29" s="10" t="e">
        <f>Ops!AN81</f>
        <v>#REF!</v>
      </c>
      <c r="AO29" s="10" t="e">
        <f>Ops!AO81</f>
        <v>#REF!</v>
      </c>
      <c r="AP29" s="10" t="e">
        <f>Ops!AP81</f>
        <v>#REF!</v>
      </c>
      <c r="AQ29" s="10" t="e">
        <f>Ops!AQ81</f>
        <v>#REF!</v>
      </c>
      <c r="AR29" s="10" t="e">
        <f>Ops!AR81</f>
        <v>#REF!</v>
      </c>
      <c r="AS29" s="10" t="e">
        <f>Ops!AS81</f>
        <v>#REF!</v>
      </c>
      <c r="AT29" s="10" t="e">
        <f>Ops!AT81</f>
        <v>#REF!</v>
      </c>
      <c r="AU29" s="10" t="e">
        <f>Ops!AU81</f>
        <v>#REF!</v>
      </c>
      <c r="AV29" s="10" t="e">
        <f>Ops!AV81</f>
        <v>#REF!</v>
      </c>
      <c r="AW29" s="10" t="e">
        <f>Ops!AW81</f>
        <v>#REF!</v>
      </c>
      <c r="AX29" s="10" t="e">
        <f>Ops!AX81</f>
        <v>#REF!</v>
      </c>
      <c r="AY29" s="10" t="e">
        <f>Ops!AY81</f>
        <v>#REF!</v>
      </c>
      <c r="AZ29" s="10" t="e">
        <f>Ops!AZ81</f>
        <v>#REF!</v>
      </c>
      <c r="BA29" s="10" t="e">
        <f>Ops!BA81</f>
        <v>#REF!</v>
      </c>
      <c r="BB29" s="10" t="e">
        <f>Ops!BB81</f>
        <v>#REF!</v>
      </c>
      <c r="BC29" s="10" t="e">
        <f>Ops!BC81</f>
        <v>#REF!</v>
      </c>
      <c r="BD29" s="10" t="e">
        <f>Ops!BD81</f>
        <v>#REF!</v>
      </c>
      <c r="BE29" s="10" t="e">
        <f>Ops!BE81</f>
        <v>#REF!</v>
      </c>
      <c r="BF29" s="10" t="e">
        <f>Ops!BF81</f>
        <v>#REF!</v>
      </c>
      <c r="BG29" s="10" t="e">
        <f>Ops!BG81</f>
        <v>#REF!</v>
      </c>
      <c r="BH29" s="10" t="e">
        <f>Ops!BH81</f>
        <v>#REF!</v>
      </c>
      <c r="BI29" s="10" t="e">
        <f>Ops!BI81</f>
        <v>#REF!</v>
      </c>
      <c r="BJ29" s="10" t="e">
        <f>Ops!BJ81</f>
        <v>#REF!</v>
      </c>
      <c r="BK29" s="10" t="e">
        <f>Ops!BK81</f>
        <v>#REF!</v>
      </c>
      <c r="BL29" s="10" t="e">
        <f>Ops!BL81</f>
        <v>#REF!</v>
      </c>
      <c r="BM29" s="10" t="e">
        <f>Ops!BM81</f>
        <v>#REF!</v>
      </c>
      <c r="BN29" s="10" t="e">
        <f>Ops!BN81</f>
        <v>#REF!</v>
      </c>
      <c r="BO29" s="10" t="e">
        <f>Ops!BO81</f>
        <v>#REF!</v>
      </c>
      <c r="BP29" s="10" t="e">
        <f>Ops!BP81</f>
        <v>#REF!</v>
      </c>
      <c r="BQ29" s="10" t="e">
        <f>Ops!BQ81</f>
        <v>#REF!</v>
      </c>
      <c r="BR29" s="10" t="e">
        <f>Ops!BR81</f>
        <v>#REF!</v>
      </c>
      <c r="BS29" s="10" t="e">
        <f>Ops!BS81</f>
        <v>#REF!</v>
      </c>
      <c r="BT29" s="10" t="e">
        <f>Ops!BT81</f>
        <v>#REF!</v>
      </c>
      <c r="BU29" s="10" t="e">
        <f>Ops!BU81</f>
        <v>#REF!</v>
      </c>
      <c r="BV29" s="10" t="e">
        <f>Ops!BV81</f>
        <v>#REF!</v>
      </c>
      <c r="BW29" s="10" t="e">
        <f>Ops!BW81</f>
        <v>#REF!</v>
      </c>
      <c r="BX29" s="10" t="e">
        <f>Ops!BX81</f>
        <v>#REF!</v>
      </c>
      <c r="BY29" s="10" t="e">
        <f>Ops!BY81</f>
        <v>#REF!</v>
      </c>
      <c r="BZ29" s="10" t="e">
        <f>Ops!BZ81</f>
        <v>#REF!</v>
      </c>
      <c r="CA29" s="10" t="e">
        <f>Ops!CA81</f>
        <v>#REF!</v>
      </c>
      <c r="CB29" s="10" t="e">
        <f>Ops!CB81</f>
        <v>#REF!</v>
      </c>
      <c r="CC29" s="10" t="e">
        <f>Ops!CC81</f>
        <v>#REF!</v>
      </c>
      <c r="CD29" s="10" t="e">
        <f>Ops!CD81</f>
        <v>#REF!</v>
      </c>
      <c r="CE29" s="10" t="e">
        <f>Ops!CE81</f>
        <v>#REF!</v>
      </c>
      <c r="CF29" s="10" t="e">
        <f>Ops!CF81</f>
        <v>#REF!</v>
      </c>
      <c r="CG29" s="10" t="e">
        <f>Ops!CG81</f>
        <v>#REF!</v>
      </c>
      <c r="CH29" s="10" t="e">
        <f>Ops!CH81</f>
        <v>#REF!</v>
      </c>
      <c r="CI29" s="10" t="e">
        <f>Ops!CI81</f>
        <v>#REF!</v>
      </c>
      <c r="CJ29" s="10" t="e">
        <f>Ops!CJ81</f>
        <v>#REF!</v>
      </c>
      <c r="CK29" s="10" t="e">
        <f>Ops!CK81</f>
        <v>#REF!</v>
      </c>
      <c r="CL29" s="10" t="e">
        <f>Ops!CL81</f>
        <v>#REF!</v>
      </c>
      <c r="CM29" s="10" t="e">
        <f>Ops!CM81</f>
        <v>#REF!</v>
      </c>
      <c r="CN29" s="10" t="e">
        <f>Ops!CN81</f>
        <v>#REF!</v>
      </c>
      <c r="CO29" s="10" t="e">
        <f>Ops!CO81</f>
        <v>#REF!</v>
      </c>
      <c r="CP29" s="10" t="e">
        <f>Ops!CP81</f>
        <v>#REF!</v>
      </c>
      <c r="CQ29" s="10" t="e">
        <f>Ops!CQ81</f>
        <v>#REF!</v>
      </c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</row>
    <row r="30" spans="2:108" ht="15" x14ac:dyDescent="0.25">
      <c r="H30" s="54"/>
    </row>
    <row r="31" spans="2:108" ht="15" x14ac:dyDescent="0.25">
      <c r="B31" s="23" t="s">
        <v>23</v>
      </c>
      <c r="H31" s="54"/>
    </row>
    <row r="32" spans="2:108" ht="15" x14ac:dyDescent="0.25">
      <c r="B32" s="23"/>
      <c r="H32" s="54"/>
    </row>
    <row r="33" spans="1:108" ht="15" x14ac:dyDescent="0.25">
      <c r="B33" t="s">
        <v>296</v>
      </c>
      <c r="H33" s="54" t="s">
        <v>3</v>
      </c>
      <c r="O33" s="10"/>
      <c r="P33" s="10" t="e">
        <f>Equity!P65</f>
        <v>#REF!</v>
      </c>
      <c r="Q33" s="10" t="e">
        <f>Equity!Q65</f>
        <v>#REF!</v>
      </c>
      <c r="R33" s="10" t="e">
        <f>Equity!R65</f>
        <v>#REF!</v>
      </c>
      <c r="S33" s="10" t="e">
        <f>Equity!S65</f>
        <v>#REF!</v>
      </c>
      <c r="T33" s="10" t="e">
        <f>Equity!T65</f>
        <v>#REF!</v>
      </c>
      <c r="U33" s="10" t="e">
        <f>Equity!U65</f>
        <v>#REF!</v>
      </c>
      <c r="V33" s="10" t="e">
        <f>Equity!V65</f>
        <v>#REF!</v>
      </c>
      <c r="W33" s="10" t="e">
        <f>Equity!W65</f>
        <v>#REF!</v>
      </c>
      <c r="X33" s="10" t="e">
        <f>Equity!X65</f>
        <v>#REF!</v>
      </c>
      <c r="Y33" s="10" t="e">
        <f>Equity!Y65</f>
        <v>#REF!</v>
      </c>
      <c r="Z33" s="10" t="e">
        <f>Equity!Z65</f>
        <v>#REF!</v>
      </c>
      <c r="AA33" s="10" t="e">
        <f>Equity!AA65</f>
        <v>#REF!</v>
      </c>
      <c r="AB33" s="10" t="e">
        <f>Equity!AB65</f>
        <v>#REF!</v>
      </c>
      <c r="AC33" s="10" t="e">
        <f>Equity!AC65</f>
        <v>#REF!</v>
      </c>
      <c r="AD33" s="10" t="e">
        <f>Equity!AD65</f>
        <v>#REF!</v>
      </c>
      <c r="AE33" s="10" t="e">
        <f>Equity!AE65</f>
        <v>#REF!</v>
      </c>
      <c r="AF33" s="10" t="e">
        <f>Equity!AF65</f>
        <v>#REF!</v>
      </c>
      <c r="AG33" s="10" t="e">
        <f>Equity!AG65</f>
        <v>#REF!</v>
      </c>
      <c r="AH33" s="10" t="e">
        <f>Equity!AH65</f>
        <v>#REF!</v>
      </c>
      <c r="AI33" s="10" t="e">
        <f>Equity!AI65</f>
        <v>#REF!</v>
      </c>
      <c r="AJ33" s="10" t="e">
        <f>Equity!AJ65</f>
        <v>#REF!</v>
      </c>
      <c r="AK33" s="10" t="e">
        <f>Equity!AK65</f>
        <v>#REF!</v>
      </c>
      <c r="AL33" s="10" t="e">
        <f>Equity!AL65</f>
        <v>#REF!</v>
      </c>
      <c r="AM33" s="10" t="e">
        <f>Equity!AM65</f>
        <v>#REF!</v>
      </c>
      <c r="AN33" s="10" t="e">
        <f>Equity!AN65</f>
        <v>#REF!</v>
      </c>
      <c r="AO33" s="10" t="e">
        <f>Equity!AO65</f>
        <v>#REF!</v>
      </c>
      <c r="AP33" s="10" t="e">
        <f>Equity!AP65</f>
        <v>#REF!</v>
      </c>
      <c r="AQ33" s="10" t="e">
        <f>Equity!AQ65</f>
        <v>#REF!</v>
      </c>
      <c r="AR33" s="10" t="e">
        <f>Equity!AR65</f>
        <v>#REF!</v>
      </c>
      <c r="AS33" s="10" t="e">
        <f>Equity!AS65</f>
        <v>#REF!</v>
      </c>
      <c r="AT33" s="10" t="e">
        <f>Equity!AT65</f>
        <v>#REF!</v>
      </c>
      <c r="AU33" s="10" t="e">
        <f>Equity!AU65</f>
        <v>#REF!</v>
      </c>
      <c r="AV33" s="10" t="e">
        <f>Equity!AV65</f>
        <v>#REF!</v>
      </c>
      <c r="AW33" s="10" t="e">
        <f>Equity!AW65</f>
        <v>#REF!</v>
      </c>
      <c r="AX33" s="10" t="e">
        <f>Equity!AX65</f>
        <v>#REF!</v>
      </c>
      <c r="AY33" s="10" t="e">
        <f>Equity!AY65</f>
        <v>#REF!</v>
      </c>
      <c r="AZ33" s="10" t="e">
        <f>Equity!AZ65</f>
        <v>#REF!</v>
      </c>
      <c r="BA33" s="10" t="e">
        <f>Equity!BA65</f>
        <v>#REF!</v>
      </c>
      <c r="BB33" s="10" t="e">
        <f>Equity!BB65</f>
        <v>#REF!</v>
      </c>
      <c r="BC33" s="10" t="e">
        <f>Equity!BC65</f>
        <v>#REF!</v>
      </c>
      <c r="BD33" s="10" t="e">
        <f>Equity!BD65</f>
        <v>#REF!</v>
      </c>
      <c r="BE33" s="10" t="e">
        <f>Equity!BE65</f>
        <v>#REF!</v>
      </c>
      <c r="BF33" s="10" t="e">
        <f>Equity!BF65</f>
        <v>#REF!</v>
      </c>
      <c r="BG33" s="10" t="e">
        <f>Equity!BG65</f>
        <v>#REF!</v>
      </c>
      <c r="BH33" s="10" t="e">
        <f>Equity!BH65</f>
        <v>#REF!</v>
      </c>
      <c r="BI33" s="10" t="e">
        <f>Equity!BI65</f>
        <v>#REF!</v>
      </c>
      <c r="BJ33" s="10" t="e">
        <f>Equity!BJ65</f>
        <v>#REF!</v>
      </c>
      <c r="BK33" s="10" t="e">
        <f>Equity!BK65</f>
        <v>#REF!</v>
      </c>
      <c r="BL33" s="10" t="e">
        <f>Equity!BL65</f>
        <v>#REF!</v>
      </c>
      <c r="BM33" s="10" t="e">
        <f>Equity!BM65</f>
        <v>#REF!</v>
      </c>
      <c r="BN33" s="10" t="e">
        <f>Equity!BN65</f>
        <v>#REF!</v>
      </c>
      <c r="BO33" s="10" t="e">
        <f>Equity!BO65</f>
        <v>#REF!</v>
      </c>
      <c r="BP33" s="10" t="e">
        <f>Equity!BP65</f>
        <v>#REF!</v>
      </c>
      <c r="BQ33" s="10" t="e">
        <f>Equity!BQ65</f>
        <v>#REF!</v>
      </c>
      <c r="BR33" s="10" t="e">
        <f>Equity!BR65</f>
        <v>#REF!</v>
      </c>
      <c r="BS33" s="10" t="e">
        <f>Equity!BS65</f>
        <v>#REF!</v>
      </c>
      <c r="BT33" s="10" t="e">
        <f>Equity!BT65</f>
        <v>#REF!</v>
      </c>
      <c r="BU33" s="10" t="e">
        <f>Equity!BU65</f>
        <v>#REF!</v>
      </c>
      <c r="BV33" s="10" t="e">
        <f>Equity!BV65</f>
        <v>#REF!</v>
      </c>
      <c r="BW33" s="10" t="e">
        <f>Equity!BW65</f>
        <v>#REF!</v>
      </c>
      <c r="BX33" s="10" t="e">
        <f>Equity!BX65</f>
        <v>#REF!</v>
      </c>
      <c r="BY33" s="10" t="e">
        <f>Equity!BY65</f>
        <v>#REF!</v>
      </c>
      <c r="BZ33" s="10" t="e">
        <f>Equity!BZ65</f>
        <v>#REF!</v>
      </c>
      <c r="CA33" s="10" t="e">
        <f>Equity!CA65</f>
        <v>#REF!</v>
      </c>
      <c r="CB33" s="10" t="e">
        <f>Equity!CB65</f>
        <v>#REF!</v>
      </c>
      <c r="CC33" s="10" t="e">
        <f>Equity!CC65</f>
        <v>#REF!</v>
      </c>
      <c r="CD33" s="10" t="e">
        <f>Equity!CD65</f>
        <v>#REF!</v>
      </c>
      <c r="CE33" s="10" t="e">
        <f>Equity!CE65</f>
        <v>#REF!</v>
      </c>
      <c r="CF33" s="10" t="e">
        <f>Equity!CF65</f>
        <v>#REF!</v>
      </c>
      <c r="CG33" s="10" t="e">
        <f>Equity!CG65</f>
        <v>#REF!</v>
      </c>
      <c r="CH33" s="10" t="e">
        <f>Equity!CH65</f>
        <v>#REF!</v>
      </c>
      <c r="CI33" s="10" t="e">
        <f>Equity!CI65</f>
        <v>#REF!</v>
      </c>
      <c r="CJ33" s="10" t="e">
        <f>Equity!CJ65</f>
        <v>#REF!</v>
      </c>
      <c r="CK33" s="10" t="e">
        <f>Equity!CK65</f>
        <v>#REF!</v>
      </c>
      <c r="CL33" s="10" t="e">
        <f>Equity!CL65</f>
        <v>#REF!</v>
      </c>
      <c r="CM33" s="10" t="e">
        <f>Equity!CM65</f>
        <v>#REF!</v>
      </c>
      <c r="CN33" s="10" t="e">
        <f>Equity!CN65</f>
        <v>#REF!</v>
      </c>
      <c r="CO33" s="10" t="e">
        <f>Equity!CO65</f>
        <v>#REF!</v>
      </c>
      <c r="CP33" s="10" t="e">
        <f>Equity!CP65</f>
        <v>#REF!</v>
      </c>
      <c r="CQ33" s="10" t="e">
        <f>Equity!CQ65</f>
        <v>#REF!</v>
      </c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</row>
    <row r="34" spans="1:108" ht="15" x14ac:dyDescent="0.25">
      <c r="B34" t="s">
        <v>361</v>
      </c>
      <c r="H34" s="54" t="s">
        <v>3</v>
      </c>
      <c r="O34" s="10"/>
      <c r="P34" s="10" t="e">
        <f>Equity!P59</f>
        <v>#REF!</v>
      </c>
      <c r="Q34" s="10" t="e">
        <f>Equity!Q59</f>
        <v>#REF!</v>
      </c>
      <c r="R34" s="10" t="e">
        <f>Equity!R59</f>
        <v>#REF!</v>
      </c>
      <c r="S34" s="10" t="e">
        <f>Equity!S59</f>
        <v>#REF!</v>
      </c>
      <c r="T34" s="10" t="e">
        <f>Equity!T59</f>
        <v>#REF!</v>
      </c>
      <c r="U34" s="10" t="e">
        <f>Equity!U59</f>
        <v>#REF!</v>
      </c>
      <c r="V34" s="10" t="e">
        <f>Equity!V59</f>
        <v>#REF!</v>
      </c>
      <c r="W34" s="10" t="e">
        <f>Equity!W59</f>
        <v>#REF!</v>
      </c>
      <c r="X34" s="10" t="e">
        <f>Equity!X59</f>
        <v>#REF!</v>
      </c>
      <c r="Y34" s="10" t="e">
        <f>Equity!Y59</f>
        <v>#REF!</v>
      </c>
      <c r="Z34" s="10" t="e">
        <f>Equity!Z59</f>
        <v>#REF!</v>
      </c>
      <c r="AA34" s="10" t="e">
        <f>Equity!AA59</f>
        <v>#REF!</v>
      </c>
      <c r="AB34" s="10" t="e">
        <f>Equity!AB59</f>
        <v>#REF!</v>
      </c>
      <c r="AC34" s="10" t="e">
        <f>Equity!AC59</f>
        <v>#REF!</v>
      </c>
      <c r="AD34" s="10" t="e">
        <f>Equity!AD59</f>
        <v>#REF!</v>
      </c>
      <c r="AE34" s="10" t="e">
        <f>Equity!AE59</f>
        <v>#REF!</v>
      </c>
      <c r="AF34" s="10" t="e">
        <f>Equity!AF59</f>
        <v>#REF!</v>
      </c>
      <c r="AG34" s="10" t="e">
        <f>Equity!AG59</f>
        <v>#REF!</v>
      </c>
      <c r="AH34" s="10" t="e">
        <f>Equity!AH59</f>
        <v>#REF!</v>
      </c>
      <c r="AI34" s="10" t="e">
        <f>Equity!AI59</f>
        <v>#REF!</v>
      </c>
      <c r="AJ34" s="10" t="e">
        <f>Equity!AJ59</f>
        <v>#REF!</v>
      </c>
      <c r="AK34" s="10" t="e">
        <f>Equity!AK59</f>
        <v>#REF!</v>
      </c>
      <c r="AL34" s="10" t="e">
        <f>Equity!AL59</f>
        <v>#REF!</v>
      </c>
      <c r="AM34" s="10" t="e">
        <f>Equity!AM59</f>
        <v>#REF!</v>
      </c>
      <c r="AN34" s="10" t="e">
        <f>Equity!AN59</f>
        <v>#REF!</v>
      </c>
      <c r="AO34" s="10" t="e">
        <f>Equity!AO59</f>
        <v>#REF!</v>
      </c>
      <c r="AP34" s="10" t="e">
        <f>Equity!AP59</f>
        <v>#REF!</v>
      </c>
      <c r="AQ34" s="10" t="e">
        <f>Equity!AQ59</f>
        <v>#REF!</v>
      </c>
      <c r="AR34" s="10" t="e">
        <f>Equity!AR59</f>
        <v>#REF!</v>
      </c>
      <c r="AS34" s="10" t="e">
        <f>Equity!AS59</f>
        <v>#REF!</v>
      </c>
      <c r="AT34" s="10" t="e">
        <f>Equity!AT59</f>
        <v>#REF!</v>
      </c>
      <c r="AU34" s="10" t="e">
        <f>Equity!AU59</f>
        <v>#REF!</v>
      </c>
      <c r="AV34" s="10" t="e">
        <f>Equity!AV59</f>
        <v>#REF!</v>
      </c>
      <c r="AW34" s="10" t="e">
        <f>Equity!AW59</f>
        <v>#REF!</v>
      </c>
      <c r="AX34" s="10" t="e">
        <f>Equity!AX59</f>
        <v>#REF!</v>
      </c>
      <c r="AY34" s="10" t="e">
        <f>Equity!AY59</f>
        <v>#REF!</v>
      </c>
      <c r="AZ34" s="10" t="e">
        <f>Equity!AZ59</f>
        <v>#REF!</v>
      </c>
      <c r="BA34" s="10" t="e">
        <f>Equity!BA59</f>
        <v>#REF!</v>
      </c>
      <c r="BB34" s="10" t="e">
        <f>Equity!BB59</f>
        <v>#REF!</v>
      </c>
      <c r="BC34" s="10" t="e">
        <f>Equity!BC59</f>
        <v>#REF!</v>
      </c>
      <c r="BD34" s="10" t="e">
        <f>Equity!BD59</f>
        <v>#REF!</v>
      </c>
      <c r="BE34" s="10" t="e">
        <f>Equity!BE59</f>
        <v>#REF!</v>
      </c>
      <c r="BF34" s="10" t="e">
        <f>Equity!BF59</f>
        <v>#REF!</v>
      </c>
      <c r="BG34" s="10" t="e">
        <f>Equity!BG59</f>
        <v>#REF!</v>
      </c>
      <c r="BH34" s="10" t="e">
        <f>Equity!BH59</f>
        <v>#REF!</v>
      </c>
      <c r="BI34" s="10" t="e">
        <f>Equity!BI59</f>
        <v>#REF!</v>
      </c>
      <c r="BJ34" s="10" t="e">
        <f>Equity!BJ59</f>
        <v>#REF!</v>
      </c>
      <c r="BK34" s="10" t="e">
        <f>Equity!BK59</f>
        <v>#REF!</v>
      </c>
      <c r="BL34" s="10" t="e">
        <f>Equity!BL59</f>
        <v>#REF!</v>
      </c>
      <c r="BM34" s="10" t="e">
        <f>Equity!BM59</f>
        <v>#REF!</v>
      </c>
      <c r="BN34" s="10" t="e">
        <f>Equity!BN59</f>
        <v>#REF!</v>
      </c>
      <c r="BO34" s="10" t="e">
        <f>Equity!BO59</f>
        <v>#REF!</v>
      </c>
      <c r="BP34" s="10" t="e">
        <f>Equity!BP59</f>
        <v>#REF!</v>
      </c>
      <c r="BQ34" s="10" t="e">
        <f>Equity!BQ59</f>
        <v>#REF!</v>
      </c>
      <c r="BR34" s="10" t="e">
        <f>Equity!BR59</f>
        <v>#REF!</v>
      </c>
      <c r="BS34" s="10" t="e">
        <f>Equity!BS59</f>
        <v>#REF!</v>
      </c>
      <c r="BT34" s="10" t="e">
        <f>Equity!BT59</f>
        <v>#REF!</v>
      </c>
      <c r="BU34" s="10" t="e">
        <f>Equity!BU59</f>
        <v>#REF!</v>
      </c>
      <c r="BV34" s="10" t="e">
        <f>Equity!BV59</f>
        <v>#REF!</v>
      </c>
      <c r="BW34" s="10" t="e">
        <f>Equity!BW59</f>
        <v>#REF!</v>
      </c>
      <c r="BX34" s="10" t="e">
        <f>Equity!BX59</f>
        <v>#REF!</v>
      </c>
      <c r="BY34" s="10" t="e">
        <f>Equity!BY59</f>
        <v>#REF!</v>
      </c>
      <c r="BZ34" s="10" t="e">
        <f>Equity!BZ59</f>
        <v>#REF!</v>
      </c>
      <c r="CA34" s="10" t="e">
        <f>Equity!CA59</f>
        <v>#REF!</v>
      </c>
      <c r="CB34" s="10" t="e">
        <f>Equity!CB59</f>
        <v>#REF!</v>
      </c>
      <c r="CC34" s="10" t="e">
        <f>Equity!CC59</f>
        <v>#REF!</v>
      </c>
      <c r="CD34" s="10" t="e">
        <f>Equity!CD59</f>
        <v>#REF!</v>
      </c>
      <c r="CE34" s="10" t="e">
        <f>Equity!CE59</f>
        <v>#REF!</v>
      </c>
      <c r="CF34" s="10" t="e">
        <f>Equity!CF59</f>
        <v>#REF!</v>
      </c>
      <c r="CG34" s="10" t="e">
        <f>Equity!CG59</f>
        <v>#REF!</v>
      </c>
      <c r="CH34" s="10" t="e">
        <f>Equity!CH59</f>
        <v>#REF!</v>
      </c>
      <c r="CI34" s="10" t="e">
        <f>Equity!CI59</f>
        <v>#REF!</v>
      </c>
      <c r="CJ34" s="10" t="e">
        <f>Equity!CJ59</f>
        <v>#REF!</v>
      </c>
      <c r="CK34" s="10" t="e">
        <f>Equity!CK59</f>
        <v>#REF!</v>
      </c>
      <c r="CL34" s="10" t="e">
        <f>Equity!CL59</f>
        <v>#REF!</v>
      </c>
      <c r="CM34" s="10" t="e">
        <f>Equity!CM59</f>
        <v>#REF!</v>
      </c>
      <c r="CN34" s="10" t="e">
        <f>Equity!CN59</f>
        <v>#REF!</v>
      </c>
      <c r="CO34" s="10" t="e">
        <f>Equity!CO59</f>
        <v>#REF!</v>
      </c>
      <c r="CP34" s="10" t="e">
        <f>Equity!CP59</f>
        <v>#REF!</v>
      </c>
      <c r="CQ34" s="10" t="e">
        <f>Equity!CQ59</f>
        <v>#REF!</v>
      </c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</row>
    <row r="35" spans="1:108" ht="15" x14ac:dyDescent="0.25">
      <c r="H35" s="54"/>
    </row>
    <row r="36" spans="1:108" ht="15" x14ac:dyDescent="0.25">
      <c r="B36" s="162" t="s">
        <v>362</v>
      </c>
      <c r="C36" s="163"/>
      <c r="D36" s="163"/>
      <c r="E36" s="163"/>
      <c r="F36" s="163"/>
      <c r="G36" s="163"/>
      <c r="H36" s="164" t="s">
        <v>3</v>
      </c>
      <c r="I36" s="163"/>
      <c r="J36" s="163"/>
      <c r="K36" s="163"/>
      <c r="L36" s="163"/>
      <c r="M36" s="163"/>
      <c r="N36" s="163"/>
      <c r="O36" s="166"/>
      <c r="P36" s="166" t="e">
        <f>SUM(P27:P34)</f>
        <v>#REF!</v>
      </c>
      <c r="Q36" s="166" t="e">
        <f t="shared" ref="Q36:CB36" si="3">SUM(Q27:Q34)</f>
        <v>#REF!</v>
      </c>
      <c r="R36" s="166" t="e">
        <f t="shared" si="3"/>
        <v>#REF!</v>
      </c>
      <c r="S36" s="166" t="e">
        <f t="shared" si="3"/>
        <v>#REF!</v>
      </c>
      <c r="T36" s="166" t="e">
        <f t="shared" si="3"/>
        <v>#REF!</v>
      </c>
      <c r="U36" s="166" t="e">
        <f t="shared" si="3"/>
        <v>#REF!</v>
      </c>
      <c r="V36" s="166" t="e">
        <f t="shared" si="3"/>
        <v>#REF!</v>
      </c>
      <c r="W36" s="166" t="e">
        <f t="shared" si="3"/>
        <v>#REF!</v>
      </c>
      <c r="X36" s="166" t="e">
        <f t="shared" si="3"/>
        <v>#REF!</v>
      </c>
      <c r="Y36" s="166" t="e">
        <f t="shared" si="3"/>
        <v>#REF!</v>
      </c>
      <c r="Z36" s="166" t="e">
        <f t="shared" si="3"/>
        <v>#REF!</v>
      </c>
      <c r="AA36" s="166" t="e">
        <f t="shared" si="3"/>
        <v>#REF!</v>
      </c>
      <c r="AB36" s="166" t="e">
        <f t="shared" si="3"/>
        <v>#REF!</v>
      </c>
      <c r="AC36" s="166" t="e">
        <f t="shared" si="3"/>
        <v>#REF!</v>
      </c>
      <c r="AD36" s="166" t="e">
        <f t="shared" si="3"/>
        <v>#REF!</v>
      </c>
      <c r="AE36" s="166" t="e">
        <f t="shared" si="3"/>
        <v>#REF!</v>
      </c>
      <c r="AF36" s="166" t="e">
        <f t="shared" si="3"/>
        <v>#REF!</v>
      </c>
      <c r="AG36" s="166" t="e">
        <f t="shared" si="3"/>
        <v>#REF!</v>
      </c>
      <c r="AH36" s="166" t="e">
        <f t="shared" si="3"/>
        <v>#REF!</v>
      </c>
      <c r="AI36" s="166" t="e">
        <f t="shared" si="3"/>
        <v>#REF!</v>
      </c>
      <c r="AJ36" s="166" t="e">
        <f t="shared" si="3"/>
        <v>#REF!</v>
      </c>
      <c r="AK36" s="166" t="e">
        <f t="shared" si="3"/>
        <v>#REF!</v>
      </c>
      <c r="AL36" s="166" t="e">
        <f t="shared" si="3"/>
        <v>#REF!</v>
      </c>
      <c r="AM36" s="166" t="e">
        <f t="shared" si="3"/>
        <v>#REF!</v>
      </c>
      <c r="AN36" s="166" t="e">
        <f t="shared" si="3"/>
        <v>#REF!</v>
      </c>
      <c r="AO36" s="166" t="e">
        <f t="shared" si="3"/>
        <v>#REF!</v>
      </c>
      <c r="AP36" s="166" t="e">
        <f t="shared" si="3"/>
        <v>#REF!</v>
      </c>
      <c r="AQ36" s="166" t="e">
        <f t="shared" si="3"/>
        <v>#REF!</v>
      </c>
      <c r="AR36" s="166" t="e">
        <f t="shared" si="3"/>
        <v>#REF!</v>
      </c>
      <c r="AS36" s="166" t="e">
        <f t="shared" si="3"/>
        <v>#REF!</v>
      </c>
      <c r="AT36" s="166" t="e">
        <f t="shared" si="3"/>
        <v>#REF!</v>
      </c>
      <c r="AU36" s="166" t="e">
        <f t="shared" si="3"/>
        <v>#REF!</v>
      </c>
      <c r="AV36" s="166" t="e">
        <f t="shared" si="3"/>
        <v>#REF!</v>
      </c>
      <c r="AW36" s="166" t="e">
        <f t="shared" si="3"/>
        <v>#REF!</v>
      </c>
      <c r="AX36" s="166" t="e">
        <f t="shared" si="3"/>
        <v>#REF!</v>
      </c>
      <c r="AY36" s="166" t="e">
        <f t="shared" si="3"/>
        <v>#REF!</v>
      </c>
      <c r="AZ36" s="166" t="e">
        <f t="shared" si="3"/>
        <v>#REF!</v>
      </c>
      <c r="BA36" s="166" t="e">
        <f t="shared" si="3"/>
        <v>#REF!</v>
      </c>
      <c r="BB36" s="166" t="e">
        <f t="shared" si="3"/>
        <v>#REF!</v>
      </c>
      <c r="BC36" s="166" t="e">
        <f t="shared" si="3"/>
        <v>#REF!</v>
      </c>
      <c r="BD36" s="166" t="e">
        <f t="shared" si="3"/>
        <v>#REF!</v>
      </c>
      <c r="BE36" s="166" t="e">
        <f t="shared" si="3"/>
        <v>#REF!</v>
      </c>
      <c r="BF36" s="166" t="e">
        <f t="shared" si="3"/>
        <v>#REF!</v>
      </c>
      <c r="BG36" s="166" t="e">
        <f t="shared" si="3"/>
        <v>#REF!</v>
      </c>
      <c r="BH36" s="166" t="e">
        <f t="shared" si="3"/>
        <v>#REF!</v>
      </c>
      <c r="BI36" s="166" t="e">
        <f t="shared" si="3"/>
        <v>#REF!</v>
      </c>
      <c r="BJ36" s="166" t="e">
        <f t="shared" si="3"/>
        <v>#REF!</v>
      </c>
      <c r="BK36" s="166" t="e">
        <f t="shared" si="3"/>
        <v>#REF!</v>
      </c>
      <c r="BL36" s="166" t="e">
        <f t="shared" si="3"/>
        <v>#REF!</v>
      </c>
      <c r="BM36" s="166" t="e">
        <f t="shared" si="3"/>
        <v>#REF!</v>
      </c>
      <c r="BN36" s="166" t="e">
        <f t="shared" si="3"/>
        <v>#REF!</v>
      </c>
      <c r="BO36" s="166" t="e">
        <f t="shared" si="3"/>
        <v>#REF!</v>
      </c>
      <c r="BP36" s="166" t="e">
        <f t="shared" si="3"/>
        <v>#REF!</v>
      </c>
      <c r="BQ36" s="166" t="e">
        <f t="shared" si="3"/>
        <v>#REF!</v>
      </c>
      <c r="BR36" s="166" t="e">
        <f t="shared" si="3"/>
        <v>#REF!</v>
      </c>
      <c r="BS36" s="166" t="e">
        <f t="shared" si="3"/>
        <v>#REF!</v>
      </c>
      <c r="BT36" s="166" t="e">
        <f t="shared" si="3"/>
        <v>#REF!</v>
      </c>
      <c r="BU36" s="166" t="e">
        <f t="shared" si="3"/>
        <v>#REF!</v>
      </c>
      <c r="BV36" s="166" t="e">
        <f t="shared" si="3"/>
        <v>#REF!</v>
      </c>
      <c r="BW36" s="166" t="e">
        <f t="shared" si="3"/>
        <v>#REF!</v>
      </c>
      <c r="BX36" s="166" t="e">
        <f t="shared" si="3"/>
        <v>#REF!</v>
      </c>
      <c r="BY36" s="166" t="e">
        <f t="shared" si="3"/>
        <v>#REF!</v>
      </c>
      <c r="BZ36" s="166" t="e">
        <f t="shared" si="3"/>
        <v>#REF!</v>
      </c>
      <c r="CA36" s="166" t="e">
        <f t="shared" si="3"/>
        <v>#REF!</v>
      </c>
      <c r="CB36" s="166" t="e">
        <f t="shared" si="3"/>
        <v>#REF!</v>
      </c>
      <c r="CC36" s="166" t="e">
        <f t="shared" ref="CC36:CQ36" si="4">SUM(CC27:CC34)</f>
        <v>#REF!</v>
      </c>
      <c r="CD36" s="166" t="e">
        <f t="shared" si="4"/>
        <v>#REF!</v>
      </c>
      <c r="CE36" s="166" t="e">
        <f t="shared" si="4"/>
        <v>#REF!</v>
      </c>
      <c r="CF36" s="166" t="e">
        <f t="shared" si="4"/>
        <v>#REF!</v>
      </c>
      <c r="CG36" s="166" t="e">
        <f t="shared" si="4"/>
        <v>#REF!</v>
      </c>
      <c r="CH36" s="166" t="e">
        <f t="shared" si="4"/>
        <v>#REF!</v>
      </c>
      <c r="CI36" s="166" t="e">
        <f t="shared" si="4"/>
        <v>#REF!</v>
      </c>
      <c r="CJ36" s="166" t="e">
        <f t="shared" si="4"/>
        <v>#REF!</v>
      </c>
      <c r="CK36" s="166" t="e">
        <f t="shared" si="4"/>
        <v>#REF!</v>
      </c>
      <c r="CL36" s="166" t="e">
        <f t="shared" si="4"/>
        <v>#REF!</v>
      </c>
      <c r="CM36" s="166" t="e">
        <f t="shared" si="4"/>
        <v>#REF!</v>
      </c>
      <c r="CN36" s="166" t="e">
        <f t="shared" si="4"/>
        <v>#REF!</v>
      </c>
      <c r="CO36" s="166" t="e">
        <f t="shared" si="4"/>
        <v>#REF!</v>
      </c>
      <c r="CP36" s="166" t="e">
        <f t="shared" si="4"/>
        <v>#REF!</v>
      </c>
      <c r="CQ36" s="166" t="e">
        <f t="shared" si="4"/>
        <v>#REF!</v>
      </c>
      <c r="CR36" s="166"/>
      <c r="CS36" s="166"/>
      <c r="CT36" s="166"/>
      <c r="CU36" s="166"/>
      <c r="CV36" s="166"/>
      <c r="CW36" s="166"/>
      <c r="CX36" s="166"/>
      <c r="CY36" s="166"/>
      <c r="CZ36" s="166"/>
      <c r="DA36" s="166"/>
      <c r="DB36" s="166"/>
      <c r="DC36" s="166"/>
      <c r="DD36" s="166"/>
    </row>
    <row r="37" spans="1:108" ht="15" x14ac:dyDescent="0.25">
      <c r="H37" s="54"/>
    </row>
    <row r="38" spans="1:108" ht="15" x14ac:dyDescent="0.25">
      <c r="H38" s="54"/>
    </row>
    <row r="39" spans="1:108" ht="15" x14ac:dyDescent="0.25">
      <c r="B39" t="s">
        <v>363</v>
      </c>
      <c r="H39" s="54" t="s">
        <v>3</v>
      </c>
      <c r="N39" s="25" t="e">
        <f>SUM(P39:DD39)</f>
        <v>#REF!</v>
      </c>
      <c r="O39" s="10"/>
      <c r="P39" s="10" t="e">
        <f t="shared" ref="P39:CA39" si="5">ROUND(P21-P36,5)</f>
        <v>#REF!</v>
      </c>
      <c r="Q39" s="10" t="e">
        <f t="shared" si="5"/>
        <v>#REF!</v>
      </c>
      <c r="R39" s="10" t="e">
        <f t="shared" si="5"/>
        <v>#REF!</v>
      </c>
      <c r="S39" s="10" t="e">
        <f t="shared" si="5"/>
        <v>#REF!</v>
      </c>
      <c r="T39" s="10" t="e">
        <f t="shared" si="5"/>
        <v>#REF!</v>
      </c>
      <c r="U39" s="10" t="e">
        <f t="shared" si="5"/>
        <v>#REF!</v>
      </c>
      <c r="V39" s="10" t="e">
        <f t="shared" si="5"/>
        <v>#REF!</v>
      </c>
      <c r="W39" s="10" t="e">
        <f t="shared" si="5"/>
        <v>#REF!</v>
      </c>
      <c r="X39" s="10" t="e">
        <f t="shared" si="5"/>
        <v>#REF!</v>
      </c>
      <c r="Y39" s="10" t="e">
        <f t="shared" si="5"/>
        <v>#REF!</v>
      </c>
      <c r="Z39" s="10" t="e">
        <f t="shared" si="5"/>
        <v>#REF!</v>
      </c>
      <c r="AA39" s="10" t="e">
        <f t="shared" si="5"/>
        <v>#REF!</v>
      </c>
      <c r="AB39" s="10" t="e">
        <f t="shared" si="5"/>
        <v>#REF!</v>
      </c>
      <c r="AC39" s="10" t="e">
        <f t="shared" si="5"/>
        <v>#REF!</v>
      </c>
      <c r="AD39" s="10" t="e">
        <f t="shared" si="5"/>
        <v>#REF!</v>
      </c>
      <c r="AE39" s="10" t="e">
        <f t="shared" si="5"/>
        <v>#REF!</v>
      </c>
      <c r="AF39" s="10" t="e">
        <f t="shared" si="5"/>
        <v>#REF!</v>
      </c>
      <c r="AG39" s="10" t="e">
        <f t="shared" si="5"/>
        <v>#REF!</v>
      </c>
      <c r="AH39" s="10" t="e">
        <f t="shared" si="5"/>
        <v>#REF!</v>
      </c>
      <c r="AI39" s="10" t="e">
        <f t="shared" si="5"/>
        <v>#REF!</v>
      </c>
      <c r="AJ39" s="10" t="e">
        <f t="shared" si="5"/>
        <v>#REF!</v>
      </c>
      <c r="AK39" s="10" t="e">
        <f t="shared" si="5"/>
        <v>#REF!</v>
      </c>
      <c r="AL39" s="10" t="e">
        <f t="shared" si="5"/>
        <v>#REF!</v>
      </c>
      <c r="AM39" s="10" t="e">
        <f t="shared" si="5"/>
        <v>#REF!</v>
      </c>
      <c r="AN39" s="10" t="e">
        <f t="shared" si="5"/>
        <v>#REF!</v>
      </c>
      <c r="AO39" s="10" t="e">
        <f t="shared" si="5"/>
        <v>#REF!</v>
      </c>
      <c r="AP39" s="10" t="e">
        <f t="shared" si="5"/>
        <v>#REF!</v>
      </c>
      <c r="AQ39" s="10" t="e">
        <f t="shared" si="5"/>
        <v>#REF!</v>
      </c>
      <c r="AR39" s="10" t="e">
        <f t="shared" si="5"/>
        <v>#REF!</v>
      </c>
      <c r="AS39" s="10" t="e">
        <f t="shared" si="5"/>
        <v>#REF!</v>
      </c>
      <c r="AT39" s="10" t="e">
        <f t="shared" si="5"/>
        <v>#REF!</v>
      </c>
      <c r="AU39" s="10" t="e">
        <f t="shared" si="5"/>
        <v>#REF!</v>
      </c>
      <c r="AV39" s="10" t="e">
        <f t="shared" si="5"/>
        <v>#REF!</v>
      </c>
      <c r="AW39" s="10" t="e">
        <f t="shared" si="5"/>
        <v>#REF!</v>
      </c>
      <c r="AX39" s="10" t="e">
        <f t="shared" si="5"/>
        <v>#REF!</v>
      </c>
      <c r="AY39" s="10" t="e">
        <f t="shared" si="5"/>
        <v>#REF!</v>
      </c>
      <c r="AZ39" s="10" t="e">
        <f t="shared" si="5"/>
        <v>#REF!</v>
      </c>
      <c r="BA39" s="10" t="e">
        <f t="shared" si="5"/>
        <v>#REF!</v>
      </c>
      <c r="BB39" s="10" t="e">
        <f t="shared" si="5"/>
        <v>#REF!</v>
      </c>
      <c r="BC39" s="10" t="e">
        <f t="shared" si="5"/>
        <v>#REF!</v>
      </c>
      <c r="BD39" s="10" t="e">
        <f t="shared" si="5"/>
        <v>#REF!</v>
      </c>
      <c r="BE39" s="10" t="e">
        <f t="shared" si="5"/>
        <v>#REF!</v>
      </c>
      <c r="BF39" s="10" t="e">
        <f t="shared" si="5"/>
        <v>#REF!</v>
      </c>
      <c r="BG39" s="10" t="e">
        <f t="shared" si="5"/>
        <v>#REF!</v>
      </c>
      <c r="BH39" s="10" t="e">
        <f t="shared" si="5"/>
        <v>#REF!</v>
      </c>
      <c r="BI39" s="10" t="e">
        <f t="shared" si="5"/>
        <v>#REF!</v>
      </c>
      <c r="BJ39" s="10" t="e">
        <f t="shared" si="5"/>
        <v>#REF!</v>
      </c>
      <c r="BK39" s="10" t="e">
        <f t="shared" si="5"/>
        <v>#REF!</v>
      </c>
      <c r="BL39" s="10" t="e">
        <f t="shared" si="5"/>
        <v>#REF!</v>
      </c>
      <c r="BM39" s="10" t="e">
        <f t="shared" si="5"/>
        <v>#REF!</v>
      </c>
      <c r="BN39" s="10" t="e">
        <f t="shared" si="5"/>
        <v>#REF!</v>
      </c>
      <c r="BO39" s="10" t="e">
        <f t="shared" si="5"/>
        <v>#REF!</v>
      </c>
      <c r="BP39" s="10" t="e">
        <f t="shared" si="5"/>
        <v>#REF!</v>
      </c>
      <c r="BQ39" s="10" t="e">
        <f t="shared" si="5"/>
        <v>#REF!</v>
      </c>
      <c r="BR39" s="10" t="e">
        <f t="shared" si="5"/>
        <v>#REF!</v>
      </c>
      <c r="BS39" s="10" t="e">
        <f t="shared" si="5"/>
        <v>#REF!</v>
      </c>
      <c r="BT39" s="10" t="e">
        <f t="shared" si="5"/>
        <v>#REF!</v>
      </c>
      <c r="BU39" s="10" t="e">
        <f t="shared" si="5"/>
        <v>#REF!</v>
      </c>
      <c r="BV39" s="10" t="e">
        <f t="shared" si="5"/>
        <v>#REF!</v>
      </c>
      <c r="BW39" s="10" t="e">
        <f t="shared" si="5"/>
        <v>#REF!</v>
      </c>
      <c r="BX39" s="10" t="e">
        <f t="shared" si="5"/>
        <v>#REF!</v>
      </c>
      <c r="BY39" s="10" t="e">
        <f t="shared" si="5"/>
        <v>#REF!</v>
      </c>
      <c r="BZ39" s="10" t="e">
        <f t="shared" si="5"/>
        <v>#REF!</v>
      </c>
      <c r="CA39" s="10" t="e">
        <f t="shared" si="5"/>
        <v>#REF!</v>
      </c>
      <c r="CB39" s="10" t="e">
        <f t="shared" ref="CB39:CQ39" si="6">ROUND(CB21-CB36,5)</f>
        <v>#REF!</v>
      </c>
      <c r="CC39" s="10" t="e">
        <f t="shared" si="6"/>
        <v>#REF!</v>
      </c>
      <c r="CD39" s="10" t="e">
        <f t="shared" si="6"/>
        <v>#REF!</v>
      </c>
      <c r="CE39" s="10" t="e">
        <f t="shared" si="6"/>
        <v>#REF!</v>
      </c>
      <c r="CF39" s="10" t="e">
        <f t="shared" si="6"/>
        <v>#REF!</v>
      </c>
      <c r="CG39" s="10" t="e">
        <f t="shared" si="6"/>
        <v>#REF!</v>
      </c>
      <c r="CH39" s="10" t="e">
        <f t="shared" si="6"/>
        <v>#REF!</v>
      </c>
      <c r="CI39" s="10" t="e">
        <f t="shared" si="6"/>
        <v>#REF!</v>
      </c>
      <c r="CJ39" s="10" t="e">
        <f t="shared" si="6"/>
        <v>#REF!</v>
      </c>
      <c r="CK39" s="10" t="e">
        <f t="shared" si="6"/>
        <v>#REF!</v>
      </c>
      <c r="CL39" s="10" t="e">
        <f t="shared" si="6"/>
        <v>#REF!</v>
      </c>
      <c r="CM39" s="10" t="e">
        <f t="shared" si="6"/>
        <v>#REF!</v>
      </c>
      <c r="CN39" s="10" t="e">
        <f t="shared" si="6"/>
        <v>#REF!</v>
      </c>
      <c r="CO39" s="10" t="e">
        <f t="shared" si="6"/>
        <v>#REF!</v>
      </c>
      <c r="CP39" s="10" t="e">
        <f t="shared" si="6"/>
        <v>#REF!</v>
      </c>
      <c r="CQ39" s="10" t="e">
        <f t="shared" si="6"/>
        <v>#REF!</v>
      </c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</row>
    <row r="40" spans="1:108" ht="15" x14ac:dyDescent="0.25">
      <c r="H40" s="54"/>
    </row>
    <row r="41" spans="1:108" ht="15" x14ac:dyDescent="0.25">
      <c r="B41" t="s">
        <v>364</v>
      </c>
      <c r="H41" s="54" t="s">
        <v>25</v>
      </c>
      <c r="J41" s="65" t="e">
        <f>IF(N39=0,TRUE,FALSE)</f>
        <v>#REF!</v>
      </c>
      <c r="O41" s="148"/>
      <c r="P41" s="148" t="e">
        <f t="shared" ref="P41:CA41" si="7">IF(P39=0,"OK!","CHECK")</f>
        <v>#REF!</v>
      </c>
      <c r="Q41" s="148" t="e">
        <f t="shared" si="7"/>
        <v>#REF!</v>
      </c>
      <c r="R41" s="148" t="e">
        <f t="shared" si="7"/>
        <v>#REF!</v>
      </c>
      <c r="S41" s="148" t="e">
        <f t="shared" si="7"/>
        <v>#REF!</v>
      </c>
      <c r="T41" s="148" t="e">
        <f t="shared" si="7"/>
        <v>#REF!</v>
      </c>
      <c r="U41" s="148" t="e">
        <f t="shared" si="7"/>
        <v>#REF!</v>
      </c>
      <c r="V41" s="148" t="e">
        <f t="shared" si="7"/>
        <v>#REF!</v>
      </c>
      <c r="W41" s="148" t="e">
        <f t="shared" si="7"/>
        <v>#REF!</v>
      </c>
      <c r="X41" s="148" t="e">
        <f t="shared" si="7"/>
        <v>#REF!</v>
      </c>
      <c r="Y41" s="148" t="e">
        <f t="shared" si="7"/>
        <v>#REF!</v>
      </c>
      <c r="Z41" s="148" t="e">
        <f t="shared" si="7"/>
        <v>#REF!</v>
      </c>
      <c r="AA41" s="148" t="e">
        <f t="shared" si="7"/>
        <v>#REF!</v>
      </c>
      <c r="AB41" s="148" t="e">
        <f t="shared" si="7"/>
        <v>#REF!</v>
      </c>
      <c r="AC41" s="148" t="e">
        <f t="shared" si="7"/>
        <v>#REF!</v>
      </c>
      <c r="AD41" s="148" t="e">
        <f t="shared" si="7"/>
        <v>#REF!</v>
      </c>
      <c r="AE41" s="148" t="e">
        <f t="shared" si="7"/>
        <v>#REF!</v>
      </c>
      <c r="AF41" s="148" t="e">
        <f t="shared" si="7"/>
        <v>#REF!</v>
      </c>
      <c r="AG41" s="148" t="e">
        <f t="shared" si="7"/>
        <v>#REF!</v>
      </c>
      <c r="AH41" s="148" t="e">
        <f t="shared" si="7"/>
        <v>#REF!</v>
      </c>
      <c r="AI41" s="148" t="e">
        <f t="shared" si="7"/>
        <v>#REF!</v>
      </c>
      <c r="AJ41" s="148" t="e">
        <f t="shared" si="7"/>
        <v>#REF!</v>
      </c>
      <c r="AK41" s="148" t="e">
        <f t="shared" si="7"/>
        <v>#REF!</v>
      </c>
      <c r="AL41" s="148" t="e">
        <f t="shared" si="7"/>
        <v>#REF!</v>
      </c>
      <c r="AM41" s="148" t="e">
        <f t="shared" si="7"/>
        <v>#REF!</v>
      </c>
      <c r="AN41" s="148" t="e">
        <f t="shared" si="7"/>
        <v>#REF!</v>
      </c>
      <c r="AO41" s="148" t="e">
        <f t="shared" si="7"/>
        <v>#REF!</v>
      </c>
      <c r="AP41" s="148" t="e">
        <f t="shared" si="7"/>
        <v>#REF!</v>
      </c>
      <c r="AQ41" s="148" t="e">
        <f t="shared" si="7"/>
        <v>#REF!</v>
      </c>
      <c r="AR41" s="148" t="e">
        <f t="shared" si="7"/>
        <v>#REF!</v>
      </c>
      <c r="AS41" s="148" t="e">
        <f t="shared" si="7"/>
        <v>#REF!</v>
      </c>
      <c r="AT41" s="148" t="e">
        <f t="shared" si="7"/>
        <v>#REF!</v>
      </c>
      <c r="AU41" s="148" t="e">
        <f t="shared" si="7"/>
        <v>#REF!</v>
      </c>
      <c r="AV41" s="148" t="e">
        <f t="shared" si="7"/>
        <v>#REF!</v>
      </c>
      <c r="AW41" s="148" t="e">
        <f t="shared" si="7"/>
        <v>#REF!</v>
      </c>
      <c r="AX41" s="148" t="e">
        <f t="shared" si="7"/>
        <v>#REF!</v>
      </c>
      <c r="AY41" s="148" t="e">
        <f t="shared" si="7"/>
        <v>#REF!</v>
      </c>
      <c r="AZ41" s="148" t="e">
        <f t="shared" si="7"/>
        <v>#REF!</v>
      </c>
      <c r="BA41" s="148" t="e">
        <f t="shared" si="7"/>
        <v>#REF!</v>
      </c>
      <c r="BB41" s="148" t="e">
        <f t="shared" si="7"/>
        <v>#REF!</v>
      </c>
      <c r="BC41" s="148" t="e">
        <f t="shared" si="7"/>
        <v>#REF!</v>
      </c>
      <c r="BD41" s="148" t="e">
        <f t="shared" si="7"/>
        <v>#REF!</v>
      </c>
      <c r="BE41" s="148" t="e">
        <f t="shared" si="7"/>
        <v>#REF!</v>
      </c>
      <c r="BF41" s="148" t="e">
        <f t="shared" si="7"/>
        <v>#REF!</v>
      </c>
      <c r="BG41" s="148" t="e">
        <f t="shared" si="7"/>
        <v>#REF!</v>
      </c>
      <c r="BH41" s="148" t="e">
        <f t="shared" si="7"/>
        <v>#REF!</v>
      </c>
      <c r="BI41" s="148" t="e">
        <f t="shared" si="7"/>
        <v>#REF!</v>
      </c>
      <c r="BJ41" s="148" t="e">
        <f t="shared" si="7"/>
        <v>#REF!</v>
      </c>
      <c r="BK41" s="148" t="e">
        <f t="shared" si="7"/>
        <v>#REF!</v>
      </c>
      <c r="BL41" s="148" t="e">
        <f t="shared" si="7"/>
        <v>#REF!</v>
      </c>
      <c r="BM41" s="148" t="e">
        <f t="shared" si="7"/>
        <v>#REF!</v>
      </c>
      <c r="BN41" s="148" t="e">
        <f t="shared" si="7"/>
        <v>#REF!</v>
      </c>
      <c r="BO41" s="148" t="e">
        <f t="shared" si="7"/>
        <v>#REF!</v>
      </c>
      <c r="BP41" s="148" t="e">
        <f t="shared" si="7"/>
        <v>#REF!</v>
      </c>
      <c r="BQ41" s="148" t="e">
        <f t="shared" si="7"/>
        <v>#REF!</v>
      </c>
      <c r="BR41" s="148" t="e">
        <f t="shared" si="7"/>
        <v>#REF!</v>
      </c>
      <c r="BS41" s="148" t="e">
        <f t="shared" si="7"/>
        <v>#REF!</v>
      </c>
      <c r="BT41" s="148" t="e">
        <f t="shared" si="7"/>
        <v>#REF!</v>
      </c>
      <c r="BU41" s="148" t="e">
        <f t="shared" si="7"/>
        <v>#REF!</v>
      </c>
      <c r="BV41" s="148" t="e">
        <f t="shared" si="7"/>
        <v>#REF!</v>
      </c>
      <c r="BW41" s="148" t="e">
        <f t="shared" si="7"/>
        <v>#REF!</v>
      </c>
      <c r="BX41" s="148" t="e">
        <f t="shared" si="7"/>
        <v>#REF!</v>
      </c>
      <c r="BY41" s="148" t="e">
        <f t="shared" si="7"/>
        <v>#REF!</v>
      </c>
      <c r="BZ41" s="148" t="e">
        <f t="shared" si="7"/>
        <v>#REF!</v>
      </c>
      <c r="CA41" s="148" t="e">
        <f t="shared" si="7"/>
        <v>#REF!</v>
      </c>
      <c r="CB41" s="148" t="e">
        <f t="shared" ref="CB41:CQ41" si="8">IF(CB39=0,"OK!","CHECK")</f>
        <v>#REF!</v>
      </c>
      <c r="CC41" s="148" t="e">
        <f t="shared" si="8"/>
        <v>#REF!</v>
      </c>
      <c r="CD41" s="148" t="e">
        <f t="shared" si="8"/>
        <v>#REF!</v>
      </c>
      <c r="CE41" s="148" t="e">
        <f t="shared" si="8"/>
        <v>#REF!</v>
      </c>
      <c r="CF41" s="148" t="e">
        <f t="shared" si="8"/>
        <v>#REF!</v>
      </c>
      <c r="CG41" s="148" t="e">
        <f t="shared" si="8"/>
        <v>#REF!</v>
      </c>
      <c r="CH41" s="148" t="e">
        <f t="shared" si="8"/>
        <v>#REF!</v>
      </c>
      <c r="CI41" s="148" t="e">
        <f t="shared" si="8"/>
        <v>#REF!</v>
      </c>
      <c r="CJ41" s="148" t="e">
        <f t="shared" si="8"/>
        <v>#REF!</v>
      </c>
      <c r="CK41" s="148" t="e">
        <f t="shared" si="8"/>
        <v>#REF!</v>
      </c>
      <c r="CL41" s="148" t="e">
        <f t="shared" si="8"/>
        <v>#REF!</v>
      </c>
      <c r="CM41" s="148" t="e">
        <f t="shared" si="8"/>
        <v>#REF!</v>
      </c>
      <c r="CN41" s="148" t="e">
        <f t="shared" si="8"/>
        <v>#REF!</v>
      </c>
      <c r="CO41" s="148" t="e">
        <f t="shared" si="8"/>
        <v>#REF!</v>
      </c>
      <c r="CP41" s="148" t="e">
        <f t="shared" si="8"/>
        <v>#REF!</v>
      </c>
      <c r="CQ41" s="148" t="e">
        <f t="shared" si="8"/>
        <v>#REF!</v>
      </c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</row>
    <row r="42" spans="1:108" ht="12.75" customHeight="1" x14ac:dyDescent="0.25"/>
    <row r="43" spans="1:108" ht="12.75" customHeight="1" x14ac:dyDescent="0.25"/>
    <row r="44" spans="1:108" s="292" customFormat="1" ht="12.75" customHeight="1" x14ac:dyDescent="0.25">
      <c r="A44" s="287" t="s">
        <v>53</v>
      </c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  <c r="P44" s="287"/>
      <c r="Q44" s="287"/>
      <c r="R44" s="287"/>
      <c r="S44" s="287"/>
      <c r="T44" s="287"/>
      <c r="U44" s="287"/>
      <c r="V44" s="287"/>
      <c r="W44" s="287"/>
      <c r="X44" s="287"/>
      <c r="Y44" s="287"/>
      <c r="Z44" s="287"/>
      <c r="AA44" s="287"/>
      <c r="AB44" s="287"/>
      <c r="AC44" s="287"/>
      <c r="AD44" s="287"/>
      <c r="AE44" s="287"/>
      <c r="AF44" s="287"/>
      <c r="AG44" s="287"/>
      <c r="AH44" s="287"/>
      <c r="AI44" s="287"/>
      <c r="AJ44" s="287"/>
      <c r="AK44" s="287"/>
      <c r="AL44" s="287"/>
      <c r="AM44" s="287"/>
      <c r="AN44" s="287"/>
      <c r="AO44" s="287"/>
      <c r="AP44" s="287"/>
      <c r="AQ44" s="287"/>
      <c r="AR44" s="287"/>
      <c r="AS44" s="287"/>
      <c r="AT44" s="287"/>
      <c r="AU44" s="287"/>
      <c r="AV44" s="287"/>
      <c r="AW44" s="287"/>
      <c r="AX44" s="287"/>
      <c r="AY44" s="287"/>
      <c r="AZ44" s="287"/>
      <c r="BA44" s="287"/>
      <c r="BB44" s="287"/>
      <c r="BC44" s="287"/>
      <c r="BD44" s="287"/>
      <c r="BE44" s="287"/>
      <c r="BF44" s="287"/>
      <c r="BG44" s="287"/>
      <c r="BH44" s="287"/>
      <c r="BI44" s="287"/>
      <c r="BJ44" s="287"/>
      <c r="BK44" s="287"/>
      <c r="BL44" s="287"/>
      <c r="BM44" s="287"/>
      <c r="BN44" s="287"/>
      <c r="BO44" s="287"/>
      <c r="BP44" s="287"/>
      <c r="BQ44" s="287"/>
      <c r="BR44" s="287"/>
      <c r="BS44" s="287"/>
      <c r="BT44" s="287"/>
      <c r="BU44" s="287"/>
      <c r="BV44" s="287"/>
      <c r="BW44" s="287"/>
      <c r="BX44" s="287"/>
      <c r="BY44" s="287"/>
      <c r="BZ44" s="287"/>
      <c r="CA44" s="287"/>
      <c r="CB44" s="287"/>
      <c r="CC44" s="287"/>
      <c r="CD44" s="287"/>
      <c r="CE44" s="287"/>
      <c r="CF44" s="287"/>
      <c r="CG44" s="287"/>
      <c r="CH44" s="287"/>
      <c r="CI44" s="287"/>
      <c r="CJ44" s="287"/>
      <c r="CK44" s="287"/>
      <c r="CL44" s="287"/>
      <c r="CM44" s="287"/>
      <c r="CN44" s="287"/>
      <c r="CO44" s="287"/>
      <c r="CP44" s="287"/>
      <c r="CQ44" s="287"/>
      <c r="CR44" s="287"/>
      <c r="CS44" s="287"/>
      <c r="CT44" s="287"/>
      <c r="CU44" s="287"/>
      <c r="CV44" s="287"/>
      <c r="CW44" s="287"/>
      <c r="CX44" s="287"/>
      <c r="CY44" s="287"/>
      <c r="CZ44" s="287"/>
      <c r="DA44" s="287"/>
      <c r="DB44" s="287"/>
      <c r="DC44" s="287"/>
      <c r="DD44" s="287"/>
    </row>
  </sheetData>
  <conditionalFormatting sqref="CU7:DD7">
    <cfRule type="expression" dxfId="134" priority="19">
      <formula>CU7="Ops"</formula>
    </cfRule>
    <cfRule type="expression" dxfId="133" priority="20">
      <formula>CU7="Const"</formula>
    </cfRule>
  </conditionalFormatting>
  <conditionalFormatting sqref="P7:CT7">
    <cfRule type="expression" dxfId="132" priority="17">
      <formula>P7="Ops"</formula>
    </cfRule>
    <cfRule type="expression" dxfId="131" priority="18">
      <formula>P7="Const"</formula>
    </cfRule>
  </conditionalFormatting>
  <conditionalFormatting sqref="J2:J3">
    <cfRule type="expression" dxfId="130" priority="16">
      <formula>#REF!=TRUE</formula>
    </cfRule>
  </conditionalFormatting>
  <conditionalFormatting sqref="J5:J6">
    <cfRule type="expression" dxfId="129" priority="15">
      <formula>#REF!=TRUE</formula>
    </cfRule>
  </conditionalFormatting>
  <conditionalFormatting sqref="J7">
    <cfRule type="expression" dxfId="128" priority="14">
      <formula>#REF!=TRUE</formula>
    </cfRule>
  </conditionalFormatting>
  <conditionalFormatting sqref="Q41:DD41">
    <cfRule type="containsText" dxfId="127" priority="4" operator="containsText" text="CHECK">
      <formula>NOT(ISERROR(SEARCH("CHECK",Q41)))</formula>
    </cfRule>
    <cfRule type="containsText" dxfId="126" priority="7" operator="containsText" text="CHECK!">
      <formula>NOT(ISERROR(SEARCH("CHECK!",Q41)))</formula>
    </cfRule>
    <cfRule type="containsText" dxfId="125" priority="8" operator="containsText" text="OK!">
      <formula>NOT(ISERROR(SEARCH("OK!",Q41)))</formula>
    </cfRule>
  </conditionalFormatting>
  <conditionalFormatting sqref="J41">
    <cfRule type="containsText" dxfId="124" priority="5" operator="containsText" text="FALSE">
      <formula>NOT(ISERROR(SEARCH("FALSE",J41)))</formula>
    </cfRule>
    <cfRule type="containsText" dxfId="123" priority="6" operator="containsText" text="TRUE">
      <formula>NOT(ISERROR(SEARCH("TRUE",J41)))</formula>
    </cfRule>
  </conditionalFormatting>
  <conditionalFormatting sqref="P41">
    <cfRule type="containsText" dxfId="122" priority="1" operator="containsText" text="CHECK">
      <formula>NOT(ISERROR(SEARCH("CHECK",P41)))</formula>
    </cfRule>
    <cfRule type="containsText" dxfId="121" priority="2" operator="containsText" text="CHECK!">
      <formula>NOT(ISERROR(SEARCH("CHECK!",P41)))</formula>
    </cfRule>
    <cfRule type="containsText" dxfId="120" priority="3" operator="containsText" text="OK!">
      <formula>NOT(ISERROR(SEARCH("OK!",P41)))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05865-DD60-420A-A514-39245C344857}">
  <sheetPr codeName="Sheet4">
    <tabColor theme="0"/>
  </sheetPr>
  <dimension ref="A1:DF140"/>
  <sheetViews>
    <sheetView showGridLines="0" zoomScale="50" zoomScaleNormal="50" workbookViewId="0">
      <pane xSplit="16" ySplit="9" topLeftCell="Q10" activePane="bottomRight" state="frozen"/>
      <selection pane="topRight" activeCell="O1" sqref="O1"/>
      <selection pane="bottomLeft" activeCell="A10" sqref="A10"/>
      <selection pane="bottomRight" activeCell="R34" sqref="R34"/>
    </sheetView>
  </sheetViews>
  <sheetFormatPr defaultColWidth="0" defaultRowHeight="12.75" customHeight="1" zeroHeight="1" x14ac:dyDescent="0.25"/>
  <cols>
    <col min="1" max="3" width="3.28515625" customWidth="1"/>
    <col min="4" max="4" width="14" customWidth="1"/>
    <col min="5" max="9" width="8" customWidth="1"/>
    <col min="10" max="11" width="16" customWidth="1"/>
    <col min="12" max="13" width="16.85546875" customWidth="1"/>
    <col min="14" max="15" width="9.140625" customWidth="1"/>
    <col min="16" max="16" width="14" customWidth="1"/>
    <col min="17" max="17" width="12.5703125" customWidth="1"/>
    <col min="18" max="100" width="11.140625" customWidth="1"/>
    <col min="101" max="16384" width="9.140625" hidden="1"/>
  </cols>
  <sheetData>
    <row r="1" spans="2:110" s="282" customFormat="1" ht="12.75" customHeight="1" x14ac:dyDescent="0.2">
      <c r="H1" s="284"/>
    </row>
    <row r="2" spans="2:110" s="282" customFormat="1" ht="12.75" customHeight="1" x14ac:dyDescent="0.2">
      <c r="H2" s="284"/>
    </row>
    <row r="3" spans="2:110" s="282" customFormat="1" ht="12.75" customHeight="1" x14ac:dyDescent="0.2">
      <c r="H3" s="284"/>
    </row>
    <row r="4" spans="2:110" s="282" customFormat="1" ht="12.75" customHeight="1" x14ac:dyDescent="0.2">
      <c r="H4" s="284"/>
    </row>
    <row r="5" spans="2:110" s="282" customFormat="1" ht="12.75" customHeight="1" x14ac:dyDescent="0.2">
      <c r="H5" s="284"/>
      <c r="O5" s="282" t="s">
        <v>0</v>
      </c>
      <c r="R5" s="287">
        <f>L23</f>
        <v>2021</v>
      </c>
      <c r="S5" s="287">
        <f>R5+1</f>
        <v>2022</v>
      </c>
      <c r="T5" s="287">
        <f t="shared" ref="T5:CE5" si="0">S5+1</f>
        <v>2023</v>
      </c>
      <c r="U5" s="287">
        <f t="shared" si="0"/>
        <v>2024</v>
      </c>
      <c r="V5" s="287">
        <f t="shared" si="0"/>
        <v>2025</v>
      </c>
      <c r="W5" s="287">
        <f t="shared" si="0"/>
        <v>2026</v>
      </c>
      <c r="X5" s="287">
        <f t="shared" si="0"/>
        <v>2027</v>
      </c>
      <c r="Y5" s="287">
        <f t="shared" si="0"/>
        <v>2028</v>
      </c>
      <c r="Z5" s="287">
        <f t="shared" si="0"/>
        <v>2029</v>
      </c>
      <c r="AA5" s="287">
        <f t="shared" si="0"/>
        <v>2030</v>
      </c>
      <c r="AB5" s="287">
        <f t="shared" si="0"/>
        <v>2031</v>
      </c>
      <c r="AC5" s="287">
        <f t="shared" si="0"/>
        <v>2032</v>
      </c>
      <c r="AD5" s="287">
        <f t="shared" si="0"/>
        <v>2033</v>
      </c>
      <c r="AE5" s="287">
        <f t="shared" si="0"/>
        <v>2034</v>
      </c>
      <c r="AF5" s="287">
        <f t="shared" si="0"/>
        <v>2035</v>
      </c>
      <c r="AG5" s="287">
        <f t="shared" si="0"/>
        <v>2036</v>
      </c>
      <c r="AH5" s="287">
        <f t="shared" si="0"/>
        <v>2037</v>
      </c>
      <c r="AI5" s="287">
        <f t="shared" si="0"/>
        <v>2038</v>
      </c>
      <c r="AJ5" s="287">
        <f t="shared" si="0"/>
        <v>2039</v>
      </c>
      <c r="AK5" s="287">
        <f t="shared" si="0"/>
        <v>2040</v>
      </c>
      <c r="AL5" s="287">
        <f t="shared" si="0"/>
        <v>2041</v>
      </c>
      <c r="AM5" s="287">
        <f t="shared" si="0"/>
        <v>2042</v>
      </c>
      <c r="AN5" s="287">
        <f t="shared" si="0"/>
        <v>2043</v>
      </c>
      <c r="AO5" s="287">
        <f t="shared" si="0"/>
        <v>2044</v>
      </c>
      <c r="AP5" s="287">
        <f t="shared" si="0"/>
        <v>2045</v>
      </c>
      <c r="AQ5" s="287">
        <f t="shared" si="0"/>
        <v>2046</v>
      </c>
      <c r="AR5" s="287">
        <f t="shared" si="0"/>
        <v>2047</v>
      </c>
      <c r="AS5" s="287">
        <f t="shared" si="0"/>
        <v>2048</v>
      </c>
      <c r="AT5" s="287">
        <f t="shared" si="0"/>
        <v>2049</v>
      </c>
      <c r="AU5" s="287">
        <f t="shared" si="0"/>
        <v>2050</v>
      </c>
      <c r="AV5" s="287">
        <f t="shared" si="0"/>
        <v>2051</v>
      </c>
      <c r="AW5" s="287">
        <f t="shared" si="0"/>
        <v>2052</v>
      </c>
      <c r="AX5" s="287">
        <f t="shared" si="0"/>
        <v>2053</v>
      </c>
      <c r="AY5" s="287">
        <f t="shared" si="0"/>
        <v>2054</v>
      </c>
      <c r="AZ5" s="287">
        <f t="shared" si="0"/>
        <v>2055</v>
      </c>
      <c r="BA5" s="287">
        <f t="shared" si="0"/>
        <v>2056</v>
      </c>
      <c r="BB5" s="287">
        <f t="shared" si="0"/>
        <v>2057</v>
      </c>
      <c r="BC5" s="287">
        <f t="shared" si="0"/>
        <v>2058</v>
      </c>
      <c r="BD5" s="287">
        <f t="shared" si="0"/>
        <v>2059</v>
      </c>
      <c r="BE5" s="287">
        <f t="shared" si="0"/>
        <v>2060</v>
      </c>
      <c r="BF5" s="287">
        <f t="shared" si="0"/>
        <v>2061</v>
      </c>
      <c r="BG5" s="287">
        <f t="shared" si="0"/>
        <v>2062</v>
      </c>
      <c r="BH5" s="287">
        <f t="shared" si="0"/>
        <v>2063</v>
      </c>
      <c r="BI5" s="287">
        <f t="shared" si="0"/>
        <v>2064</v>
      </c>
      <c r="BJ5" s="287">
        <f t="shared" si="0"/>
        <v>2065</v>
      </c>
      <c r="BK5" s="287">
        <f t="shared" si="0"/>
        <v>2066</v>
      </c>
      <c r="BL5" s="287">
        <f t="shared" si="0"/>
        <v>2067</v>
      </c>
      <c r="BM5" s="287">
        <f t="shared" si="0"/>
        <v>2068</v>
      </c>
      <c r="BN5" s="287">
        <f t="shared" si="0"/>
        <v>2069</v>
      </c>
      <c r="BO5" s="287">
        <f t="shared" si="0"/>
        <v>2070</v>
      </c>
      <c r="BP5" s="287">
        <f t="shared" si="0"/>
        <v>2071</v>
      </c>
      <c r="BQ5" s="287">
        <f t="shared" si="0"/>
        <v>2072</v>
      </c>
      <c r="BR5" s="287">
        <f t="shared" si="0"/>
        <v>2073</v>
      </c>
      <c r="BS5" s="287">
        <f t="shared" si="0"/>
        <v>2074</v>
      </c>
      <c r="BT5" s="287">
        <f t="shared" si="0"/>
        <v>2075</v>
      </c>
      <c r="BU5" s="287">
        <f t="shared" si="0"/>
        <v>2076</v>
      </c>
      <c r="BV5" s="287">
        <f t="shared" si="0"/>
        <v>2077</v>
      </c>
      <c r="BW5" s="287">
        <f t="shared" si="0"/>
        <v>2078</v>
      </c>
      <c r="BX5" s="287">
        <f t="shared" si="0"/>
        <v>2079</v>
      </c>
      <c r="BY5" s="287">
        <f t="shared" si="0"/>
        <v>2080</v>
      </c>
      <c r="BZ5" s="287">
        <f t="shared" si="0"/>
        <v>2081</v>
      </c>
      <c r="CA5" s="287">
        <f t="shared" si="0"/>
        <v>2082</v>
      </c>
      <c r="CB5" s="287">
        <f t="shared" si="0"/>
        <v>2083</v>
      </c>
      <c r="CC5" s="287">
        <f t="shared" si="0"/>
        <v>2084</v>
      </c>
      <c r="CD5" s="287">
        <f t="shared" si="0"/>
        <v>2085</v>
      </c>
      <c r="CE5" s="287">
        <f t="shared" si="0"/>
        <v>2086</v>
      </c>
      <c r="CF5" s="287">
        <f t="shared" ref="CF5:DF5" si="1">CE5+1</f>
        <v>2087</v>
      </c>
      <c r="CG5" s="287">
        <f t="shared" si="1"/>
        <v>2088</v>
      </c>
      <c r="CH5" s="287">
        <f t="shared" si="1"/>
        <v>2089</v>
      </c>
      <c r="CI5" s="287">
        <f t="shared" si="1"/>
        <v>2090</v>
      </c>
      <c r="CJ5" s="287">
        <f t="shared" si="1"/>
        <v>2091</v>
      </c>
      <c r="CK5" s="287">
        <f t="shared" si="1"/>
        <v>2092</v>
      </c>
      <c r="CL5" s="287">
        <f t="shared" si="1"/>
        <v>2093</v>
      </c>
      <c r="CM5" s="287">
        <f t="shared" si="1"/>
        <v>2094</v>
      </c>
      <c r="CN5" s="287">
        <f t="shared" si="1"/>
        <v>2095</v>
      </c>
      <c r="CO5" s="287">
        <f t="shared" si="1"/>
        <v>2096</v>
      </c>
      <c r="CP5" s="287">
        <f t="shared" si="1"/>
        <v>2097</v>
      </c>
      <c r="CQ5" s="287">
        <f t="shared" si="1"/>
        <v>2098</v>
      </c>
      <c r="CR5" s="287">
        <f t="shared" si="1"/>
        <v>2099</v>
      </c>
      <c r="CS5" s="287">
        <f t="shared" si="1"/>
        <v>2100</v>
      </c>
      <c r="CT5" s="287">
        <f t="shared" si="1"/>
        <v>2101</v>
      </c>
      <c r="CU5" s="287">
        <f t="shared" si="1"/>
        <v>2102</v>
      </c>
      <c r="CV5" s="287">
        <f t="shared" si="1"/>
        <v>2103</v>
      </c>
      <c r="CW5" s="287">
        <f t="shared" si="1"/>
        <v>2104</v>
      </c>
      <c r="CX5" s="287">
        <f t="shared" si="1"/>
        <v>2105</v>
      </c>
      <c r="CY5" s="287">
        <f t="shared" si="1"/>
        <v>2106</v>
      </c>
      <c r="CZ5" s="287">
        <f t="shared" si="1"/>
        <v>2107</v>
      </c>
      <c r="DA5" s="287">
        <f t="shared" si="1"/>
        <v>2108</v>
      </c>
      <c r="DB5" s="287">
        <f t="shared" si="1"/>
        <v>2109</v>
      </c>
      <c r="DC5" s="287">
        <f t="shared" si="1"/>
        <v>2110</v>
      </c>
      <c r="DD5" s="287">
        <f t="shared" si="1"/>
        <v>2111</v>
      </c>
      <c r="DE5" s="287">
        <f t="shared" si="1"/>
        <v>2112</v>
      </c>
      <c r="DF5" s="287">
        <f t="shared" si="1"/>
        <v>2113</v>
      </c>
    </row>
    <row r="6" spans="2:110" s="282" customFormat="1" ht="12.75" customHeight="1" x14ac:dyDescent="0.2">
      <c r="H6" s="284"/>
      <c r="O6" s="282" t="s">
        <v>1</v>
      </c>
      <c r="R6" s="288">
        <f t="shared" ref="R6:CC7" si="2">R18</f>
        <v>1</v>
      </c>
      <c r="S6" s="288">
        <f t="shared" si="2"/>
        <v>2</v>
      </c>
      <c r="T6" s="288">
        <f t="shared" si="2"/>
        <v>3</v>
      </c>
      <c r="U6" s="288">
        <f t="shared" si="2"/>
        <v>4</v>
      </c>
      <c r="V6" s="288">
        <f t="shared" si="2"/>
        <v>5</v>
      </c>
      <c r="W6" s="288">
        <f t="shared" si="2"/>
        <v>6</v>
      </c>
      <c r="X6" s="288">
        <f t="shared" si="2"/>
        <v>7</v>
      </c>
      <c r="Y6" s="288">
        <f t="shared" si="2"/>
        <v>8</v>
      </c>
      <c r="Z6" s="288">
        <f t="shared" si="2"/>
        <v>9</v>
      </c>
      <c r="AA6" s="288">
        <f t="shared" si="2"/>
        <v>10</v>
      </c>
      <c r="AB6" s="288">
        <f t="shared" si="2"/>
        <v>11</v>
      </c>
      <c r="AC6" s="288">
        <f t="shared" si="2"/>
        <v>12</v>
      </c>
      <c r="AD6" s="288">
        <f t="shared" si="2"/>
        <v>13</v>
      </c>
      <c r="AE6" s="288">
        <f t="shared" si="2"/>
        <v>14</v>
      </c>
      <c r="AF6" s="288">
        <f t="shared" si="2"/>
        <v>15</v>
      </c>
      <c r="AG6" s="288">
        <f t="shared" si="2"/>
        <v>16</v>
      </c>
      <c r="AH6" s="288">
        <f t="shared" si="2"/>
        <v>17</v>
      </c>
      <c r="AI6" s="288">
        <f t="shared" si="2"/>
        <v>18</v>
      </c>
      <c r="AJ6" s="288">
        <f t="shared" si="2"/>
        <v>19</v>
      </c>
      <c r="AK6" s="288">
        <f t="shared" si="2"/>
        <v>20</v>
      </c>
      <c r="AL6" s="288">
        <f t="shared" si="2"/>
        <v>21</v>
      </c>
      <c r="AM6" s="288">
        <f t="shared" si="2"/>
        <v>22</v>
      </c>
      <c r="AN6" s="288">
        <f t="shared" si="2"/>
        <v>23</v>
      </c>
      <c r="AO6" s="288">
        <f t="shared" si="2"/>
        <v>24</v>
      </c>
      <c r="AP6" s="288">
        <f t="shared" si="2"/>
        <v>25</v>
      </c>
      <c r="AQ6" s="288">
        <f t="shared" si="2"/>
        <v>26</v>
      </c>
      <c r="AR6" s="288">
        <f t="shared" si="2"/>
        <v>27</v>
      </c>
      <c r="AS6" s="288">
        <f t="shared" si="2"/>
        <v>28</v>
      </c>
      <c r="AT6" s="288">
        <f t="shared" si="2"/>
        <v>29</v>
      </c>
      <c r="AU6" s="288">
        <f t="shared" si="2"/>
        <v>30</v>
      </c>
      <c r="AV6" s="288">
        <f t="shared" si="2"/>
        <v>31</v>
      </c>
      <c r="AW6" s="288">
        <f t="shared" si="2"/>
        <v>32</v>
      </c>
      <c r="AX6" s="288">
        <f t="shared" si="2"/>
        <v>33</v>
      </c>
      <c r="AY6" s="288">
        <f t="shared" si="2"/>
        <v>34</v>
      </c>
      <c r="AZ6" s="288">
        <f t="shared" si="2"/>
        <v>35</v>
      </c>
      <c r="BA6" s="288">
        <f t="shared" si="2"/>
        <v>36</v>
      </c>
      <c r="BB6" s="288">
        <f t="shared" si="2"/>
        <v>37</v>
      </c>
      <c r="BC6" s="288">
        <f t="shared" si="2"/>
        <v>38</v>
      </c>
      <c r="BD6" s="288">
        <f t="shared" si="2"/>
        <v>39</v>
      </c>
      <c r="BE6" s="288">
        <f t="shared" si="2"/>
        <v>40</v>
      </c>
      <c r="BF6" s="288">
        <f t="shared" si="2"/>
        <v>41</v>
      </c>
      <c r="BG6" s="288">
        <f t="shared" si="2"/>
        <v>42</v>
      </c>
      <c r="BH6" s="288">
        <f t="shared" si="2"/>
        <v>43</v>
      </c>
      <c r="BI6" s="288">
        <f t="shared" si="2"/>
        <v>44</v>
      </c>
      <c r="BJ6" s="288">
        <f t="shared" si="2"/>
        <v>45</v>
      </c>
      <c r="BK6" s="288">
        <f t="shared" si="2"/>
        <v>46</v>
      </c>
      <c r="BL6" s="288">
        <f t="shared" si="2"/>
        <v>47</v>
      </c>
      <c r="BM6" s="288">
        <f t="shared" si="2"/>
        <v>48</v>
      </c>
      <c r="BN6" s="288">
        <f t="shared" si="2"/>
        <v>49</v>
      </c>
      <c r="BO6" s="288">
        <f t="shared" si="2"/>
        <v>50</v>
      </c>
      <c r="BP6" s="288">
        <f t="shared" si="2"/>
        <v>51</v>
      </c>
      <c r="BQ6" s="288">
        <f t="shared" si="2"/>
        <v>52</v>
      </c>
      <c r="BR6" s="288">
        <f t="shared" si="2"/>
        <v>53</v>
      </c>
      <c r="BS6" s="288">
        <f t="shared" si="2"/>
        <v>54</v>
      </c>
      <c r="BT6" s="288">
        <f t="shared" si="2"/>
        <v>55</v>
      </c>
      <c r="BU6" s="288">
        <f t="shared" si="2"/>
        <v>56</v>
      </c>
      <c r="BV6" s="288">
        <f t="shared" si="2"/>
        <v>57</v>
      </c>
      <c r="BW6" s="288">
        <f t="shared" si="2"/>
        <v>58</v>
      </c>
      <c r="BX6" s="288">
        <f t="shared" si="2"/>
        <v>59</v>
      </c>
      <c r="BY6" s="288">
        <f t="shared" si="2"/>
        <v>60</v>
      </c>
      <c r="BZ6" s="288">
        <f t="shared" si="2"/>
        <v>61</v>
      </c>
      <c r="CA6" s="288">
        <f t="shared" si="2"/>
        <v>62</v>
      </c>
      <c r="CB6" s="288">
        <f t="shared" si="2"/>
        <v>63</v>
      </c>
      <c r="CC6" s="288">
        <f t="shared" si="2"/>
        <v>64</v>
      </c>
      <c r="CD6" s="288">
        <f t="shared" ref="CD6:DF7" si="3">CD18</f>
        <v>65</v>
      </c>
      <c r="CE6" s="288">
        <f t="shared" si="3"/>
        <v>66</v>
      </c>
      <c r="CF6" s="288">
        <f t="shared" si="3"/>
        <v>67</v>
      </c>
      <c r="CG6" s="288">
        <f t="shared" si="3"/>
        <v>68</v>
      </c>
      <c r="CH6" s="288">
        <f t="shared" si="3"/>
        <v>69</v>
      </c>
      <c r="CI6" s="288">
        <f t="shared" si="3"/>
        <v>70</v>
      </c>
      <c r="CJ6" s="288">
        <f t="shared" si="3"/>
        <v>71</v>
      </c>
      <c r="CK6" s="288">
        <f t="shared" si="3"/>
        <v>72</v>
      </c>
      <c r="CL6" s="288">
        <f t="shared" si="3"/>
        <v>73</v>
      </c>
      <c r="CM6" s="288">
        <f t="shared" si="3"/>
        <v>74</v>
      </c>
      <c r="CN6" s="288">
        <f t="shared" si="3"/>
        <v>75</v>
      </c>
      <c r="CO6" s="288">
        <f t="shared" si="3"/>
        <v>76</v>
      </c>
      <c r="CP6" s="288">
        <f t="shared" si="3"/>
        <v>77</v>
      </c>
      <c r="CQ6" s="288">
        <f t="shared" si="3"/>
        <v>78</v>
      </c>
      <c r="CR6" s="288">
        <f t="shared" si="3"/>
        <v>79</v>
      </c>
      <c r="CS6" s="288">
        <f t="shared" si="3"/>
        <v>80</v>
      </c>
      <c r="CT6" s="288">
        <f t="shared" si="3"/>
        <v>81</v>
      </c>
      <c r="CU6" s="288">
        <f t="shared" si="3"/>
        <v>82</v>
      </c>
      <c r="CV6" s="288">
        <f t="shared" si="3"/>
        <v>83</v>
      </c>
      <c r="CW6" s="288">
        <f t="shared" si="3"/>
        <v>84</v>
      </c>
      <c r="CX6" s="288">
        <f t="shared" si="3"/>
        <v>85</v>
      </c>
      <c r="CY6" s="288">
        <f t="shared" si="3"/>
        <v>86</v>
      </c>
      <c r="CZ6" s="288">
        <f t="shared" si="3"/>
        <v>87</v>
      </c>
      <c r="DA6" s="288">
        <f t="shared" si="3"/>
        <v>88</v>
      </c>
      <c r="DB6" s="288">
        <f t="shared" si="3"/>
        <v>89</v>
      </c>
      <c r="DC6" s="288">
        <f t="shared" si="3"/>
        <v>90</v>
      </c>
      <c r="DD6" s="288">
        <f t="shared" si="3"/>
        <v>91</v>
      </c>
      <c r="DE6" s="288">
        <f t="shared" si="3"/>
        <v>92</v>
      </c>
      <c r="DF6" s="288">
        <f t="shared" si="3"/>
        <v>93</v>
      </c>
    </row>
    <row r="7" spans="2:110" s="282" customFormat="1" ht="12.75" customHeight="1" x14ac:dyDescent="0.2">
      <c r="H7" s="284"/>
      <c r="O7" s="282" t="s">
        <v>54</v>
      </c>
      <c r="R7" s="289" t="str">
        <f>R19</f>
        <v>Const</v>
      </c>
      <c r="S7" s="289" t="str">
        <f t="shared" si="2"/>
        <v>Const</v>
      </c>
      <c r="T7" s="289" t="str">
        <f t="shared" si="2"/>
        <v>Const</v>
      </c>
      <c r="U7" s="289" t="str">
        <f t="shared" si="2"/>
        <v>Ops</v>
      </c>
      <c r="V7" s="289" t="str">
        <f t="shared" si="2"/>
        <v>Ops</v>
      </c>
      <c r="W7" s="289" t="str">
        <f t="shared" si="2"/>
        <v>Ops</v>
      </c>
      <c r="X7" s="289" t="str">
        <f t="shared" si="2"/>
        <v>Ops</v>
      </c>
      <c r="Y7" s="289" t="str">
        <f t="shared" si="2"/>
        <v>Ops</v>
      </c>
      <c r="Z7" s="289" t="str">
        <f t="shared" si="2"/>
        <v>Ops</v>
      </c>
      <c r="AA7" s="289" t="str">
        <f t="shared" si="2"/>
        <v>Ops</v>
      </c>
      <c r="AB7" s="289" t="str">
        <f t="shared" si="2"/>
        <v>Ops</v>
      </c>
      <c r="AC7" s="289" t="str">
        <f t="shared" si="2"/>
        <v>Ops</v>
      </c>
      <c r="AD7" s="289" t="str">
        <f t="shared" si="2"/>
        <v>Ops</v>
      </c>
      <c r="AE7" s="289" t="str">
        <f t="shared" si="2"/>
        <v>Ops</v>
      </c>
      <c r="AF7" s="289" t="str">
        <f t="shared" si="2"/>
        <v>Ops</v>
      </c>
      <c r="AG7" s="289" t="str">
        <f t="shared" si="2"/>
        <v>Ops</v>
      </c>
      <c r="AH7" s="289" t="str">
        <f t="shared" si="2"/>
        <v>Ops</v>
      </c>
      <c r="AI7" s="289" t="str">
        <f t="shared" si="2"/>
        <v>Ops</v>
      </c>
      <c r="AJ7" s="289" t="str">
        <f t="shared" si="2"/>
        <v>Ops</v>
      </c>
      <c r="AK7" s="289" t="str">
        <f t="shared" si="2"/>
        <v>Ops</v>
      </c>
      <c r="AL7" s="289" t="str">
        <f t="shared" si="2"/>
        <v>Ops</v>
      </c>
      <c r="AM7" s="289" t="str">
        <f t="shared" si="2"/>
        <v>Ops</v>
      </c>
      <c r="AN7" s="289" t="str">
        <f t="shared" si="2"/>
        <v>Ops</v>
      </c>
      <c r="AO7" s="289" t="str">
        <f t="shared" si="2"/>
        <v>Ops</v>
      </c>
      <c r="AP7" s="289" t="str">
        <f t="shared" si="2"/>
        <v>Ops</v>
      </c>
      <c r="AQ7" s="289" t="str">
        <f t="shared" si="2"/>
        <v>Ops</v>
      </c>
      <c r="AR7" s="289" t="str">
        <f t="shared" si="2"/>
        <v>Ops</v>
      </c>
      <c r="AS7" s="289" t="str">
        <f t="shared" si="2"/>
        <v>Ops</v>
      </c>
      <c r="AT7" s="289" t="str">
        <f t="shared" si="2"/>
        <v>Ops</v>
      </c>
      <c r="AU7" s="289" t="str">
        <f t="shared" si="2"/>
        <v>Ops</v>
      </c>
      <c r="AV7" s="289" t="str">
        <f t="shared" si="2"/>
        <v>Ops</v>
      </c>
      <c r="AW7" s="289" t="str">
        <f t="shared" si="2"/>
        <v>Ops</v>
      </c>
      <c r="AX7" s="289" t="str">
        <f t="shared" si="2"/>
        <v>Ops</v>
      </c>
      <c r="AY7" s="289" t="str">
        <f t="shared" si="2"/>
        <v>Ops</v>
      </c>
      <c r="AZ7" s="289" t="str">
        <f t="shared" si="2"/>
        <v>Ops</v>
      </c>
      <c r="BA7" s="289" t="str">
        <f t="shared" si="2"/>
        <v>Ops</v>
      </c>
      <c r="BB7" s="289" t="str">
        <f t="shared" si="2"/>
        <v>Ops</v>
      </c>
      <c r="BC7" s="289" t="str">
        <f t="shared" si="2"/>
        <v>Ops</v>
      </c>
      <c r="BD7" s="289" t="str">
        <f t="shared" si="2"/>
        <v>Ops</v>
      </c>
      <c r="BE7" s="289" t="str">
        <f t="shared" si="2"/>
        <v>Ops</v>
      </c>
      <c r="BF7" s="289" t="str">
        <f t="shared" si="2"/>
        <v>Ops</v>
      </c>
      <c r="BG7" s="289" t="str">
        <f t="shared" si="2"/>
        <v>Ops</v>
      </c>
      <c r="BH7" s="289" t="str">
        <f t="shared" si="2"/>
        <v>Ops</v>
      </c>
      <c r="BI7" s="289" t="str">
        <f t="shared" si="2"/>
        <v>Ops</v>
      </c>
      <c r="BJ7" s="289" t="str">
        <f t="shared" si="2"/>
        <v>Ops</v>
      </c>
      <c r="BK7" s="289" t="str">
        <f t="shared" si="2"/>
        <v>Ops</v>
      </c>
      <c r="BL7" s="289" t="str">
        <f t="shared" si="2"/>
        <v>Ops</v>
      </c>
      <c r="BM7" s="289" t="str">
        <f t="shared" si="2"/>
        <v>Ops</v>
      </c>
      <c r="BN7" s="289" t="str">
        <f t="shared" si="2"/>
        <v>Ops</v>
      </c>
      <c r="BO7" s="289" t="str">
        <f t="shared" si="2"/>
        <v>Ops</v>
      </c>
      <c r="BP7" s="289" t="str">
        <f t="shared" si="2"/>
        <v>Ops</v>
      </c>
      <c r="BQ7" s="289" t="str">
        <f t="shared" si="2"/>
        <v>Ops</v>
      </c>
      <c r="BR7" s="289" t="str">
        <f t="shared" si="2"/>
        <v>Ops</v>
      </c>
      <c r="BS7" s="289" t="str">
        <f t="shared" si="2"/>
        <v>Ops</v>
      </c>
      <c r="BT7" s="289" t="str">
        <f t="shared" si="2"/>
        <v/>
      </c>
      <c r="BU7" s="289" t="str">
        <f t="shared" si="2"/>
        <v/>
      </c>
      <c r="BV7" s="289" t="str">
        <f t="shared" si="2"/>
        <v/>
      </c>
      <c r="BW7" s="289" t="str">
        <f t="shared" si="2"/>
        <v/>
      </c>
      <c r="BX7" s="289" t="str">
        <f t="shared" si="2"/>
        <v/>
      </c>
      <c r="BY7" s="289" t="str">
        <f t="shared" si="2"/>
        <v/>
      </c>
      <c r="BZ7" s="289" t="str">
        <f t="shared" si="2"/>
        <v/>
      </c>
      <c r="CA7" s="289" t="str">
        <f t="shared" si="2"/>
        <v/>
      </c>
      <c r="CB7" s="289" t="str">
        <f t="shared" si="2"/>
        <v/>
      </c>
      <c r="CC7" s="289" t="str">
        <f t="shared" si="2"/>
        <v/>
      </c>
      <c r="CD7" s="289" t="str">
        <f t="shared" si="3"/>
        <v/>
      </c>
      <c r="CE7" s="289" t="str">
        <f t="shared" si="3"/>
        <v/>
      </c>
      <c r="CF7" s="289" t="str">
        <f t="shared" si="3"/>
        <v/>
      </c>
      <c r="CG7" s="289" t="str">
        <f t="shared" si="3"/>
        <v/>
      </c>
      <c r="CH7" s="289" t="str">
        <f t="shared" si="3"/>
        <v/>
      </c>
      <c r="CI7" s="289" t="str">
        <f t="shared" si="3"/>
        <v/>
      </c>
      <c r="CJ7" s="289" t="str">
        <f t="shared" si="3"/>
        <v/>
      </c>
      <c r="CK7" s="289" t="str">
        <f t="shared" si="3"/>
        <v/>
      </c>
      <c r="CL7" s="289" t="str">
        <f t="shared" si="3"/>
        <v/>
      </c>
      <c r="CM7" s="289" t="str">
        <f t="shared" si="3"/>
        <v/>
      </c>
      <c r="CN7" s="289" t="str">
        <f t="shared" si="3"/>
        <v/>
      </c>
      <c r="CO7" s="289" t="str">
        <f t="shared" si="3"/>
        <v/>
      </c>
      <c r="CP7" s="289" t="str">
        <f t="shared" si="3"/>
        <v/>
      </c>
      <c r="CQ7" s="289" t="str">
        <f t="shared" si="3"/>
        <v/>
      </c>
      <c r="CR7" s="289" t="str">
        <f t="shared" si="3"/>
        <v/>
      </c>
      <c r="CS7" s="289" t="str">
        <f t="shared" si="3"/>
        <v/>
      </c>
      <c r="CT7" s="289" t="str">
        <f t="shared" si="3"/>
        <v/>
      </c>
      <c r="CU7" s="289" t="str">
        <f t="shared" si="3"/>
        <v/>
      </c>
      <c r="CV7" s="289" t="str">
        <f t="shared" si="3"/>
        <v/>
      </c>
      <c r="CW7" s="289" t="str">
        <f t="shared" si="3"/>
        <v/>
      </c>
      <c r="CX7" s="289" t="str">
        <f t="shared" si="3"/>
        <v/>
      </c>
      <c r="CY7" s="289" t="str">
        <f t="shared" si="3"/>
        <v/>
      </c>
      <c r="CZ7" s="289" t="str">
        <f t="shared" si="3"/>
        <v/>
      </c>
      <c r="DA7" s="289" t="str">
        <f t="shared" si="3"/>
        <v/>
      </c>
      <c r="DB7" s="289" t="str">
        <f t="shared" si="3"/>
        <v/>
      </c>
      <c r="DC7" s="289" t="str">
        <f t="shared" si="3"/>
        <v/>
      </c>
      <c r="DD7" s="289" t="str">
        <f t="shared" si="3"/>
        <v/>
      </c>
      <c r="DE7" s="289" t="str">
        <f t="shared" si="3"/>
        <v/>
      </c>
      <c r="DF7" s="289" t="str">
        <f t="shared" si="3"/>
        <v/>
      </c>
    </row>
    <row r="8" spans="2:110" s="282" customFormat="1" ht="12.75" customHeight="1" x14ac:dyDescent="0.2">
      <c r="H8" s="284"/>
      <c r="O8" s="282" t="s">
        <v>7</v>
      </c>
      <c r="R8" s="289" t="str">
        <f t="shared" ref="R8:CC8" si="4">R57</f>
        <v/>
      </c>
      <c r="S8" s="289" t="str">
        <f t="shared" si="4"/>
        <v/>
      </c>
      <c r="T8" s="289" t="str">
        <f t="shared" si="4"/>
        <v/>
      </c>
      <c r="U8" s="289" t="str">
        <f t="shared" si="4"/>
        <v/>
      </c>
      <c r="V8" s="289" t="str">
        <f t="shared" si="4"/>
        <v/>
      </c>
      <c r="W8" s="289" t="str">
        <f t="shared" si="4"/>
        <v>Hold</v>
      </c>
      <c r="X8" s="289" t="str">
        <f t="shared" si="4"/>
        <v>Hold</v>
      </c>
      <c r="Y8" s="289" t="str">
        <f t="shared" si="4"/>
        <v>Hold</v>
      </c>
      <c r="Z8" s="289" t="str">
        <f t="shared" si="4"/>
        <v>Hold</v>
      </c>
      <c r="AA8" s="289" t="str">
        <f t="shared" si="4"/>
        <v>Hold</v>
      </c>
      <c r="AB8" s="289" t="str">
        <f t="shared" si="4"/>
        <v>Hold</v>
      </c>
      <c r="AC8" s="289" t="str">
        <f t="shared" si="4"/>
        <v>Hold</v>
      </c>
      <c r="AD8" s="289" t="str">
        <f t="shared" si="4"/>
        <v>Hold</v>
      </c>
      <c r="AE8" s="289" t="str">
        <f t="shared" si="4"/>
        <v>Hold</v>
      </c>
      <c r="AF8" s="289" t="str">
        <f t="shared" si="4"/>
        <v>Hold</v>
      </c>
      <c r="AG8" s="289" t="str">
        <f t="shared" si="4"/>
        <v>Hold</v>
      </c>
      <c r="AH8" s="289" t="str">
        <f t="shared" si="4"/>
        <v/>
      </c>
      <c r="AI8" s="289" t="str">
        <f t="shared" si="4"/>
        <v/>
      </c>
      <c r="AJ8" s="289" t="str">
        <f t="shared" si="4"/>
        <v/>
      </c>
      <c r="AK8" s="289" t="str">
        <f t="shared" si="4"/>
        <v/>
      </c>
      <c r="AL8" s="289" t="str">
        <f t="shared" si="4"/>
        <v/>
      </c>
      <c r="AM8" s="289" t="str">
        <f t="shared" si="4"/>
        <v/>
      </c>
      <c r="AN8" s="289" t="str">
        <f t="shared" si="4"/>
        <v/>
      </c>
      <c r="AO8" s="289" t="str">
        <f t="shared" si="4"/>
        <v/>
      </c>
      <c r="AP8" s="289" t="str">
        <f t="shared" si="4"/>
        <v/>
      </c>
      <c r="AQ8" s="289" t="str">
        <f t="shared" si="4"/>
        <v/>
      </c>
      <c r="AR8" s="289" t="str">
        <f t="shared" si="4"/>
        <v/>
      </c>
      <c r="AS8" s="289" t="str">
        <f t="shared" si="4"/>
        <v/>
      </c>
      <c r="AT8" s="289" t="str">
        <f t="shared" si="4"/>
        <v/>
      </c>
      <c r="AU8" s="289" t="str">
        <f t="shared" si="4"/>
        <v/>
      </c>
      <c r="AV8" s="289" t="str">
        <f t="shared" si="4"/>
        <v/>
      </c>
      <c r="AW8" s="289" t="str">
        <f t="shared" si="4"/>
        <v/>
      </c>
      <c r="AX8" s="289" t="str">
        <f t="shared" si="4"/>
        <v/>
      </c>
      <c r="AY8" s="289" t="str">
        <f t="shared" si="4"/>
        <v/>
      </c>
      <c r="AZ8" s="289" t="str">
        <f t="shared" si="4"/>
        <v/>
      </c>
      <c r="BA8" s="289" t="str">
        <f t="shared" si="4"/>
        <v/>
      </c>
      <c r="BB8" s="289" t="str">
        <f t="shared" si="4"/>
        <v/>
      </c>
      <c r="BC8" s="289" t="str">
        <f t="shared" si="4"/>
        <v/>
      </c>
      <c r="BD8" s="289" t="str">
        <f t="shared" si="4"/>
        <v/>
      </c>
      <c r="BE8" s="289" t="str">
        <f t="shared" si="4"/>
        <v/>
      </c>
      <c r="BF8" s="289" t="str">
        <f t="shared" si="4"/>
        <v/>
      </c>
      <c r="BG8" s="289" t="str">
        <f t="shared" si="4"/>
        <v/>
      </c>
      <c r="BH8" s="289" t="str">
        <f t="shared" si="4"/>
        <v/>
      </c>
      <c r="BI8" s="289" t="str">
        <f t="shared" si="4"/>
        <v/>
      </c>
      <c r="BJ8" s="289" t="str">
        <f t="shared" si="4"/>
        <v/>
      </c>
      <c r="BK8" s="289" t="str">
        <f t="shared" si="4"/>
        <v/>
      </c>
      <c r="BL8" s="289" t="str">
        <f t="shared" si="4"/>
        <v/>
      </c>
      <c r="BM8" s="289" t="str">
        <f t="shared" si="4"/>
        <v/>
      </c>
      <c r="BN8" s="289" t="str">
        <f t="shared" si="4"/>
        <v/>
      </c>
      <c r="BO8" s="289" t="str">
        <f t="shared" si="4"/>
        <v/>
      </c>
      <c r="BP8" s="289" t="str">
        <f t="shared" si="4"/>
        <v/>
      </c>
      <c r="BQ8" s="289" t="str">
        <f t="shared" si="4"/>
        <v/>
      </c>
      <c r="BR8" s="289" t="str">
        <f t="shared" si="4"/>
        <v/>
      </c>
      <c r="BS8" s="289" t="str">
        <f t="shared" si="4"/>
        <v/>
      </c>
      <c r="BT8" s="289" t="str">
        <f t="shared" si="4"/>
        <v/>
      </c>
      <c r="BU8" s="289" t="str">
        <f t="shared" si="4"/>
        <v/>
      </c>
      <c r="BV8" s="289" t="str">
        <f t="shared" si="4"/>
        <v/>
      </c>
      <c r="BW8" s="289" t="str">
        <f t="shared" si="4"/>
        <v/>
      </c>
      <c r="BX8" s="289" t="str">
        <f t="shared" si="4"/>
        <v/>
      </c>
      <c r="BY8" s="289" t="str">
        <f t="shared" si="4"/>
        <v/>
      </c>
      <c r="BZ8" s="289" t="str">
        <f t="shared" si="4"/>
        <v/>
      </c>
      <c r="CA8" s="289" t="str">
        <f t="shared" si="4"/>
        <v/>
      </c>
      <c r="CB8" s="289" t="str">
        <f t="shared" si="4"/>
        <v/>
      </c>
      <c r="CC8" s="289" t="str">
        <f t="shared" si="4"/>
        <v/>
      </c>
      <c r="CD8" s="289" t="str">
        <f t="shared" ref="CD8:DF8" si="5">CD57</f>
        <v/>
      </c>
      <c r="CE8" s="289" t="str">
        <f t="shared" si="5"/>
        <v/>
      </c>
      <c r="CF8" s="289" t="str">
        <f t="shared" si="5"/>
        <v/>
      </c>
      <c r="CG8" s="289" t="str">
        <f t="shared" si="5"/>
        <v/>
      </c>
      <c r="CH8" s="289" t="str">
        <f t="shared" si="5"/>
        <v/>
      </c>
      <c r="CI8" s="289" t="str">
        <f t="shared" si="5"/>
        <v/>
      </c>
      <c r="CJ8" s="289" t="str">
        <f t="shared" si="5"/>
        <v/>
      </c>
      <c r="CK8" s="289" t="str">
        <f t="shared" si="5"/>
        <v/>
      </c>
      <c r="CL8" s="289" t="str">
        <f t="shared" si="5"/>
        <v/>
      </c>
      <c r="CM8" s="289" t="str">
        <f t="shared" si="5"/>
        <v/>
      </c>
      <c r="CN8" s="289" t="str">
        <f t="shared" si="5"/>
        <v/>
      </c>
      <c r="CO8" s="289" t="str">
        <f t="shared" si="5"/>
        <v/>
      </c>
      <c r="CP8" s="289" t="str">
        <f t="shared" si="5"/>
        <v/>
      </c>
      <c r="CQ8" s="289" t="str">
        <f t="shared" si="5"/>
        <v/>
      </c>
      <c r="CR8" s="289" t="str">
        <f t="shared" si="5"/>
        <v/>
      </c>
      <c r="CS8" s="289" t="str">
        <f t="shared" si="5"/>
        <v/>
      </c>
      <c r="CT8" s="289" t="str">
        <f t="shared" si="5"/>
        <v/>
      </c>
      <c r="CU8" s="289" t="str">
        <f t="shared" si="5"/>
        <v/>
      </c>
      <c r="CV8" s="289" t="str">
        <f t="shared" si="5"/>
        <v/>
      </c>
      <c r="CW8" s="289" t="str">
        <f t="shared" si="5"/>
        <v/>
      </c>
      <c r="CX8" s="289" t="str">
        <f t="shared" si="5"/>
        <v/>
      </c>
      <c r="CY8" s="289" t="str">
        <f t="shared" si="5"/>
        <v/>
      </c>
      <c r="CZ8" s="289" t="str">
        <f t="shared" si="5"/>
        <v/>
      </c>
      <c r="DA8" s="289" t="str">
        <f t="shared" si="5"/>
        <v/>
      </c>
      <c r="DB8" s="289" t="str">
        <f t="shared" si="5"/>
        <v/>
      </c>
      <c r="DC8" s="289" t="str">
        <f t="shared" si="5"/>
        <v/>
      </c>
      <c r="DD8" s="289" t="str">
        <f t="shared" si="5"/>
        <v/>
      </c>
      <c r="DE8" s="289" t="str">
        <f t="shared" si="5"/>
        <v/>
      </c>
      <c r="DF8" s="289" t="str">
        <f t="shared" si="5"/>
        <v/>
      </c>
    </row>
    <row r="9" spans="2:110" s="282" customFormat="1" ht="12.75" customHeight="1" x14ac:dyDescent="0.2">
      <c r="H9" s="284"/>
    </row>
    <row r="10" spans="2:110" ht="12.75" customHeight="1" x14ac:dyDescent="0.25">
      <c r="H10" s="54"/>
    </row>
    <row r="11" spans="2:110" ht="12.75" customHeight="1" x14ac:dyDescent="0.25">
      <c r="B11" s="21" t="s">
        <v>55</v>
      </c>
      <c r="H11" s="54"/>
    </row>
    <row r="12" spans="2:110" ht="12.75" customHeight="1" x14ac:dyDescent="0.25">
      <c r="H12" s="54"/>
    </row>
    <row r="13" spans="2:110" ht="12.75" customHeight="1" x14ac:dyDescent="0.25">
      <c r="B13" t="s">
        <v>56</v>
      </c>
      <c r="J13" s="54" t="s">
        <v>6</v>
      </c>
      <c r="R13" s="82">
        <v>0.01</v>
      </c>
      <c r="S13" s="82">
        <v>0.01</v>
      </c>
      <c r="T13" s="82">
        <v>0.01</v>
      </c>
      <c r="U13" s="82">
        <v>0.01</v>
      </c>
      <c r="V13" s="82">
        <v>0.01</v>
      </c>
      <c r="W13" s="82">
        <v>0.01</v>
      </c>
      <c r="X13" s="82">
        <v>0.01</v>
      </c>
      <c r="Y13" s="82">
        <v>0.01</v>
      </c>
      <c r="Z13" s="82">
        <v>0.01</v>
      </c>
      <c r="AA13" s="82">
        <v>0.01</v>
      </c>
      <c r="AB13" s="82">
        <v>0.01</v>
      </c>
      <c r="AC13" s="82">
        <v>0.01</v>
      </c>
      <c r="AD13" s="82">
        <v>0.01</v>
      </c>
      <c r="AE13" s="82">
        <v>0.01</v>
      </c>
      <c r="AF13" s="82">
        <v>0.01</v>
      </c>
      <c r="AG13" s="82">
        <v>0.01</v>
      </c>
      <c r="AH13" s="82">
        <v>0.01</v>
      </c>
      <c r="AI13" s="82">
        <v>0.01</v>
      </c>
      <c r="AJ13" s="82">
        <v>0.01</v>
      </c>
      <c r="AK13" s="82">
        <v>0.01</v>
      </c>
      <c r="AL13" s="82">
        <v>0.01</v>
      </c>
      <c r="AM13" s="82">
        <v>0.01</v>
      </c>
      <c r="AN13" s="82">
        <v>0.01</v>
      </c>
      <c r="AO13" s="82">
        <v>0.01</v>
      </c>
      <c r="AP13" s="82">
        <v>0.01</v>
      </c>
      <c r="AQ13" s="82">
        <v>0.01</v>
      </c>
      <c r="AR13" s="82">
        <v>0.01</v>
      </c>
      <c r="AS13" s="82">
        <v>0.01</v>
      </c>
      <c r="AT13" s="82">
        <v>0.01</v>
      </c>
      <c r="AU13" s="82">
        <v>0.01</v>
      </c>
      <c r="AV13" s="82">
        <v>0.01</v>
      </c>
      <c r="AW13" s="82">
        <v>0.01</v>
      </c>
      <c r="AX13" s="82">
        <v>0.01</v>
      </c>
      <c r="AY13" s="82">
        <v>0.01</v>
      </c>
      <c r="AZ13" s="82">
        <v>0.01</v>
      </c>
      <c r="BA13" s="82">
        <v>0.01</v>
      </c>
      <c r="BB13" s="82">
        <v>0.01</v>
      </c>
      <c r="BC13" s="82">
        <v>0.01</v>
      </c>
      <c r="BD13" s="82">
        <v>0.01</v>
      </c>
      <c r="BE13" s="82">
        <v>0.01</v>
      </c>
      <c r="BF13" s="82">
        <v>0.01</v>
      </c>
      <c r="BG13" s="82">
        <v>0.01</v>
      </c>
      <c r="BH13" s="82">
        <v>0.01</v>
      </c>
      <c r="BI13" s="82">
        <v>0.01</v>
      </c>
      <c r="BJ13" s="82">
        <v>0.01</v>
      </c>
      <c r="BK13" s="82">
        <v>0.01</v>
      </c>
      <c r="BL13" s="82">
        <v>0.01</v>
      </c>
      <c r="BM13" s="82">
        <v>0.01</v>
      </c>
      <c r="BN13" s="82">
        <v>0.01</v>
      </c>
      <c r="BO13" s="82">
        <v>0.01</v>
      </c>
      <c r="BP13" s="82">
        <v>0.01</v>
      </c>
      <c r="BQ13" s="82">
        <v>0.01</v>
      </c>
      <c r="BR13" s="82">
        <v>0.01</v>
      </c>
      <c r="BS13" s="82">
        <v>0.01</v>
      </c>
      <c r="BT13" s="82">
        <v>0.01</v>
      </c>
      <c r="BU13" s="82">
        <v>0.01</v>
      </c>
      <c r="BV13" s="82">
        <v>0.01</v>
      </c>
      <c r="BW13" s="82">
        <v>0.01</v>
      </c>
      <c r="BX13" s="82">
        <v>0.01</v>
      </c>
      <c r="BY13" s="82">
        <v>0.01</v>
      </c>
      <c r="BZ13" s="82">
        <v>0.01</v>
      </c>
      <c r="CA13" s="82">
        <v>0.01</v>
      </c>
      <c r="CB13" s="82">
        <v>0.01</v>
      </c>
      <c r="CC13" s="82">
        <v>0.01</v>
      </c>
      <c r="CD13" s="82">
        <v>0.01</v>
      </c>
      <c r="CE13" s="82">
        <v>0.01</v>
      </c>
      <c r="CF13" s="82">
        <v>0.01</v>
      </c>
      <c r="CG13" s="82">
        <v>0</v>
      </c>
      <c r="CH13" s="82">
        <v>0</v>
      </c>
      <c r="CI13" s="82">
        <v>0</v>
      </c>
      <c r="CJ13" s="82">
        <v>0</v>
      </c>
      <c r="CK13" s="82">
        <v>0</v>
      </c>
      <c r="CL13" s="82">
        <v>0</v>
      </c>
      <c r="CM13" s="82">
        <v>0</v>
      </c>
      <c r="CN13" s="82">
        <v>0</v>
      </c>
      <c r="CO13" s="82">
        <v>0</v>
      </c>
      <c r="CP13" s="82">
        <v>0</v>
      </c>
      <c r="CQ13" s="82">
        <v>0</v>
      </c>
      <c r="CR13" s="82">
        <v>0</v>
      </c>
      <c r="CS13" s="82">
        <v>0</v>
      </c>
      <c r="CT13" s="82">
        <v>0</v>
      </c>
      <c r="CU13" s="82">
        <v>0</v>
      </c>
      <c r="CV13" s="82">
        <v>0</v>
      </c>
      <c r="CW13" s="82">
        <v>0</v>
      </c>
      <c r="CX13" s="82">
        <v>0</v>
      </c>
      <c r="CY13" s="82">
        <v>0</v>
      </c>
      <c r="CZ13" s="82">
        <v>0</v>
      </c>
      <c r="DA13" s="82">
        <v>0</v>
      </c>
      <c r="DB13" s="82">
        <v>0</v>
      </c>
      <c r="DC13" s="82">
        <v>0</v>
      </c>
      <c r="DD13" s="82">
        <v>0</v>
      </c>
      <c r="DE13" s="82">
        <v>0</v>
      </c>
      <c r="DF13" s="82">
        <v>0</v>
      </c>
    </row>
    <row r="14" spans="2:110" ht="12.75" customHeight="1" x14ac:dyDescent="0.25">
      <c r="B14" t="s">
        <v>57</v>
      </c>
      <c r="J14" s="54" t="s">
        <v>58</v>
      </c>
      <c r="L14" s="11">
        <v>1</v>
      </c>
      <c r="R14" s="10">
        <f>L14*(1+R13)</f>
        <v>1.01</v>
      </c>
      <c r="S14" s="10">
        <f t="shared" ref="S14:CD14" si="6">R14*(1+S13)</f>
        <v>1.0201</v>
      </c>
      <c r="T14" s="10">
        <f t="shared" si="6"/>
        <v>1.0303009999999999</v>
      </c>
      <c r="U14" s="10">
        <f t="shared" si="6"/>
        <v>1.04060401</v>
      </c>
      <c r="V14" s="10">
        <f t="shared" si="6"/>
        <v>1.0510100500999999</v>
      </c>
      <c r="W14" s="10">
        <f t="shared" si="6"/>
        <v>1.0615201506009999</v>
      </c>
      <c r="X14" s="10">
        <f t="shared" si="6"/>
        <v>1.0721353521070098</v>
      </c>
      <c r="Y14" s="10">
        <f t="shared" si="6"/>
        <v>1.08285670562808</v>
      </c>
      <c r="Z14" s="10">
        <f t="shared" si="6"/>
        <v>1.0936852726843609</v>
      </c>
      <c r="AA14" s="10">
        <f t="shared" si="6"/>
        <v>1.1046221254112045</v>
      </c>
      <c r="AB14" s="10">
        <f t="shared" si="6"/>
        <v>1.1156683466653166</v>
      </c>
      <c r="AC14" s="10">
        <f t="shared" si="6"/>
        <v>1.1268250301319698</v>
      </c>
      <c r="AD14" s="10">
        <f t="shared" si="6"/>
        <v>1.1380932804332895</v>
      </c>
      <c r="AE14" s="10">
        <f t="shared" si="6"/>
        <v>1.1494742132376223</v>
      </c>
      <c r="AF14" s="10">
        <f t="shared" si="6"/>
        <v>1.1609689553699987</v>
      </c>
      <c r="AG14" s="10">
        <f t="shared" si="6"/>
        <v>1.1725786449236986</v>
      </c>
      <c r="AH14" s="10">
        <f t="shared" si="6"/>
        <v>1.1843044313729356</v>
      </c>
      <c r="AI14" s="10">
        <f t="shared" si="6"/>
        <v>1.196147475686665</v>
      </c>
      <c r="AJ14" s="10">
        <f t="shared" si="6"/>
        <v>1.2081089504435316</v>
      </c>
      <c r="AK14" s="10">
        <f t="shared" si="6"/>
        <v>1.220190039947967</v>
      </c>
      <c r="AL14" s="10">
        <f t="shared" si="6"/>
        <v>1.2323919403474468</v>
      </c>
      <c r="AM14" s="10">
        <f t="shared" si="6"/>
        <v>1.2447158597509214</v>
      </c>
      <c r="AN14" s="10">
        <f t="shared" si="6"/>
        <v>1.2571630183484306</v>
      </c>
      <c r="AO14" s="10">
        <f t="shared" si="6"/>
        <v>1.269734648531915</v>
      </c>
      <c r="AP14" s="10">
        <f t="shared" si="6"/>
        <v>1.282431995017234</v>
      </c>
      <c r="AQ14" s="10">
        <f t="shared" si="6"/>
        <v>1.2952563149674063</v>
      </c>
      <c r="AR14" s="10">
        <f t="shared" si="6"/>
        <v>1.3082088781170804</v>
      </c>
      <c r="AS14" s="10">
        <f t="shared" si="6"/>
        <v>1.3212909668982513</v>
      </c>
      <c r="AT14" s="10">
        <f t="shared" si="6"/>
        <v>1.3345038765672339</v>
      </c>
      <c r="AU14" s="10">
        <f t="shared" si="6"/>
        <v>1.3478489153329063</v>
      </c>
      <c r="AV14" s="10">
        <f t="shared" si="6"/>
        <v>1.3613274044862353</v>
      </c>
      <c r="AW14" s="10">
        <f t="shared" si="6"/>
        <v>1.3749406785310978</v>
      </c>
      <c r="AX14" s="10">
        <f t="shared" si="6"/>
        <v>1.3886900853164088</v>
      </c>
      <c r="AY14" s="10">
        <f t="shared" si="6"/>
        <v>1.4025769861695729</v>
      </c>
      <c r="AZ14" s="10">
        <f t="shared" si="6"/>
        <v>1.4166027560312686</v>
      </c>
      <c r="BA14" s="10">
        <f t="shared" si="6"/>
        <v>1.4307687835915812</v>
      </c>
      <c r="BB14" s="10">
        <f t="shared" si="6"/>
        <v>1.4450764714274971</v>
      </c>
      <c r="BC14" s="10">
        <f t="shared" si="6"/>
        <v>1.4595272361417722</v>
      </c>
      <c r="BD14" s="10">
        <f t="shared" si="6"/>
        <v>1.4741225085031899</v>
      </c>
      <c r="BE14" s="10">
        <f t="shared" si="6"/>
        <v>1.4888637335882218</v>
      </c>
      <c r="BF14" s="10">
        <f t="shared" si="6"/>
        <v>1.5037523709241041</v>
      </c>
      <c r="BG14" s="10">
        <f t="shared" si="6"/>
        <v>1.5187898946333451</v>
      </c>
      <c r="BH14" s="10">
        <f t="shared" si="6"/>
        <v>1.5339777935796786</v>
      </c>
      <c r="BI14" s="10">
        <f t="shared" si="6"/>
        <v>1.5493175715154754</v>
      </c>
      <c r="BJ14" s="10">
        <f t="shared" si="6"/>
        <v>1.5648107472306303</v>
      </c>
      <c r="BK14" s="10">
        <f t="shared" si="6"/>
        <v>1.5804588547029366</v>
      </c>
      <c r="BL14" s="10">
        <f t="shared" si="6"/>
        <v>1.5962634432499661</v>
      </c>
      <c r="BM14" s="10">
        <f t="shared" si="6"/>
        <v>1.6122260776824657</v>
      </c>
      <c r="BN14" s="10">
        <f t="shared" si="6"/>
        <v>1.6283483384592905</v>
      </c>
      <c r="BO14" s="10">
        <f t="shared" si="6"/>
        <v>1.6446318218438833</v>
      </c>
      <c r="BP14" s="10">
        <f t="shared" si="6"/>
        <v>1.6610781400623222</v>
      </c>
      <c r="BQ14" s="10">
        <f t="shared" si="6"/>
        <v>1.6776889214629456</v>
      </c>
      <c r="BR14" s="10">
        <f t="shared" si="6"/>
        <v>1.694465810677575</v>
      </c>
      <c r="BS14" s="10">
        <f t="shared" si="6"/>
        <v>1.7114104687843508</v>
      </c>
      <c r="BT14" s="10">
        <f t="shared" si="6"/>
        <v>1.7285245734721943</v>
      </c>
      <c r="BU14" s="10">
        <f t="shared" si="6"/>
        <v>1.7458098192069162</v>
      </c>
      <c r="BV14" s="10">
        <f t="shared" si="6"/>
        <v>1.7632679173989854</v>
      </c>
      <c r="BW14" s="10">
        <f t="shared" si="6"/>
        <v>1.7809005965729752</v>
      </c>
      <c r="BX14" s="10">
        <f t="shared" si="6"/>
        <v>1.798709602538705</v>
      </c>
      <c r="BY14" s="10">
        <f t="shared" si="6"/>
        <v>1.8166966985640922</v>
      </c>
      <c r="BZ14" s="10">
        <f t="shared" si="6"/>
        <v>1.8348636655497332</v>
      </c>
      <c r="CA14" s="10">
        <f t="shared" si="6"/>
        <v>1.8532123022052305</v>
      </c>
      <c r="CB14" s="10">
        <f t="shared" si="6"/>
        <v>1.8717444252272828</v>
      </c>
      <c r="CC14" s="10">
        <f t="shared" si="6"/>
        <v>1.8904618694795556</v>
      </c>
      <c r="CD14" s="10">
        <f t="shared" si="6"/>
        <v>1.9093664881743513</v>
      </c>
      <c r="CE14" s="10">
        <f t="shared" ref="CE14:DF14" si="7">CD14*(1+CE13)</f>
        <v>1.9284601530560948</v>
      </c>
      <c r="CF14" s="10">
        <f t="shared" si="7"/>
        <v>1.9477447545866557</v>
      </c>
      <c r="CG14" s="10">
        <f t="shared" si="7"/>
        <v>1.9477447545866557</v>
      </c>
      <c r="CH14" s="10">
        <f t="shared" si="7"/>
        <v>1.9477447545866557</v>
      </c>
      <c r="CI14" s="10">
        <f t="shared" si="7"/>
        <v>1.9477447545866557</v>
      </c>
      <c r="CJ14" s="10">
        <f t="shared" si="7"/>
        <v>1.9477447545866557</v>
      </c>
      <c r="CK14" s="10">
        <f t="shared" si="7"/>
        <v>1.9477447545866557</v>
      </c>
      <c r="CL14" s="10">
        <f t="shared" si="7"/>
        <v>1.9477447545866557</v>
      </c>
      <c r="CM14" s="10">
        <f t="shared" si="7"/>
        <v>1.9477447545866557</v>
      </c>
      <c r="CN14" s="10">
        <f t="shared" si="7"/>
        <v>1.9477447545866557</v>
      </c>
      <c r="CO14" s="10">
        <f t="shared" si="7"/>
        <v>1.9477447545866557</v>
      </c>
      <c r="CP14" s="10">
        <f t="shared" si="7"/>
        <v>1.9477447545866557</v>
      </c>
      <c r="CQ14" s="10">
        <f t="shared" si="7"/>
        <v>1.9477447545866557</v>
      </c>
      <c r="CR14" s="10">
        <f t="shared" si="7"/>
        <v>1.9477447545866557</v>
      </c>
      <c r="CS14" s="10">
        <f t="shared" si="7"/>
        <v>1.9477447545866557</v>
      </c>
      <c r="CT14" s="10">
        <f t="shared" si="7"/>
        <v>1.9477447545866557</v>
      </c>
      <c r="CU14" s="10">
        <f t="shared" si="7"/>
        <v>1.9477447545866557</v>
      </c>
      <c r="CV14" s="10">
        <f t="shared" si="7"/>
        <v>1.9477447545866557</v>
      </c>
      <c r="CW14" s="10">
        <f t="shared" si="7"/>
        <v>1.9477447545866557</v>
      </c>
      <c r="CX14" s="10">
        <f t="shared" si="7"/>
        <v>1.9477447545866557</v>
      </c>
      <c r="CY14" s="10">
        <f t="shared" si="7"/>
        <v>1.9477447545866557</v>
      </c>
      <c r="CZ14" s="10">
        <f t="shared" si="7"/>
        <v>1.9477447545866557</v>
      </c>
      <c r="DA14" s="10">
        <f t="shared" si="7"/>
        <v>1.9477447545866557</v>
      </c>
      <c r="DB14" s="10">
        <f t="shared" si="7"/>
        <v>1.9477447545866557</v>
      </c>
      <c r="DC14" s="10">
        <f t="shared" si="7"/>
        <v>1.9477447545866557</v>
      </c>
      <c r="DD14" s="10">
        <f t="shared" si="7"/>
        <v>1.9477447545866557</v>
      </c>
      <c r="DE14" s="10">
        <f t="shared" si="7"/>
        <v>1.9477447545866557</v>
      </c>
      <c r="DF14" s="10">
        <f t="shared" si="7"/>
        <v>1.9477447545866557</v>
      </c>
    </row>
    <row r="15" spans="2:110" ht="12.75" customHeight="1" x14ac:dyDescent="0.25">
      <c r="J15" s="54"/>
    </row>
    <row r="16" spans="2:110" ht="12.75" customHeight="1" x14ac:dyDescent="0.25">
      <c r="B16" s="21" t="s">
        <v>59</v>
      </c>
      <c r="J16" s="54"/>
    </row>
    <row r="17" spans="2:110" ht="12.75" customHeight="1" x14ac:dyDescent="0.25">
      <c r="J17" s="54"/>
    </row>
    <row r="18" spans="2:110" ht="12.75" customHeight="1" x14ac:dyDescent="0.25">
      <c r="B18" t="s">
        <v>60</v>
      </c>
      <c r="J18" s="54" t="s">
        <v>58</v>
      </c>
      <c r="L18" s="102"/>
      <c r="R18" s="13">
        <f t="shared" ref="R18:CC18" si="8">IF(R5&gt;1,1+Q18,0)</f>
        <v>1</v>
      </c>
      <c r="S18" s="13">
        <f t="shared" si="8"/>
        <v>2</v>
      </c>
      <c r="T18" s="13">
        <f t="shared" si="8"/>
        <v>3</v>
      </c>
      <c r="U18" s="13">
        <f t="shared" si="8"/>
        <v>4</v>
      </c>
      <c r="V18" s="13">
        <f t="shared" si="8"/>
        <v>5</v>
      </c>
      <c r="W18" s="13">
        <f t="shared" si="8"/>
        <v>6</v>
      </c>
      <c r="X18" s="13">
        <f t="shared" si="8"/>
        <v>7</v>
      </c>
      <c r="Y18" s="13">
        <f t="shared" si="8"/>
        <v>8</v>
      </c>
      <c r="Z18" s="13">
        <f t="shared" si="8"/>
        <v>9</v>
      </c>
      <c r="AA18" s="13">
        <f t="shared" si="8"/>
        <v>10</v>
      </c>
      <c r="AB18" s="13">
        <f t="shared" si="8"/>
        <v>11</v>
      </c>
      <c r="AC18" s="13">
        <f t="shared" si="8"/>
        <v>12</v>
      </c>
      <c r="AD18" s="13">
        <f t="shared" si="8"/>
        <v>13</v>
      </c>
      <c r="AE18" s="13">
        <f t="shared" si="8"/>
        <v>14</v>
      </c>
      <c r="AF18" s="13">
        <f t="shared" si="8"/>
        <v>15</v>
      </c>
      <c r="AG18" s="13">
        <f t="shared" si="8"/>
        <v>16</v>
      </c>
      <c r="AH18" s="13">
        <f t="shared" si="8"/>
        <v>17</v>
      </c>
      <c r="AI18" s="13">
        <f t="shared" si="8"/>
        <v>18</v>
      </c>
      <c r="AJ18" s="13">
        <f t="shared" si="8"/>
        <v>19</v>
      </c>
      <c r="AK18" s="13">
        <f t="shared" si="8"/>
        <v>20</v>
      </c>
      <c r="AL18" s="13">
        <f t="shared" si="8"/>
        <v>21</v>
      </c>
      <c r="AM18" s="13">
        <f t="shared" si="8"/>
        <v>22</v>
      </c>
      <c r="AN18" s="13">
        <f t="shared" si="8"/>
        <v>23</v>
      </c>
      <c r="AO18" s="13">
        <f t="shared" si="8"/>
        <v>24</v>
      </c>
      <c r="AP18" s="13">
        <f t="shared" si="8"/>
        <v>25</v>
      </c>
      <c r="AQ18" s="13">
        <f t="shared" si="8"/>
        <v>26</v>
      </c>
      <c r="AR18" s="13">
        <f t="shared" si="8"/>
        <v>27</v>
      </c>
      <c r="AS18" s="13">
        <f t="shared" si="8"/>
        <v>28</v>
      </c>
      <c r="AT18" s="13">
        <f t="shared" si="8"/>
        <v>29</v>
      </c>
      <c r="AU18" s="13">
        <f t="shared" si="8"/>
        <v>30</v>
      </c>
      <c r="AV18" s="13">
        <f t="shared" si="8"/>
        <v>31</v>
      </c>
      <c r="AW18" s="13">
        <f t="shared" si="8"/>
        <v>32</v>
      </c>
      <c r="AX18" s="13">
        <f t="shared" si="8"/>
        <v>33</v>
      </c>
      <c r="AY18" s="13">
        <f t="shared" si="8"/>
        <v>34</v>
      </c>
      <c r="AZ18" s="13">
        <f t="shared" si="8"/>
        <v>35</v>
      </c>
      <c r="BA18" s="13">
        <f t="shared" si="8"/>
        <v>36</v>
      </c>
      <c r="BB18" s="13">
        <f t="shared" si="8"/>
        <v>37</v>
      </c>
      <c r="BC18" s="13">
        <f t="shared" si="8"/>
        <v>38</v>
      </c>
      <c r="BD18" s="13">
        <f t="shared" si="8"/>
        <v>39</v>
      </c>
      <c r="BE18" s="13">
        <f t="shared" si="8"/>
        <v>40</v>
      </c>
      <c r="BF18" s="13">
        <f t="shared" si="8"/>
        <v>41</v>
      </c>
      <c r="BG18" s="13">
        <f t="shared" si="8"/>
        <v>42</v>
      </c>
      <c r="BH18" s="13">
        <f t="shared" si="8"/>
        <v>43</v>
      </c>
      <c r="BI18" s="13">
        <f t="shared" si="8"/>
        <v>44</v>
      </c>
      <c r="BJ18" s="13">
        <f t="shared" si="8"/>
        <v>45</v>
      </c>
      <c r="BK18" s="13">
        <f t="shared" si="8"/>
        <v>46</v>
      </c>
      <c r="BL18" s="13">
        <f t="shared" si="8"/>
        <v>47</v>
      </c>
      <c r="BM18" s="13">
        <f t="shared" si="8"/>
        <v>48</v>
      </c>
      <c r="BN18" s="13">
        <f t="shared" si="8"/>
        <v>49</v>
      </c>
      <c r="BO18" s="13">
        <f t="shared" si="8"/>
        <v>50</v>
      </c>
      <c r="BP18" s="13">
        <f t="shared" si="8"/>
        <v>51</v>
      </c>
      <c r="BQ18" s="13">
        <f t="shared" si="8"/>
        <v>52</v>
      </c>
      <c r="BR18" s="13">
        <f t="shared" si="8"/>
        <v>53</v>
      </c>
      <c r="BS18" s="13">
        <f t="shared" si="8"/>
        <v>54</v>
      </c>
      <c r="BT18" s="13">
        <f t="shared" si="8"/>
        <v>55</v>
      </c>
      <c r="BU18" s="13">
        <f t="shared" si="8"/>
        <v>56</v>
      </c>
      <c r="BV18" s="13">
        <f t="shared" si="8"/>
        <v>57</v>
      </c>
      <c r="BW18" s="13">
        <f t="shared" si="8"/>
        <v>58</v>
      </c>
      <c r="BX18" s="13">
        <f t="shared" si="8"/>
        <v>59</v>
      </c>
      <c r="BY18" s="13">
        <f t="shared" si="8"/>
        <v>60</v>
      </c>
      <c r="BZ18" s="13">
        <f t="shared" si="8"/>
        <v>61</v>
      </c>
      <c r="CA18" s="13">
        <f t="shared" si="8"/>
        <v>62</v>
      </c>
      <c r="CB18" s="13">
        <f t="shared" si="8"/>
        <v>63</v>
      </c>
      <c r="CC18" s="13">
        <f t="shared" si="8"/>
        <v>64</v>
      </c>
      <c r="CD18" s="13">
        <f t="shared" ref="CD18:DF18" si="9">IF(CD5&gt;1,1+CC18,0)</f>
        <v>65</v>
      </c>
      <c r="CE18" s="13">
        <f t="shared" si="9"/>
        <v>66</v>
      </c>
      <c r="CF18" s="13">
        <f t="shared" si="9"/>
        <v>67</v>
      </c>
      <c r="CG18" s="13">
        <f t="shared" si="9"/>
        <v>68</v>
      </c>
      <c r="CH18" s="13">
        <f t="shared" si="9"/>
        <v>69</v>
      </c>
      <c r="CI18" s="13">
        <f t="shared" si="9"/>
        <v>70</v>
      </c>
      <c r="CJ18" s="13">
        <f t="shared" si="9"/>
        <v>71</v>
      </c>
      <c r="CK18" s="13">
        <f t="shared" si="9"/>
        <v>72</v>
      </c>
      <c r="CL18" s="13">
        <f t="shared" si="9"/>
        <v>73</v>
      </c>
      <c r="CM18" s="13">
        <f t="shared" si="9"/>
        <v>74</v>
      </c>
      <c r="CN18" s="13">
        <f t="shared" si="9"/>
        <v>75</v>
      </c>
      <c r="CO18" s="13">
        <f t="shared" si="9"/>
        <v>76</v>
      </c>
      <c r="CP18" s="13">
        <f t="shared" si="9"/>
        <v>77</v>
      </c>
      <c r="CQ18" s="13">
        <f t="shared" si="9"/>
        <v>78</v>
      </c>
      <c r="CR18" s="13">
        <f t="shared" si="9"/>
        <v>79</v>
      </c>
      <c r="CS18" s="13">
        <f t="shared" si="9"/>
        <v>80</v>
      </c>
      <c r="CT18" s="13">
        <f t="shared" si="9"/>
        <v>81</v>
      </c>
      <c r="CU18" s="13">
        <f t="shared" si="9"/>
        <v>82</v>
      </c>
      <c r="CV18" s="13">
        <f t="shared" si="9"/>
        <v>83</v>
      </c>
      <c r="CW18" s="13">
        <f t="shared" si="9"/>
        <v>84</v>
      </c>
      <c r="CX18" s="13">
        <f t="shared" si="9"/>
        <v>85</v>
      </c>
      <c r="CY18" s="13">
        <f t="shared" si="9"/>
        <v>86</v>
      </c>
      <c r="CZ18" s="13">
        <f t="shared" si="9"/>
        <v>87</v>
      </c>
      <c r="DA18" s="13">
        <f t="shared" si="9"/>
        <v>88</v>
      </c>
      <c r="DB18" s="13">
        <f t="shared" si="9"/>
        <v>89</v>
      </c>
      <c r="DC18" s="13">
        <f t="shared" si="9"/>
        <v>90</v>
      </c>
      <c r="DD18" s="13">
        <f t="shared" si="9"/>
        <v>91</v>
      </c>
      <c r="DE18" s="13">
        <f t="shared" si="9"/>
        <v>92</v>
      </c>
      <c r="DF18" s="13">
        <f t="shared" si="9"/>
        <v>93</v>
      </c>
    </row>
    <row r="19" spans="2:110" ht="12.75" customHeight="1" x14ac:dyDescent="0.25">
      <c r="B19" t="s">
        <v>61</v>
      </c>
      <c r="J19" s="54" t="s">
        <v>62</v>
      </c>
      <c r="L19" s="102"/>
      <c r="R19" s="103" t="str">
        <f t="shared" ref="R19:CC19" si="10">IF(R24=1,"Const",IF(R29=1,"Ops",""))</f>
        <v>Const</v>
      </c>
      <c r="S19" s="103" t="str">
        <f t="shared" si="10"/>
        <v>Const</v>
      </c>
      <c r="T19" s="103" t="str">
        <f t="shared" si="10"/>
        <v>Const</v>
      </c>
      <c r="U19" s="103" t="str">
        <f t="shared" si="10"/>
        <v>Ops</v>
      </c>
      <c r="V19" s="103" t="str">
        <f t="shared" si="10"/>
        <v>Ops</v>
      </c>
      <c r="W19" s="103" t="str">
        <f t="shared" si="10"/>
        <v>Ops</v>
      </c>
      <c r="X19" s="103" t="str">
        <f t="shared" si="10"/>
        <v>Ops</v>
      </c>
      <c r="Y19" s="103" t="str">
        <f t="shared" si="10"/>
        <v>Ops</v>
      </c>
      <c r="Z19" s="103" t="str">
        <f t="shared" si="10"/>
        <v>Ops</v>
      </c>
      <c r="AA19" s="103" t="str">
        <f t="shared" si="10"/>
        <v>Ops</v>
      </c>
      <c r="AB19" s="103" t="str">
        <f t="shared" si="10"/>
        <v>Ops</v>
      </c>
      <c r="AC19" s="103" t="str">
        <f t="shared" si="10"/>
        <v>Ops</v>
      </c>
      <c r="AD19" s="103" t="str">
        <f t="shared" si="10"/>
        <v>Ops</v>
      </c>
      <c r="AE19" s="103" t="str">
        <f t="shared" si="10"/>
        <v>Ops</v>
      </c>
      <c r="AF19" s="103" t="str">
        <f t="shared" si="10"/>
        <v>Ops</v>
      </c>
      <c r="AG19" s="103" t="str">
        <f t="shared" si="10"/>
        <v>Ops</v>
      </c>
      <c r="AH19" s="103" t="str">
        <f t="shared" si="10"/>
        <v>Ops</v>
      </c>
      <c r="AI19" s="103" t="str">
        <f t="shared" si="10"/>
        <v>Ops</v>
      </c>
      <c r="AJ19" s="103" t="str">
        <f t="shared" si="10"/>
        <v>Ops</v>
      </c>
      <c r="AK19" s="103" t="str">
        <f t="shared" si="10"/>
        <v>Ops</v>
      </c>
      <c r="AL19" s="103" t="str">
        <f t="shared" si="10"/>
        <v>Ops</v>
      </c>
      <c r="AM19" s="103" t="str">
        <f t="shared" si="10"/>
        <v>Ops</v>
      </c>
      <c r="AN19" s="103" t="str">
        <f t="shared" si="10"/>
        <v>Ops</v>
      </c>
      <c r="AO19" s="103" t="str">
        <f t="shared" si="10"/>
        <v>Ops</v>
      </c>
      <c r="AP19" s="103" t="str">
        <f t="shared" si="10"/>
        <v>Ops</v>
      </c>
      <c r="AQ19" s="103" t="str">
        <f t="shared" si="10"/>
        <v>Ops</v>
      </c>
      <c r="AR19" s="103" t="str">
        <f t="shared" si="10"/>
        <v>Ops</v>
      </c>
      <c r="AS19" s="103" t="str">
        <f t="shared" si="10"/>
        <v>Ops</v>
      </c>
      <c r="AT19" s="103" t="str">
        <f t="shared" si="10"/>
        <v>Ops</v>
      </c>
      <c r="AU19" s="103" t="str">
        <f t="shared" si="10"/>
        <v>Ops</v>
      </c>
      <c r="AV19" s="103" t="str">
        <f t="shared" si="10"/>
        <v>Ops</v>
      </c>
      <c r="AW19" s="103" t="str">
        <f t="shared" si="10"/>
        <v>Ops</v>
      </c>
      <c r="AX19" s="103" t="str">
        <f t="shared" si="10"/>
        <v>Ops</v>
      </c>
      <c r="AY19" s="103" t="str">
        <f t="shared" si="10"/>
        <v>Ops</v>
      </c>
      <c r="AZ19" s="103" t="str">
        <f t="shared" si="10"/>
        <v>Ops</v>
      </c>
      <c r="BA19" s="103" t="str">
        <f t="shared" si="10"/>
        <v>Ops</v>
      </c>
      <c r="BB19" s="103" t="str">
        <f t="shared" si="10"/>
        <v>Ops</v>
      </c>
      <c r="BC19" s="103" t="str">
        <f t="shared" si="10"/>
        <v>Ops</v>
      </c>
      <c r="BD19" s="103" t="str">
        <f t="shared" si="10"/>
        <v>Ops</v>
      </c>
      <c r="BE19" s="103" t="str">
        <f t="shared" si="10"/>
        <v>Ops</v>
      </c>
      <c r="BF19" s="103" t="str">
        <f t="shared" si="10"/>
        <v>Ops</v>
      </c>
      <c r="BG19" s="103" t="str">
        <f t="shared" si="10"/>
        <v>Ops</v>
      </c>
      <c r="BH19" s="103" t="str">
        <f t="shared" si="10"/>
        <v>Ops</v>
      </c>
      <c r="BI19" s="103" t="str">
        <f t="shared" si="10"/>
        <v>Ops</v>
      </c>
      <c r="BJ19" s="103" t="str">
        <f t="shared" si="10"/>
        <v>Ops</v>
      </c>
      <c r="BK19" s="103" t="str">
        <f t="shared" si="10"/>
        <v>Ops</v>
      </c>
      <c r="BL19" s="103" t="str">
        <f t="shared" si="10"/>
        <v>Ops</v>
      </c>
      <c r="BM19" s="103" t="str">
        <f t="shared" si="10"/>
        <v>Ops</v>
      </c>
      <c r="BN19" s="103" t="str">
        <f t="shared" si="10"/>
        <v>Ops</v>
      </c>
      <c r="BO19" s="103" t="str">
        <f t="shared" si="10"/>
        <v>Ops</v>
      </c>
      <c r="BP19" s="103" t="str">
        <f t="shared" si="10"/>
        <v>Ops</v>
      </c>
      <c r="BQ19" s="103" t="str">
        <f t="shared" si="10"/>
        <v>Ops</v>
      </c>
      <c r="BR19" s="103" t="str">
        <f t="shared" si="10"/>
        <v>Ops</v>
      </c>
      <c r="BS19" s="103" t="str">
        <f t="shared" si="10"/>
        <v>Ops</v>
      </c>
      <c r="BT19" s="103" t="str">
        <f t="shared" si="10"/>
        <v/>
      </c>
      <c r="BU19" s="103" t="str">
        <f t="shared" si="10"/>
        <v/>
      </c>
      <c r="BV19" s="103" t="str">
        <f t="shared" si="10"/>
        <v/>
      </c>
      <c r="BW19" s="103" t="str">
        <f t="shared" si="10"/>
        <v/>
      </c>
      <c r="BX19" s="103" t="str">
        <f t="shared" si="10"/>
        <v/>
      </c>
      <c r="BY19" s="103" t="str">
        <f t="shared" si="10"/>
        <v/>
      </c>
      <c r="BZ19" s="103" t="str">
        <f t="shared" si="10"/>
        <v/>
      </c>
      <c r="CA19" s="103" t="str">
        <f t="shared" si="10"/>
        <v/>
      </c>
      <c r="CB19" s="103" t="str">
        <f t="shared" si="10"/>
        <v/>
      </c>
      <c r="CC19" s="103" t="str">
        <f t="shared" si="10"/>
        <v/>
      </c>
      <c r="CD19" s="103" t="str">
        <f t="shared" ref="CD19:DF19" si="11">IF(CD24=1,"Const",IF(CD29=1,"Ops",""))</f>
        <v/>
      </c>
      <c r="CE19" s="103" t="str">
        <f t="shared" si="11"/>
        <v/>
      </c>
      <c r="CF19" s="103" t="str">
        <f t="shared" si="11"/>
        <v/>
      </c>
      <c r="CG19" s="103" t="str">
        <f t="shared" si="11"/>
        <v/>
      </c>
      <c r="CH19" s="103" t="str">
        <f t="shared" si="11"/>
        <v/>
      </c>
      <c r="CI19" s="103" t="str">
        <f t="shared" si="11"/>
        <v/>
      </c>
      <c r="CJ19" s="103" t="str">
        <f t="shared" si="11"/>
        <v/>
      </c>
      <c r="CK19" s="103" t="str">
        <f t="shared" si="11"/>
        <v/>
      </c>
      <c r="CL19" s="103" t="str">
        <f t="shared" si="11"/>
        <v/>
      </c>
      <c r="CM19" s="103" t="str">
        <f t="shared" si="11"/>
        <v/>
      </c>
      <c r="CN19" s="103" t="str">
        <f t="shared" si="11"/>
        <v/>
      </c>
      <c r="CO19" s="103" t="str">
        <f t="shared" si="11"/>
        <v/>
      </c>
      <c r="CP19" s="103" t="str">
        <f t="shared" si="11"/>
        <v/>
      </c>
      <c r="CQ19" s="103" t="str">
        <f t="shared" si="11"/>
        <v/>
      </c>
      <c r="CR19" s="103" t="str">
        <f t="shared" si="11"/>
        <v/>
      </c>
      <c r="CS19" s="103" t="str">
        <f t="shared" si="11"/>
        <v/>
      </c>
      <c r="CT19" s="103" t="str">
        <f t="shared" si="11"/>
        <v/>
      </c>
      <c r="CU19" s="103" t="str">
        <f t="shared" si="11"/>
        <v/>
      </c>
      <c r="CV19" s="103" t="str">
        <f t="shared" si="11"/>
        <v/>
      </c>
      <c r="CW19" s="103" t="str">
        <f t="shared" si="11"/>
        <v/>
      </c>
      <c r="CX19" s="103" t="str">
        <f t="shared" si="11"/>
        <v/>
      </c>
      <c r="CY19" s="103" t="str">
        <f t="shared" si="11"/>
        <v/>
      </c>
      <c r="CZ19" s="103" t="str">
        <f t="shared" si="11"/>
        <v/>
      </c>
      <c r="DA19" s="103" t="str">
        <f t="shared" si="11"/>
        <v/>
      </c>
      <c r="DB19" s="103" t="str">
        <f t="shared" si="11"/>
        <v/>
      </c>
      <c r="DC19" s="103" t="str">
        <f t="shared" si="11"/>
        <v/>
      </c>
      <c r="DD19" s="103" t="str">
        <f t="shared" si="11"/>
        <v/>
      </c>
      <c r="DE19" s="103" t="str">
        <f t="shared" si="11"/>
        <v/>
      </c>
      <c r="DF19" s="103" t="str">
        <f t="shared" si="11"/>
        <v/>
      </c>
    </row>
    <row r="20" spans="2:110" ht="12.75" customHeight="1" x14ac:dyDescent="0.25">
      <c r="J20" s="54"/>
    </row>
    <row r="21" spans="2:110" ht="12.75" customHeight="1" x14ac:dyDescent="0.25">
      <c r="J21" s="54"/>
    </row>
    <row r="22" spans="2:110" ht="12.75" customHeight="1" x14ac:dyDescent="0.25">
      <c r="B22" s="23" t="s">
        <v>63</v>
      </c>
      <c r="J22" s="54"/>
    </row>
    <row r="23" spans="2:110" ht="12.75" customHeight="1" x14ac:dyDescent="0.25">
      <c r="B23" t="s">
        <v>64</v>
      </c>
      <c r="J23" s="54" t="s">
        <v>13</v>
      </c>
      <c r="L23" s="15">
        <f>InputC!K14</f>
        <v>2021</v>
      </c>
      <c r="P23" s="12">
        <f>SUM(R23:DF23)</f>
        <v>1</v>
      </c>
      <c r="R23" s="13">
        <f t="shared" ref="R23:AW23" si="12">IF(R$5=$L23,1,0)</f>
        <v>1</v>
      </c>
      <c r="S23" s="13">
        <f t="shared" si="12"/>
        <v>0</v>
      </c>
      <c r="T23" s="13">
        <f t="shared" si="12"/>
        <v>0</v>
      </c>
      <c r="U23" s="13">
        <f t="shared" si="12"/>
        <v>0</v>
      </c>
      <c r="V23" s="13">
        <f t="shared" si="12"/>
        <v>0</v>
      </c>
      <c r="W23" s="13">
        <f t="shared" si="12"/>
        <v>0</v>
      </c>
      <c r="X23" s="13">
        <f t="shared" si="12"/>
        <v>0</v>
      </c>
      <c r="Y23" s="13">
        <f t="shared" si="12"/>
        <v>0</v>
      </c>
      <c r="Z23" s="13">
        <f t="shared" si="12"/>
        <v>0</v>
      </c>
      <c r="AA23" s="13">
        <f t="shared" si="12"/>
        <v>0</v>
      </c>
      <c r="AB23" s="13">
        <f t="shared" si="12"/>
        <v>0</v>
      </c>
      <c r="AC23" s="13">
        <f t="shared" si="12"/>
        <v>0</v>
      </c>
      <c r="AD23" s="13">
        <f t="shared" si="12"/>
        <v>0</v>
      </c>
      <c r="AE23" s="13">
        <f t="shared" si="12"/>
        <v>0</v>
      </c>
      <c r="AF23" s="13">
        <f t="shared" si="12"/>
        <v>0</v>
      </c>
      <c r="AG23" s="13">
        <f t="shared" si="12"/>
        <v>0</v>
      </c>
      <c r="AH23" s="13">
        <f t="shared" si="12"/>
        <v>0</v>
      </c>
      <c r="AI23" s="13">
        <f t="shared" si="12"/>
        <v>0</v>
      </c>
      <c r="AJ23" s="13">
        <f t="shared" si="12"/>
        <v>0</v>
      </c>
      <c r="AK23" s="13">
        <f t="shared" si="12"/>
        <v>0</v>
      </c>
      <c r="AL23" s="13">
        <f t="shared" si="12"/>
        <v>0</v>
      </c>
      <c r="AM23" s="13">
        <f t="shared" si="12"/>
        <v>0</v>
      </c>
      <c r="AN23" s="13">
        <f t="shared" si="12"/>
        <v>0</v>
      </c>
      <c r="AO23" s="13">
        <f t="shared" si="12"/>
        <v>0</v>
      </c>
      <c r="AP23" s="13">
        <f t="shared" si="12"/>
        <v>0</v>
      </c>
      <c r="AQ23" s="13">
        <f t="shared" si="12"/>
        <v>0</v>
      </c>
      <c r="AR23" s="13">
        <f t="shared" si="12"/>
        <v>0</v>
      </c>
      <c r="AS23" s="13">
        <f t="shared" si="12"/>
        <v>0</v>
      </c>
      <c r="AT23" s="13">
        <f t="shared" si="12"/>
        <v>0</v>
      </c>
      <c r="AU23" s="13">
        <f t="shared" si="12"/>
        <v>0</v>
      </c>
      <c r="AV23" s="13">
        <f t="shared" si="12"/>
        <v>0</v>
      </c>
      <c r="AW23" s="13">
        <f t="shared" si="12"/>
        <v>0</v>
      </c>
      <c r="AX23" s="13">
        <f t="shared" ref="AX23:CC23" si="13">IF(AX$5=$L23,1,0)</f>
        <v>0</v>
      </c>
      <c r="AY23" s="13">
        <f t="shared" si="13"/>
        <v>0</v>
      </c>
      <c r="AZ23" s="13">
        <f t="shared" si="13"/>
        <v>0</v>
      </c>
      <c r="BA23" s="13">
        <f t="shared" si="13"/>
        <v>0</v>
      </c>
      <c r="BB23" s="13">
        <f t="shared" si="13"/>
        <v>0</v>
      </c>
      <c r="BC23" s="13">
        <f t="shared" si="13"/>
        <v>0</v>
      </c>
      <c r="BD23" s="13">
        <f t="shared" si="13"/>
        <v>0</v>
      </c>
      <c r="BE23" s="13">
        <f t="shared" si="13"/>
        <v>0</v>
      </c>
      <c r="BF23" s="13">
        <f t="shared" si="13"/>
        <v>0</v>
      </c>
      <c r="BG23" s="13">
        <f t="shared" si="13"/>
        <v>0</v>
      </c>
      <c r="BH23" s="13">
        <f t="shared" si="13"/>
        <v>0</v>
      </c>
      <c r="BI23" s="13">
        <f t="shared" si="13"/>
        <v>0</v>
      </c>
      <c r="BJ23" s="13">
        <f t="shared" si="13"/>
        <v>0</v>
      </c>
      <c r="BK23" s="13">
        <f t="shared" si="13"/>
        <v>0</v>
      </c>
      <c r="BL23" s="13">
        <f t="shared" si="13"/>
        <v>0</v>
      </c>
      <c r="BM23" s="13">
        <f t="shared" si="13"/>
        <v>0</v>
      </c>
      <c r="BN23" s="13">
        <f t="shared" si="13"/>
        <v>0</v>
      </c>
      <c r="BO23" s="13">
        <f t="shared" si="13"/>
        <v>0</v>
      </c>
      <c r="BP23" s="13">
        <f t="shared" si="13"/>
        <v>0</v>
      </c>
      <c r="BQ23" s="13">
        <f t="shared" si="13"/>
        <v>0</v>
      </c>
      <c r="BR23" s="13">
        <f t="shared" si="13"/>
        <v>0</v>
      </c>
      <c r="BS23" s="13">
        <f t="shared" si="13"/>
        <v>0</v>
      </c>
      <c r="BT23" s="13">
        <f t="shared" si="13"/>
        <v>0</v>
      </c>
      <c r="BU23" s="13">
        <f t="shared" si="13"/>
        <v>0</v>
      </c>
      <c r="BV23" s="13">
        <f t="shared" si="13"/>
        <v>0</v>
      </c>
      <c r="BW23" s="13">
        <f t="shared" si="13"/>
        <v>0</v>
      </c>
      <c r="BX23" s="13">
        <f t="shared" si="13"/>
        <v>0</v>
      </c>
      <c r="BY23" s="13">
        <f t="shared" si="13"/>
        <v>0</v>
      </c>
      <c r="BZ23" s="13">
        <f t="shared" si="13"/>
        <v>0</v>
      </c>
      <c r="CA23" s="13">
        <f t="shared" si="13"/>
        <v>0</v>
      </c>
      <c r="CB23" s="13">
        <f t="shared" si="13"/>
        <v>0</v>
      </c>
      <c r="CC23" s="13">
        <f t="shared" si="13"/>
        <v>0</v>
      </c>
      <c r="CD23" s="13">
        <f t="shared" ref="CD23:DF23" si="14">IF(CD$5=$L23,1,0)</f>
        <v>0</v>
      </c>
      <c r="CE23" s="13">
        <f t="shared" si="14"/>
        <v>0</v>
      </c>
      <c r="CF23" s="13">
        <f t="shared" si="14"/>
        <v>0</v>
      </c>
      <c r="CG23" s="13">
        <f t="shared" si="14"/>
        <v>0</v>
      </c>
      <c r="CH23" s="13">
        <f t="shared" si="14"/>
        <v>0</v>
      </c>
      <c r="CI23" s="13">
        <f t="shared" si="14"/>
        <v>0</v>
      </c>
      <c r="CJ23" s="13">
        <f t="shared" si="14"/>
        <v>0</v>
      </c>
      <c r="CK23" s="13">
        <f t="shared" si="14"/>
        <v>0</v>
      </c>
      <c r="CL23" s="13">
        <f t="shared" si="14"/>
        <v>0</v>
      </c>
      <c r="CM23" s="13">
        <f t="shared" si="14"/>
        <v>0</v>
      </c>
      <c r="CN23" s="13">
        <f t="shared" si="14"/>
        <v>0</v>
      </c>
      <c r="CO23" s="13">
        <f t="shared" si="14"/>
        <v>0</v>
      </c>
      <c r="CP23" s="13">
        <f t="shared" si="14"/>
        <v>0</v>
      </c>
      <c r="CQ23" s="13">
        <f t="shared" si="14"/>
        <v>0</v>
      </c>
      <c r="CR23" s="13">
        <f t="shared" si="14"/>
        <v>0</v>
      </c>
      <c r="CS23" s="13">
        <f t="shared" si="14"/>
        <v>0</v>
      </c>
      <c r="CT23" s="13">
        <f t="shared" si="14"/>
        <v>0</v>
      </c>
      <c r="CU23" s="13">
        <f t="shared" si="14"/>
        <v>0</v>
      </c>
      <c r="CV23" s="13">
        <f t="shared" si="14"/>
        <v>0</v>
      </c>
      <c r="CW23" s="13">
        <f t="shared" si="14"/>
        <v>0</v>
      </c>
      <c r="CX23" s="13">
        <f t="shared" si="14"/>
        <v>0</v>
      </c>
      <c r="CY23" s="13">
        <f t="shared" si="14"/>
        <v>0</v>
      </c>
      <c r="CZ23" s="13">
        <f t="shared" si="14"/>
        <v>0</v>
      </c>
      <c r="DA23" s="13">
        <f t="shared" si="14"/>
        <v>0</v>
      </c>
      <c r="DB23" s="13">
        <f t="shared" si="14"/>
        <v>0</v>
      </c>
      <c r="DC23" s="13">
        <f t="shared" si="14"/>
        <v>0</v>
      </c>
      <c r="DD23" s="13">
        <f t="shared" si="14"/>
        <v>0</v>
      </c>
      <c r="DE23" s="13">
        <f t="shared" si="14"/>
        <v>0</v>
      </c>
      <c r="DF23" s="13">
        <f t="shared" si="14"/>
        <v>0</v>
      </c>
    </row>
    <row r="24" spans="2:110" ht="12.75" customHeight="1" x14ac:dyDescent="0.25">
      <c r="B24" t="s">
        <v>65</v>
      </c>
      <c r="J24" s="54" t="s">
        <v>13</v>
      </c>
      <c r="P24" s="12">
        <f>SUM(R24:DF24)</f>
        <v>3</v>
      </c>
      <c r="R24" s="104">
        <f t="shared" ref="R24:CC24" si="15">Q24+R23-Q25</f>
        <v>1</v>
      </c>
      <c r="S24" s="104">
        <f t="shared" si="15"/>
        <v>1</v>
      </c>
      <c r="T24" s="104">
        <f t="shared" si="15"/>
        <v>1</v>
      </c>
      <c r="U24" s="104">
        <f t="shared" si="15"/>
        <v>0</v>
      </c>
      <c r="V24" s="104">
        <f t="shared" si="15"/>
        <v>0</v>
      </c>
      <c r="W24" s="104">
        <f t="shared" si="15"/>
        <v>0</v>
      </c>
      <c r="X24" s="104">
        <f t="shared" si="15"/>
        <v>0</v>
      </c>
      <c r="Y24" s="104">
        <f t="shared" si="15"/>
        <v>0</v>
      </c>
      <c r="Z24" s="104">
        <f t="shared" si="15"/>
        <v>0</v>
      </c>
      <c r="AA24" s="104">
        <f t="shared" si="15"/>
        <v>0</v>
      </c>
      <c r="AB24" s="104">
        <f t="shared" si="15"/>
        <v>0</v>
      </c>
      <c r="AC24" s="104">
        <f t="shared" si="15"/>
        <v>0</v>
      </c>
      <c r="AD24" s="104">
        <f t="shared" si="15"/>
        <v>0</v>
      </c>
      <c r="AE24" s="104">
        <f t="shared" si="15"/>
        <v>0</v>
      </c>
      <c r="AF24" s="104">
        <f t="shared" si="15"/>
        <v>0</v>
      </c>
      <c r="AG24" s="104">
        <f t="shared" si="15"/>
        <v>0</v>
      </c>
      <c r="AH24" s="104">
        <f t="shared" si="15"/>
        <v>0</v>
      </c>
      <c r="AI24" s="104">
        <f t="shared" si="15"/>
        <v>0</v>
      </c>
      <c r="AJ24" s="104">
        <f t="shared" si="15"/>
        <v>0</v>
      </c>
      <c r="AK24" s="104">
        <f t="shared" si="15"/>
        <v>0</v>
      </c>
      <c r="AL24" s="104">
        <f t="shared" si="15"/>
        <v>0</v>
      </c>
      <c r="AM24" s="104">
        <f t="shared" si="15"/>
        <v>0</v>
      </c>
      <c r="AN24" s="104">
        <f t="shared" si="15"/>
        <v>0</v>
      </c>
      <c r="AO24" s="104">
        <f t="shared" si="15"/>
        <v>0</v>
      </c>
      <c r="AP24" s="104">
        <f t="shared" si="15"/>
        <v>0</v>
      </c>
      <c r="AQ24" s="104">
        <f t="shared" si="15"/>
        <v>0</v>
      </c>
      <c r="AR24" s="104">
        <f t="shared" si="15"/>
        <v>0</v>
      </c>
      <c r="AS24" s="104">
        <f t="shared" si="15"/>
        <v>0</v>
      </c>
      <c r="AT24" s="104">
        <f t="shared" si="15"/>
        <v>0</v>
      </c>
      <c r="AU24" s="104">
        <f t="shared" si="15"/>
        <v>0</v>
      </c>
      <c r="AV24" s="104">
        <f t="shared" si="15"/>
        <v>0</v>
      </c>
      <c r="AW24" s="104">
        <f t="shared" si="15"/>
        <v>0</v>
      </c>
      <c r="AX24" s="104">
        <f t="shared" si="15"/>
        <v>0</v>
      </c>
      <c r="AY24" s="104">
        <f t="shared" si="15"/>
        <v>0</v>
      </c>
      <c r="AZ24" s="104">
        <f t="shared" si="15"/>
        <v>0</v>
      </c>
      <c r="BA24" s="104">
        <f t="shared" si="15"/>
        <v>0</v>
      </c>
      <c r="BB24" s="104">
        <f t="shared" si="15"/>
        <v>0</v>
      </c>
      <c r="BC24" s="104">
        <f t="shared" si="15"/>
        <v>0</v>
      </c>
      <c r="BD24" s="104">
        <f t="shared" si="15"/>
        <v>0</v>
      </c>
      <c r="BE24" s="104">
        <f t="shared" si="15"/>
        <v>0</v>
      </c>
      <c r="BF24" s="104">
        <f t="shared" si="15"/>
        <v>0</v>
      </c>
      <c r="BG24" s="104">
        <f t="shared" si="15"/>
        <v>0</v>
      </c>
      <c r="BH24" s="104">
        <f t="shared" si="15"/>
        <v>0</v>
      </c>
      <c r="BI24" s="104">
        <f t="shared" si="15"/>
        <v>0</v>
      </c>
      <c r="BJ24" s="104">
        <f t="shared" si="15"/>
        <v>0</v>
      </c>
      <c r="BK24" s="104">
        <f t="shared" si="15"/>
        <v>0</v>
      </c>
      <c r="BL24" s="104">
        <f t="shared" si="15"/>
        <v>0</v>
      </c>
      <c r="BM24" s="104">
        <f t="shared" si="15"/>
        <v>0</v>
      </c>
      <c r="BN24" s="104">
        <f t="shared" si="15"/>
        <v>0</v>
      </c>
      <c r="BO24" s="104">
        <f t="shared" si="15"/>
        <v>0</v>
      </c>
      <c r="BP24" s="104">
        <f t="shared" si="15"/>
        <v>0</v>
      </c>
      <c r="BQ24" s="104">
        <f t="shared" si="15"/>
        <v>0</v>
      </c>
      <c r="BR24" s="104">
        <f t="shared" si="15"/>
        <v>0</v>
      </c>
      <c r="BS24" s="104">
        <f t="shared" si="15"/>
        <v>0</v>
      </c>
      <c r="BT24" s="104">
        <f t="shared" si="15"/>
        <v>0</v>
      </c>
      <c r="BU24" s="104">
        <f t="shared" si="15"/>
        <v>0</v>
      </c>
      <c r="BV24" s="104">
        <f t="shared" si="15"/>
        <v>0</v>
      </c>
      <c r="BW24" s="104">
        <f t="shared" si="15"/>
        <v>0</v>
      </c>
      <c r="BX24" s="104">
        <f t="shared" si="15"/>
        <v>0</v>
      </c>
      <c r="BY24" s="104">
        <f t="shared" si="15"/>
        <v>0</v>
      </c>
      <c r="BZ24" s="104">
        <f t="shared" si="15"/>
        <v>0</v>
      </c>
      <c r="CA24" s="104">
        <f t="shared" si="15"/>
        <v>0</v>
      </c>
      <c r="CB24" s="104">
        <f t="shared" si="15"/>
        <v>0</v>
      </c>
      <c r="CC24" s="104">
        <f t="shared" si="15"/>
        <v>0</v>
      </c>
      <c r="CD24" s="104">
        <f t="shared" ref="CD24:DF24" si="16">CC24+CD23-CC25</f>
        <v>0</v>
      </c>
      <c r="CE24" s="104">
        <f t="shared" si="16"/>
        <v>0</v>
      </c>
      <c r="CF24" s="104">
        <f t="shared" si="16"/>
        <v>0</v>
      </c>
      <c r="CG24" s="104">
        <f t="shared" si="16"/>
        <v>0</v>
      </c>
      <c r="CH24" s="104">
        <f t="shared" si="16"/>
        <v>0</v>
      </c>
      <c r="CI24" s="104">
        <f t="shared" si="16"/>
        <v>0</v>
      </c>
      <c r="CJ24" s="104">
        <f t="shared" si="16"/>
        <v>0</v>
      </c>
      <c r="CK24" s="104">
        <f t="shared" si="16"/>
        <v>0</v>
      </c>
      <c r="CL24" s="104">
        <f t="shared" si="16"/>
        <v>0</v>
      </c>
      <c r="CM24" s="104">
        <f t="shared" si="16"/>
        <v>0</v>
      </c>
      <c r="CN24" s="104">
        <f t="shared" si="16"/>
        <v>0</v>
      </c>
      <c r="CO24" s="104">
        <f t="shared" si="16"/>
        <v>0</v>
      </c>
      <c r="CP24" s="104">
        <f t="shared" si="16"/>
        <v>0</v>
      </c>
      <c r="CQ24" s="104">
        <f t="shared" si="16"/>
        <v>0</v>
      </c>
      <c r="CR24" s="104">
        <f t="shared" si="16"/>
        <v>0</v>
      </c>
      <c r="CS24" s="104">
        <f t="shared" si="16"/>
        <v>0</v>
      </c>
      <c r="CT24" s="104">
        <f t="shared" si="16"/>
        <v>0</v>
      </c>
      <c r="CU24" s="104">
        <f t="shared" si="16"/>
        <v>0</v>
      </c>
      <c r="CV24" s="104">
        <f t="shared" si="16"/>
        <v>0</v>
      </c>
      <c r="CW24" s="104">
        <f t="shared" si="16"/>
        <v>0</v>
      </c>
      <c r="CX24" s="104">
        <f t="shared" si="16"/>
        <v>0</v>
      </c>
      <c r="CY24" s="104">
        <f t="shared" si="16"/>
        <v>0</v>
      </c>
      <c r="CZ24" s="104">
        <f t="shared" si="16"/>
        <v>0</v>
      </c>
      <c r="DA24" s="104">
        <f t="shared" si="16"/>
        <v>0</v>
      </c>
      <c r="DB24" s="104">
        <f t="shared" si="16"/>
        <v>0</v>
      </c>
      <c r="DC24" s="104">
        <f t="shared" si="16"/>
        <v>0</v>
      </c>
      <c r="DD24" s="104">
        <f t="shared" si="16"/>
        <v>0</v>
      </c>
      <c r="DE24" s="104">
        <f t="shared" si="16"/>
        <v>0</v>
      </c>
      <c r="DF24" s="104">
        <f t="shared" si="16"/>
        <v>0</v>
      </c>
    </row>
    <row r="25" spans="2:110" ht="12.75" customHeight="1" x14ac:dyDescent="0.25">
      <c r="B25" t="s">
        <v>66</v>
      </c>
      <c r="J25" s="54" t="s">
        <v>13</v>
      </c>
      <c r="L25" s="15">
        <f>InputC!K16</f>
        <v>2023</v>
      </c>
      <c r="P25" s="12">
        <f>SUM(R25:DF25)</f>
        <v>1</v>
      </c>
      <c r="R25" s="13">
        <f t="shared" ref="R25:AW25" si="17">IF(R$5=$L25,1,0)</f>
        <v>0</v>
      </c>
      <c r="S25" s="13">
        <f t="shared" si="17"/>
        <v>0</v>
      </c>
      <c r="T25" s="13">
        <f t="shared" si="17"/>
        <v>1</v>
      </c>
      <c r="U25" s="13">
        <f t="shared" si="17"/>
        <v>0</v>
      </c>
      <c r="V25" s="13">
        <f t="shared" si="17"/>
        <v>0</v>
      </c>
      <c r="W25" s="13">
        <f t="shared" si="17"/>
        <v>0</v>
      </c>
      <c r="X25" s="13">
        <f t="shared" si="17"/>
        <v>0</v>
      </c>
      <c r="Y25" s="13">
        <f t="shared" si="17"/>
        <v>0</v>
      </c>
      <c r="Z25" s="13">
        <f t="shared" si="17"/>
        <v>0</v>
      </c>
      <c r="AA25" s="13">
        <f t="shared" si="17"/>
        <v>0</v>
      </c>
      <c r="AB25" s="13">
        <f t="shared" si="17"/>
        <v>0</v>
      </c>
      <c r="AC25" s="13">
        <f t="shared" si="17"/>
        <v>0</v>
      </c>
      <c r="AD25" s="13">
        <f t="shared" si="17"/>
        <v>0</v>
      </c>
      <c r="AE25" s="13">
        <f t="shared" si="17"/>
        <v>0</v>
      </c>
      <c r="AF25" s="13">
        <f t="shared" si="17"/>
        <v>0</v>
      </c>
      <c r="AG25" s="13">
        <f t="shared" si="17"/>
        <v>0</v>
      </c>
      <c r="AH25" s="13">
        <f t="shared" si="17"/>
        <v>0</v>
      </c>
      <c r="AI25" s="13">
        <f t="shared" si="17"/>
        <v>0</v>
      </c>
      <c r="AJ25" s="13">
        <f t="shared" si="17"/>
        <v>0</v>
      </c>
      <c r="AK25" s="13">
        <f t="shared" si="17"/>
        <v>0</v>
      </c>
      <c r="AL25" s="13">
        <f t="shared" si="17"/>
        <v>0</v>
      </c>
      <c r="AM25" s="13">
        <f t="shared" si="17"/>
        <v>0</v>
      </c>
      <c r="AN25" s="13">
        <f t="shared" si="17"/>
        <v>0</v>
      </c>
      <c r="AO25" s="13">
        <f t="shared" si="17"/>
        <v>0</v>
      </c>
      <c r="AP25" s="13">
        <f t="shared" si="17"/>
        <v>0</v>
      </c>
      <c r="AQ25" s="13">
        <f t="shared" si="17"/>
        <v>0</v>
      </c>
      <c r="AR25" s="13">
        <f t="shared" si="17"/>
        <v>0</v>
      </c>
      <c r="AS25" s="13">
        <f t="shared" si="17"/>
        <v>0</v>
      </c>
      <c r="AT25" s="13">
        <f t="shared" si="17"/>
        <v>0</v>
      </c>
      <c r="AU25" s="13">
        <f t="shared" si="17"/>
        <v>0</v>
      </c>
      <c r="AV25" s="13">
        <f t="shared" si="17"/>
        <v>0</v>
      </c>
      <c r="AW25" s="13">
        <f t="shared" si="17"/>
        <v>0</v>
      </c>
      <c r="AX25" s="13">
        <f t="shared" ref="AX25:CC25" si="18">IF(AX$5=$L25,1,0)</f>
        <v>0</v>
      </c>
      <c r="AY25" s="13">
        <f t="shared" si="18"/>
        <v>0</v>
      </c>
      <c r="AZ25" s="13">
        <f t="shared" si="18"/>
        <v>0</v>
      </c>
      <c r="BA25" s="13">
        <f t="shared" si="18"/>
        <v>0</v>
      </c>
      <c r="BB25" s="13">
        <f t="shared" si="18"/>
        <v>0</v>
      </c>
      <c r="BC25" s="13">
        <f t="shared" si="18"/>
        <v>0</v>
      </c>
      <c r="BD25" s="13">
        <f t="shared" si="18"/>
        <v>0</v>
      </c>
      <c r="BE25" s="13">
        <f t="shared" si="18"/>
        <v>0</v>
      </c>
      <c r="BF25" s="13">
        <f t="shared" si="18"/>
        <v>0</v>
      </c>
      <c r="BG25" s="13">
        <f t="shared" si="18"/>
        <v>0</v>
      </c>
      <c r="BH25" s="13">
        <f t="shared" si="18"/>
        <v>0</v>
      </c>
      <c r="BI25" s="13">
        <f t="shared" si="18"/>
        <v>0</v>
      </c>
      <c r="BJ25" s="13">
        <f t="shared" si="18"/>
        <v>0</v>
      </c>
      <c r="BK25" s="13">
        <f t="shared" si="18"/>
        <v>0</v>
      </c>
      <c r="BL25" s="13">
        <f t="shared" si="18"/>
        <v>0</v>
      </c>
      <c r="BM25" s="13">
        <f t="shared" si="18"/>
        <v>0</v>
      </c>
      <c r="BN25" s="13">
        <f t="shared" si="18"/>
        <v>0</v>
      </c>
      <c r="BO25" s="13">
        <f t="shared" si="18"/>
        <v>0</v>
      </c>
      <c r="BP25" s="13">
        <f t="shared" si="18"/>
        <v>0</v>
      </c>
      <c r="BQ25" s="13">
        <f t="shared" si="18"/>
        <v>0</v>
      </c>
      <c r="BR25" s="13">
        <f t="shared" si="18"/>
        <v>0</v>
      </c>
      <c r="BS25" s="13">
        <f t="shared" si="18"/>
        <v>0</v>
      </c>
      <c r="BT25" s="13">
        <f t="shared" si="18"/>
        <v>0</v>
      </c>
      <c r="BU25" s="13">
        <f t="shared" si="18"/>
        <v>0</v>
      </c>
      <c r="BV25" s="13">
        <f t="shared" si="18"/>
        <v>0</v>
      </c>
      <c r="BW25" s="13">
        <f t="shared" si="18"/>
        <v>0</v>
      </c>
      <c r="BX25" s="13">
        <f t="shared" si="18"/>
        <v>0</v>
      </c>
      <c r="BY25" s="13">
        <f t="shared" si="18"/>
        <v>0</v>
      </c>
      <c r="BZ25" s="13">
        <f t="shared" si="18"/>
        <v>0</v>
      </c>
      <c r="CA25" s="13">
        <f t="shared" si="18"/>
        <v>0</v>
      </c>
      <c r="CB25" s="13">
        <f t="shared" si="18"/>
        <v>0</v>
      </c>
      <c r="CC25" s="13">
        <f t="shared" si="18"/>
        <v>0</v>
      </c>
      <c r="CD25" s="13">
        <f t="shared" ref="CD25:DF25" si="19">IF(CD$5=$L25,1,0)</f>
        <v>0</v>
      </c>
      <c r="CE25" s="13">
        <f t="shared" si="19"/>
        <v>0</v>
      </c>
      <c r="CF25" s="13">
        <f t="shared" si="19"/>
        <v>0</v>
      </c>
      <c r="CG25" s="13">
        <f t="shared" si="19"/>
        <v>0</v>
      </c>
      <c r="CH25" s="13">
        <f t="shared" si="19"/>
        <v>0</v>
      </c>
      <c r="CI25" s="13">
        <f t="shared" si="19"/>
        <v>0</v>
      </c>
      <c r="CJ25" s="13">
        <f t="shared" si="19"/>
        <v>0</v>
      </c>
      <c r="CK25" s="13">
        <f t="shared" si="19"/>
        <v>0</v>
      </c>
      <c r="CL25" s="13">
        <f t="shared" si="19"/>
        <v>0</v>
      </c>
      <c r="CM25" s="13">
        <f t="shared" si="19"/>
        <v>0</v>
      </c>
      <c r="CN25" s="13">
        <f t="shared" si="19"/>
        <v>0</v>
      </c>
      <c r="CO25" s="13">
        <f t="shared" si="19"/>
        <v>0</v>
      </c>
      <c r="CP25" s="13">
        <f t="shared" si="19"/>
        <v>0</v>
      </c>
      <c r="CQ25" s="13">
        <f t="shared" si="19"/>
        <v>0</v>
      </c>
      <c r="CR25" s="13">
        <f t="shared" si="19"/>
        <v>0</v>
      </c>
      <c r="CS25" s="13">
        <f t="shared" si="19"/>
        <v>0</v>
      </c>
      <c r="CT25" s="13">
        <f t="shared" si="19"/>
        <v>0</v>
      </c>
      <c r="CU25" s="13">
        <f t="shared" si="19"/>
        <v>0</v>
      </c>
      <c r="CV25" s="13">
        <f t="shared" si="19"/>
        <v>0</v>
      </c>
      <c r="CW25" s="13">
        <f t="shared" si="19"/>
        <v>0</v>
      </c>
      <c r="CX25" s="13">
        <f t="shared" si="19"/>
        <v>0</v>
      </c>
      <c r="CY25" s="13">
        <f t="shared" si="19"/>
        <v>0</v>
      </c>
      <c r="CZ25" s="13">
        <f t="shared" si="19"/>
        <v>0</v>
      </c>
      <c r="DA25" s="13">
        <f t="shared" si="19"/>
        <v>0</v>
      </c>
      <c r="DB25" s="13">
        <f t="shared" si="19"/>
        <v>0</v>
      </c>
      <c r="DC25" s="13">
        <f t="shared" si="19"/>
        <v>0</v>
      </c>
      <c r="DD25" s="13">
        <f t="shared" si="19"/>
        <v>0</v>
      </c>
      <c r="DE25" s="13">
        <f t="shared" si="19"/>
        <v>0</v>
      </c>
      <c r="DF25" s="13">
        <f t="shared" si="19"/>
        <v>0</v>
      </c>
    </row>
    <row r="26" spans="2:110" ht="12.75" customHeight="1" x14ac:dyDescent="0.25">
      <c r="J26" s="54"/>
      <c r="L26" s="102"/>
    </row>
    <row r="27" spans="2:110" ht="12.75" customHeight="1" x14ac:dyDescent="0.25">
      <c r="B27" s="23" t="s">
        <v>67</v>
      </c>
      <c r="J27" s="54"/>
      <c r="L27" s="102"/>
    </row>
    <row r="28" spans="2:110" ht="12.75" customHeight="1" x14ac:dyDescent="0.25">
      <c r="B28" t="s">
        <v>68</v>
      </c>
      <c r="J28" s="54" t="s">
        <v>13</v>
      </c>
      <c r="L28" s="15">
        <f>InputC!K20</f>
        <v>2024</v>
      </c>
      <c r="P28" s="12">
        <f>SUM(R28:DF28)</f>
        <v>1</v>
      </c>
      <c r="R28" s="13">
        <f t="shared" ref="R28:AW28" si="20">IF(R$5=$L28,1,0)</f>
        <v>0</v>
      </c>
      <c r="S28" s="13">
        <f t="shared" si="20"/>
        <v>0</v>
      </c>
      <c r="T28" s="13">
        <f t="shared" si="20"/>
        <v>0</v>
      </c>
      <c r="U28" s="13">
        <f t="shared" si="20"/>
        <v>1</v>
      </c>
      <c r="V28" s="13">
        <f t="shared" si="20"/>
        <v>0</v>
      </c>
      <c r="W28" s="13">
        <f t="shared" si="20"/>
        <v>0</v>
      </c>
      <c r="X28" s="13">
        <f t="shared" si="20"/>
        <v>0</v>
      </c>
      <c r="Y28" s="13">
        <f t="shared" si="20"/>
        <v>0</v>
      </c>
      <c r="Z28" s="13">
        <f t="shared" si="20"/>
        <v>0</v>
      </c>
      <c r="AA28" s="13">
        <f t="shared" si="20"/>
        <v>0</v>
      </c>
      <c r="AB28" s="13">
        <f t="shared" si="20"/>
        <v>0</v>
      </c>
      <c r="AC28" s="13">
        <f t="shared" si="20"/>
        <v>0</v>
      </c>
      <c r="AD28" s="13">
        <f t="shared" si="20"/>
        <v>0</v>
      </c>
      <c r="AE28" s="13">
        <f t="shared" si="20"/>
        <v>0</v>
      </c>
      <c r="AF28" s="13">
        <f t="shared" si="20"/>
        <v>0</v>
      </c>
      <c r="AG28" s="13">
        <f t="shared" si="20"/>
        <v>0</v>
      </c>
      <c r="AH28" s="13">
        <f t="shared" si="20"/>
        <v>0</v>
      </c>
      <c r="AI28" s="13">
        <f t="shared" si="20"/>
        <v>0</v>
      </c>
      <c r="AJ28" s="13">
        <f t="shared" si="20"/>
        <v>0</v>
      </c>
      <c r="AK28" s="13">
        <f t="shared" si="20"/>
        <v>0</v>
      </c>
      <c r="AL28" s="13">
        <f t="shared" si="20"/>
        <v>0</v>
      </c>
      <c r="AM28" s="13">
        <f t="shared" si="20"/>
        <v>0</v>
      </c>
      <c r="AN28" s="13">
        <f t="shared" si="20"/>
        <v>0</v>
      </c>
      <c r="AO28" s="13">
        <f t="shared" si="20"/>
        <v>0</v>
      </c>
      <c r="AP28" s="13">
        <f t="shared" si="20"/>
        <v>0</v>
      </c>
      <c r="AQ28" s="13">
        <f t="shared" si="20"/>
        <v>0</v>
      </c>
      <c r="AR28" s="13">
        <f t="shared" si="20"/>
        <v>0</v>
      </c>
      <c r="AS28" s="13">
        <f t="shared" si="20"/>
        <v>0</v>
      </c>
      <c r="AT28" s="13">
        <f t="shared" si="20"/>
        <v>0</v>
      </c>
      <c r="AU28" s="13">
        <f t="shared" si="20"/>
        <v>0</v>
      </c>
      <c r="AV28" s="13">
        <f t="shared" si="20"/>
        <v>0</v>
      </c>
      <c r="AW28" s="13">
        <f t="shared" si="20"/>
        <v>0</v>
      </c>
      <c r="AX28" s="13">
        <f t="shared" ref="AX28:CC28" si="21">IF(AX$5=$L28,1,0)</f>
        <v>0</v>
      </c>
      <c r="AY28" s="13">
        <f t="shared" si="21"/>
        <v>0</v>
      </c>
      <c r="AZ28" s="13">
        <f t="shared" si="21"/>
        <v>0</v>
      </c>
      <c r="BA28" s="13">
        <f t="shared" si="21"/>
        <v>0</v>
      </c>
      <c r="BB28" s="13">
        <f t="shared" si="21"/>
        <v>0</v>
      </c>
      <c r="BC28" s="13">
        <f t="shared" si="21"/>
        <v>0</v>
      </c>
      <c r="BD28" s="13">
        <f t="shared" si="21"/>
        <v>0</v>
      </c>
      <c r="BE28" s="13">
        <f t="shared" si="21"/>
        <v>0</v>
      </c>
      <c r="BF28" s="13">
        <f t="shared" si="21"/>
        <v>0</v>
      </c>
      <c r="BG28" s="13">
        <f t="shared" si="21"/>
        <v>0</v>
      </c>
      <c r="BH28" s="13">
        <f t="shared" si="21"/>
        <v>0</v>
      </c>
      <c r="BI28" s="13">
        <f t="shared" si="21"/>
        <v>0</v>
      </c>
      <c r="BJ28" s="13">
        <f t="shared" si="21"/>
        <v>0</v>
      </c>
      <c r="BK28" s="13">
        <f t="shared" si="21"/>
        <v>0</v>
      </c>
      <c r="BL28" s="13">
        <f t="shared" si="21"/>
        <v>0</v>
      </c>
      <c r="BM28" s="13">
        <f t="shared" si="21"/>
        <v>0</v>
      </c>
      <c r="BN28" s="13">
        <f t="shared" si="21"/>
        <v>0</v>
      </c>
      <c r="BO28" s="13">
        <f t="shared" si="21"/>
        <v>0</v>
      </c>
      <c r="BP28" s="13">
        <f t="shared" si="21"/>
        <v>0</v>
      </c>
      <c r="BQ28" s="13">
        <f t="shared" si="21"/>
        <v>0</v>
      </c>
      <c r="BR28" s="13">
        <f t="shared" si="21"/>
        <v>0</v>
      </c>
      <c r="BS28" s="13">
        <f t="shared" si="21"/>
        <v>0</v>
      </c>
      <c r="BT28" s="13">
        <f t="shared" si="21"/>
        <v>0</v>
      </c>
      <c r="BU28" s="13">
        <f t="shared" si="21"/>
        <v>0</v>
      </c>
      <c r="BV28" s="13">
        <f t="shared" si="21"/>
        <v>0</v>
      </c>
      <c r="BW28" s="13">
        <f t="shared" si="21"/>
        <v>0</v>
      </c>
      <c r="BX28" s="13">
        <f t="shared" si="21"/>
        <v>0</v>
      </c>
      <c r="BY28" s="13">
        <f t="shared" si="21"/>
        <v>0</v>
      </c>
      <c r="BZ28" s="13">
        <f t="shared" si="21"/>
        <v>0</v>
      </c>
      <c r="CA28" s="13">
        <f t="shared" si="21"/>
        <v>0</v>
      </c>
      <c r="CB28" s="13">
        <f t="shared" si="21"/>
        <v>0</v>
      </c>
      <c r="CC28" s="13">
        <f t="shared" si="21"/>
        <v>0</v>
      </c>
      <c r="CD28" s="13">
        <f t="shared" ref="CD28:DF28" si="22">IF(CD$5=$L28,1,0)</f>
        <v>0</v>
      </c>
      <c r="CE28" s="13">
        <f t="shared" si="22"/>
        <v>0</v>
      </c>
      <c r="CF28" s="13">
        <f t="shared" si="22"/>
        <v>0</v>
      </c>
      <c r="CG28" s="13">
        <f t="shared" si="22"/>
        <v>0</v>
      </c>
      <c r="CH28" s="13">
        <f t="shared" si="22"/>
        <v>0</v>
      </c>
      <c r="CI28" s="13">
        <f t="shared" si="22"/>
        <v>0</v>
      </c>
      <c r="CJ28" s="13">
        <f t="shared" si="22"/>
        <v>0</v>
      </c>
      <c r="CK28" s="13">
        <f t="shared" si="22"/>
        <v>0</v>
      </c>
      <c r="CL28" s="13">
        <f t="shared" si="22"/>
        <v>0</v>
      </c>
      <c r="CM28" s="13">
        <f t="shared" si="22"/>
        <v>0</v>
      </c>
      <c r="CN28" s="13">
        <f t="shared" si="22"/>
        <v>0</v>
      </c>
      <c r="CO28" s="13">
        <f t="shared" si="22"/>
        <v>0</v>
      </c>
      <c r="CP28" s="13">
        <f t="shared" si="22"/>
        <v>0</v>
      </c>
      <c r="CQ28" s="13">
        <f t="shared" si="22"/>
        <v>0</v>
      </c>
      <c r="CR28" s="13">
        <f t="shared" si="22"/>
        <v>0</v>
      </c>
      <c r="CS28" s="13">
        <f t="shared" si="22"/>
        <v>0</v>
      </c>
      <c r="CT28" s="13">
        <f t="shared" si="22"/>
        <v>0</v>
      </c>
      <c r="CU28" s="13">
        <f t="shared" si="22"/>
        <v>0</v>
      </c>
      <c r="CV28" s="13">
        <f t="shared" si="22"/>
        <v>0</v>
      </c>
      <c r="CW28" s="13">
        <f t="shared" si="22"/>
        <v>0</v>
      </c>
      <c r="CX28" s="13">
        <f t="shared" si="22"/>
        <v>0</v>
      </c>
      <c r="CY28" s="13">
        <f t="shared" si="22"/>
        <v>0</v>
      </c>
      <c r="CZ28" s="13">
        <f t="shared" si="22"/>
        <v>0</v>
      </c>
      <c r="DA28" s="13">
        <f t="shared" si="22"/>
        <v>0</v>
      </c>
      <c r="DB28" s="13">
        <f t="shared" si="22"/>
        <v>0</v>
      </c>
      <c r="DC28" s="13">
        <f t="shared" si="22"/>
        <v>0</v>
      </c>
      <c r="DD28" s="13">
        <f t="shared" si="22"/>
        <v>0</v>
      </c>
      <c r="DE28" s="13">
        <f t="shared" si="22"/>
        <v>0</v>
      </c>
      <c r="DF28" s="13">
        <f t="shared" si="22"/>
        <v>0</v>
      </c>
    </row>
    <row r="29" spans="2:110" ht="12.75" customHeight="1" x14ac:dyDescent="0.25">
      <c r="B29" t="s">
        <v>69</v>
      </c>
      <c r="J29" s="54" t="s">
        <v>13</v>
      </c>
      <c r="P29" s="12">
        <f>SUM(R29:DF29)</f>
        <v>51</v>
      </c>
      <c r="R29" s="104">
        <f t="shared" ref="R29:CC29" si="23">Q29+R28-Q30</f>
        <v>0</v>
      </c>
      <c r="S29" s="104">
        <f t="shared" si="23"/>
        <v>0</v>
      </c>
      <c r="T29" s="104">
        <f t="shared" si="23"/>
        <v>0</v>
      </c>
      <c r="U29" s="104">
        <f t="shared" si="23"/>
        <v>1</v>
      </c>
      <c r="V29" s="104">
        <f t="shared" si="23"/>
        <v>1</v>
      </c>
      <c r="W29" s="104">
        <f t="shared" si="23"/>
        <v>1</v>
      </c>
      <c r="X29" s="104">
        <f t="shared" si="23"/>
        <v>1</v>
      </c>
      <c r="Y29" s="104">
        <f t="shared" si="23"/>
        <v>1</v>
      </c>
      <c r="Z29" s="104">
        <f t="shared" si="23"/>
        <v>1</v>
      </c>
      <c r="AA29" s="104">
        <f t="shared" si="23"/>
        <v>1</v>
      </c>
      <c r="AB29" s="104">
        <f t="shared" si="23"/>
        <v>1</v>
      </c>
      <c r="AC29" s="104">
        <f t="shared" si="23"/>
        <v>1</v>
      </c>
      <c r="AD29" s="104">
        <f t="shared" si="23"/>
        <v>1</v>
      </c>
      <c r="AE29" s="104">
        <f t="shared" si="23"/>
        <v>1</v>
      </c>
      <c r="AF29" s="104">
        <f t="shared" si="23"/>
        <v>1</v>
      </c>
      <c r="AG29" s="104">
        <f t="shared" si="23"/>
        <v>1</v>
      </c>
      <c r="AH29" s="104">
        <f t="shared" si="23"/>
        <v>1</v>
      </c>
      <c r="AI29" s="104">
        <f t="shared" si="23"/>
        <v>1</v>
      </c>
      <c r="AJ29" s="104">
        <f t="shared" si="23"/>
        <v>1</v>
      </c>
      <c r="AK29" s="104">
        <f t="shared" si="23"/>
        <v>1</v>
      </c>
      <c r="AL29" s="104">
        <f t="shared" si="23"/>
        <v>1</v>
      </c>
      <c r="AM29" s="104">
        <f t="shared" si="23"/>
        <v>1</v>
      </c>
      <c r="AN29" s="104">
        <f t="shared" si="23"/>
        <v>1</v>
      </c>
      <c r="AO29" s="104">
        <f t="shared" si="23"/>
        <v>1</v>
      </c>
      <c r="AP29" s="104">
        <f t="shared" si="23"/>
        <v>1</v>
      </c>
      <c r="AQ29" s="104">
        <f t="shared" si="23"/>
        <v>1</v>
      </c>
      <c r="AR29" s="104">
        <f t="shared" si="23"/>
        <v>1</v>
      </c>
      <c r="AS29" s="104">
        <f t="shared" si="23"/>
        <v>1</v>
      </c>
      <c r="AT29" s="104">
        <f t="shared" si="23"/>
        <v>1</v>
      </c>
      <c r="AU29" s="104">
        <f t="shared" si="23"/>
        <v>1</v>
      </c>
      <c r="AV29" s="104">
        <f t="shared" si="23"/>
        <v>1</v>
      </c>
      <c r="AW29" s="104">
        <f t="shared" si="23"/>
        <v>1</v>
      </c>
      <c r="AX29" s="104">
        <f t="shared" si="23"/>
        <v>1</v>
      </c>
      <c r="AY29" s="104">
        <f t="shared" si="23"/>
        <v>1</v>
      </c>
      <c r="AZ29" s="104">
        <f t="shared" si="23"/>
        <v>1</v>
      </c>
      <c r="BA29" s="104">
        <f t="shared" si="23"/>
        <v>1</v>
      </c>
      <c r="BB29" s="104">
        <f t="shared" si="23"/>
        <v>1</v>
      </c>
      <c r="BC29" s="104">
        <f t="shared" si="23"/>
        <v>1</v>
      </c>
      <c r="BD29" s="104">
        <f t="shared" si="23"/>
        <v>1</v>
      </c>
      <c r="BE29" s="104">
        <f t="shared" si="23"/>
        <v>1</v>
      </c>
      <c r="BF29" s="104">
        <f t="shared" si="23"/>
        <v>1</v>
      </c>
      <c r="BG29" s="104">
        <f t="shared" si="23"/>
        <v>1</v>
      </c>
      <c r="BH29" s="104">
        <f t="shared" si="23"/>
        <v>1</v>
      </c>
      <c r="BI29" s="104">
        <f t="shared" si="23"/>
        <v>1</v>
      </c>
      <c r="BJ29" s="104">
        <f t="shared" si="23"/>
        <v>1</v>
      </c>
      <c r="BK29" s="104">
        <f t="shared" si="23"/>
        <v>1</v>
      </c>
      <c r="BL29" s="104">
        <f t="shared" si="23"/>
        <v>1</v>
      </c>
      <c r="BM29" s="104">
        <f t="shared" si="23"/>
        <v>1</v>
      </c>
      <c r="BN29" s="104">
        <f t="shared" si="23"/>
        <v>1</v>
      </c>
      <c r="BO29" s="104">
        <f t="shared" si="23"/>
        <v>1</v>
      </c>
      <c r="BP29" s="104">
        <f t="shared" si="23"/>
        <v>1</v>
      </c>
      <c r="BQ29" s="104">
        <f t="shared" si="23"/>
        <v>1</v>
      </c>
      <c r="BR29" s="104">
        <f t="shared" si="23"/>
        <v>1</v>
      </c>
      <c r="BS29" s="104">
        <f t="shared" si="23"/>
        <v>1</v>
      </c>
      <c r="BT29" s="104">
        <f t="shared" si="23"/>
        <v>0</v>
      </c>
      <c r="BU29" s="104">
        <f t="shared" si="23"/>
        <v>0</v>
      </c>
      <c r="BV29" s="104">
        <f t="shared" si="23"/>
        <v>0</v>
      </c>
      <c r="BW29" s="104">
        <f t="shared" si="23"/>
        <v>0</v>
      </c>
      <c r="BX29" s="104">
        <f t="shared" si="23"/>
        <v>0</v>
      </c>
      <c r="BY29" s="104">
        <f t="shared" si="23"/>
        <v>0</v>
      </c>
      <c r="BZ29" s="104">
        <f t="shared" si="23"/>
        <v>0</v>
      </c>
      <c r="CA29" s="104">
        <f t="shared" si="23"/>
        <v>0</v>
      </c>
      <c r="CB29" s="104">
        <f t="shared" si="23"/>
        <v>0</v>
      </c>
      <c r="CC29" s="104">
        <f t="shared" si="23"/>
        <v>0</v>
      </c>
      <c r="CD29" s="104">
        <f t="shared" ref="CD29:DF29" si="24">CC29+CD28-CC30</f>
        <v>0</v>
      </c>
      <c r="CE29" s="104">
        <f t="shared" si="24"/>
        <v>0</v>
      </c>
      <c r="CF29" s="104">
        <f t="shared" si="24"/>
        <v>0</v>
      </c>
      <c r="CG29" s="104">
        <f t="shared" si="24"/>
        <v>0</v>
      </c>
      <c r="CH29" s="104">
        <f t="shared" si="24"/>
        <v>0</v>
      </c>
      <c r="CI29" s="104">
        <f t="shared" si="24"/>
        <v>0</v>
      </c>
      <c r="CJ29" s="104">
        <f t="shared" si="24"/>
        <v>0</v>
      </c>
      <c r="CK29" s="104">
        <f t="shared" si="24"/>
        <v>0</v>
      </c>
      <c r="CL29" s="104">
        <f t="shared" si="24"/>
        <v>0</v>
      </c>
      <c r="CM29" s="104">
        <f t="shared" si="24"/>
        <v>0</v>
      </c>
      <c r="CN29" s="104">
        <f t="shared" si="24"/>
        <v>0</v>
      </c>
      <c r="CO29" s="104">
        <f t="shared" si="24"/>
        <v>0</v>
      </c>
      <c r="CP29" s="104">
        <f t="shared" si="24"/>
        <v>0</v>
      </c>
      <c r="CQ29" s="104">
        <f t="shared" si="24"/>
        <v>0</v>
      </c>
      <c r="CR29" s="104">
        <f t="shared" si="24"/>
        <v>0</v>
      </c>
      <c r="CS29" s="104">
        <f t="shared" si="24"/>
        <v>0</v>
      </c>
      <c r="CT29" s="104">
        <f t="shared" si="24"/>
        <v>0</v>
      </c>
      <c r="CU29" s="104">
        <f t="shared" si="24"/>
        <v>0</v>
      </c>
      <c r="CV29" s="104">
        <f t="shared" si="24"/>
        <v>0</v>
      </c>
      <c r="CW29" s="104">
        <f t="shared" si="24"/>
        <v>0</v>
      </c>
      <c r="CX29" s="104">
        <f t="shared" si="24"/>
        <v>0</v>
      </c>
      <c r="CY29" s="104">
        <f t="shared" si="24"/>
        <v>0</v>
      </c>
      <c r="CZ29" s="104">
        <f t="shared" si="24"/>
        <v>0</v>
      </c>
      <c r="DA29" s="104">
        <f t="shared" si="24"/>
        <v>0</v>
      </c>
      <c r="DB29" s="104">
        <f t="shared" si="24"/>
        <v>0</v>
      </c>
      <c r="DC29" s="104">
        <f t="shared" si="24"/>
        <v>0</v>
      </c>
      <c r="DD29" s="104">
        <f t="shared" si="24"/>
        <v>0</v>
      </c>
      <c r="DE29" s="104">
        <f t="shared" si="24"/>
        <v>0</v>
      </c>
      <c r="DF29" s="104">
        <f t="shared" si="24"/>
        <v>0</v>
      </c>
    </row>
    <row r="30" spans="2:110" ht="12.75" customHeight="1" x14ac:dyDescent="0.25">
      <c r="B30" t="s">
        <v>70</v>
      </c>
      <c r="J30" s="54" t="s">
        <v>13</v>
      </c>
      <c r="L30" s="15">
        <f>InputC!K22</f>
        <v>2074</v>
      </c>
      <c r="P30" s="12">
        <f>SUM(R30:DF30)</f>
        <v>1</v>
      </c>
      <c r="R30" s="13">
        <f t="shared" ref="R30:AW30" si="25">IF(R$5=$L30,1,0)</f>
        <v>0</v>
      </c>
      <c r="S30" s="13">
        <f t="shared" si="25"/>
        <v>0</v>
      </c>
      <c r="T30" s="13">
        <f t="shared" si="25"/>
        <v>0</v>
      </c>
      <c r="U30" s="13">
        <f t="shared" si="25"/>
        <v>0</v>
      </c>
      <c r="V30" s="13">
        <f t="shared" si="25"/>
        <v>0</v>
      </c>
      <c r="W30" s="13">
        <f t="shared" si="25"/>
        <v>0</v>
      </c>
      <c r="X30" s="13">
        <f t="shared" si="25"/>
        <v>0</v>
      </c>
      <c r="Y30" s="13">
        <f t="shared" si="25"/>
        <v>0</v>
      </c>
      <c r="Z30" s="13">
        <f t="shared" si="25"/>
        <v>0</v>
      </c>
      <c r="AA30" s="13">
        <f t="shared" si="25"/>
        <v>0</v>
      </c>
      <c r="AB30" s="13">
        <f t="shared" si="25"/>
        <v>0</v>
      </c>
      <c r="AC30" s="13">
        <f t="shared" si="25"/>
        <v>0</v>
      </c>
      <c r="AD30" s="13">
        <f t="shared" si="25"/>
        <v>0</v>
      </c>
      <c r="AE30" s="13">
        <f t="shared" si="25"/>
        <v>0</v>
      </c>
      <c r="AF30" s="13">
        <f t="shared" si="25"/>
        <v>0</v>
      </c>
      <c r="AG30" s="13">
        <f t="shared" si="25"/>
        <v>0</v>
      </c>
      <c r="AH30" s="13">
        <f t="shared" si="25"/>
        <v>0</v>
      </c>
      <c r="AI30" s="13">
        <f t="shared" si="25"/>
        <v>0</v>
      </c>
      <c r="AJ30" s="13">
        <f t="shared" si="25"/>
        <v>0</v>
      </c>
      <c r="AK30" s="13">
        <f t="shared" si="25"/>
        <v>0</v>
      </c>
      <c r="AL30" s="13">
        <f t="shared" si="25"/>
        <v>0</v>
      </c>
      <c r="AM30" s="13">
        <f t="shared" si="25"/>
        <v>0</v>
      </c>
      <c r="AN30" s="13">
        <f t="shared" si="25"/>
        <v>0</v>
      </c>
      <c r="AO30" s="13">
        <f t="shared" si="25"/>
        <v>0</v>
      </c>
      <c r="AP30" s="13">
        <f t="shared" si="25"/>
        <v>0</v>
      </c>
      <c r="AQ30" s="13">
        <f t="shared" si="25"/>
        <v>0</v>
      </c>
      <c r="AR30" s="13">
        <f t="shared" si="25"/>
        <v>0</v>
      </c>
      <c r="AS30" s="13">
        <f t="shared" si="25"/>
        <v>0</v>
      </c>
      <c r="AT30" s="13">
        <f t="shared" si="25"/>
        <v>0</v>
      </c>
      <c r="AU30" s="13">
        <f t="shared" si="25"/>
        <v>0</v>
      </c>
      <c r="AV30" s="13">
        <f t="shared" si="25"/>
        <v>0</v>
      </c>
      <c r="AW30" s="13">
        <f t="shared" si="25"/>
        <v>0</v>
      </c>
      <c r="AX30" s="13">
        <f t="shared" ref="AX30:CC30" si="26">IF(AX$5=$L30,1,0)</f>
        <v>0</v>
      </c>
      <c r="AY30" s="13">
        <f t="shared" si="26"/>
        <v>0</v>
      </c>
      <c r="AZ30" s="13">
        <f t="shared" si="26"/>
        <v>0</v>
      </c>
      <c r="BA30" s="13">
        <f t="shared" si="26"/>
        <v>0</v>
      </c>
      <c r="BB30" s="13">
        <f t="shared" si="26"/>
        <v>0</v>
      </c>
      <c r="BC30" s="13">
        <f t="shared" si="26"/>
        <v>0</v>
      </c>
      <c r="BD30" s="13">
        <f t="shared" si="26"/>
        <v>0</v>
      </c>
      <c r="BE30" s="13">
        <f t="shared" si="26"/>
        <v>0</v>
      </c>
      <c r="BF30" s="13">
        <f t="shared" si="26"/>
        <v>0</v>
      </c>
      <c r="BG30" s="13">
        <f t="shared" si="26"/>
        <v>0</v>
      </c>
      <c r="BH30" s="13">
        <f t="shared" si="26"/>
        <v>0</v>
      </c>
      <c r="BI30" s="13">
        <f t="shared" si="26"/>
        <v>0</v>
      </c>
      <c r="BJ30" s="13">
        <f t="shared" si="26"/>
        <v>0</v>
      </c>
      <c r="BK30" s="13">
        <f t="shared" si="26"/>
        <v>0</v>
      </c>
      <c r="BL30" s="13">
        <f t="shared" si="26"/>
        <v>0</v>
      </c>
      <c r="BM30" s="13">
        <f t="shared" si="26"/>
        <v>0</v>
      </c>
      <c r="BN30" s="13">
        <f t="shared" si="26"/>
        <v>0</v>
      </c>
      <c r="BO30" s="13">
        <f t="shared" si="26"/>
        <v>0</v>
      </c>
      <c r="BP30" s="13">
        <f t="shared" si="26"/>
        <v>0</v>
      </c>
      <c r="BQ30" s="13">
        <f t="shared" si="26"/>
        <v>0</v>
      </c>
      <c r="BR30" s="13">
        <f t="shared" si="26"/>
        <v>0</v>
      </c>
      <c r="BS30" s="13">
        <f t="shared" si="26"/>
        <v>1</v>
      </c>
      <c r="BT30" s="13">
        <f t="shared" si="26"/>
        <v>0</v>
      </c>
      <c r="BU30" s="13">
        <f t="shared" si="26"/>
        <v>0</v>
      </c>
      <c r="BV30" s="13">
        <f t="shared" si="26"/>
        <v>0</v>
      </c>
      <c r="BW30" s="13">
        <f t="shared" si="26"/>
        <v>0</v>
      </c>
      <c r="BX30" s="13">
        <f t="shared" si="26"/>
        <v>0</v>
      </c>
      <c r="BY30" s="13">
        <f t="shared" si="26"/>
        <v>0</v>
      </c>
      <c r="BZ30" s="13">
        <f t="shared" si="26"/>
        <v>0</v>
      </c>
      <c r="CA30" s="13">
        <f t="shared" si="26"/>
        <v>0</v>
      </c>
      <c r="CB30" s="13">
        <f t="shared" si="26"/>
        <v>0</v>
      </c>
      <c r="CC30" s="13">
        <f t="shared" si="26"/>
        <v>0</v>
      </c>
      <c r="CD30" s="13">
        <f t="shared" ref="CD30:DF30" si="27">IF(CD$5=$L30,1,0)</f>
        <v>0</v>
      </c>
      <c r="CE30" s="13">
        <f t="shared" si="27"/>
        <v>0</v>
      </c>
      <c r="CF30" s="13">
        <f t="shared" si="27"/>
        <v>0</v>
      </c>
      <c r="CG30" s="13">
        <f t="shared" si="27"/>
        <v>0</v>
      </c>
      <c r="CH30" s="13">
        <f t="shared" si="27"/>
        <v>0</v>
      </c>
      <c r="CI30" s="13">
        <f t="shared" si="27"/>
        <v>0</v>
      </c>
      <c r="CJ30" s="13">
        <f t="shared" si="27"/>
        <v>0</v>
      </c>
      <c r="CK30" s="13">
        <f t="shared" si="27"/>
        <v>0</v>
      </c>
      <c r="CL30" s="13">
        <f t="shared" si="27"/>
        <v>0</v>
      </c>
      <c r="CM30" s="13">
        <f t="shared" si="27"/>
        <v>0</v>
      </c>
      <c r="CN30" s="13">
        <f t="shared" si="27"/>
        <v>0</v>
      </c>
      <c r="CO30" s="13">
        <f t="shared" si="27"/>
        <v>0</v>
      </c>
      <c r="CP30" s="13">
        <f t="shared" si="27"/>
        <v>0</v>
      </c>
      <c r="CQ30" s="13">
        <f t="shared" si="27"/>
        <v>0</v>
      </c>
      <c r="CR30" s="13">
        <f t="shared" si="27"/>
        <v>0</v>
      </c>
      <c r="CS30" s="13">
        <f t="shared" si="27"/>
        <v>0</v>
      </c>
      <c r="CT30" s="13">
        <f t="shared" si="27"/>
        <v>0</v>
      </c>
      <c r="CU30" s="13">
        <f t="shared" si="27"/>
        <v>0</v>
      </c>
      <c r="CV30" s="13">
        <f t="shared" si="27"/>
        <v>0</v>
      </c>
      <c r="CW30" s="13">
        <f t="shared" si="27"/>
        <v>0</v>
      </c>
      <c r="CX30" s="13">
        <f t="shared" si="27"/>
        <v>0</v>
      </c>
      <c r="CY30" s="13">
        <f t="shared" si="27"/>
        <v>0</v>
      </c>
      <c r="CZ30" s="13">
        <f t="shared" si="27"/>
        <v>0</v>
      </c>
      <c r="DA30" s="13">
        <f t="shared" si="27"/>
        <v>0</v>
      </c>
      <c r="DB30" s="13">
        <f t="shared" si="27"/>
        <v>0</v>
      </c>
      <c r="DC30" s="13">
        <f t="shared" si="27"/>
        <v>0</v>
      </c>
      <c r="DD30" s="13">
        <f t="shared" si="27"/>
        <v>0</v>
      </c>
      <c r="DE30" s="13">
        <f t="shared" si="27"/>
        <v>0</v>
      </c>
      <c r="DF30" s="13">
        <f t="shared" si="27"/>
        <v>0</v>
      </c>
    </row>
    <row r="31" spans="2:110" ht="12.75" customHeight="1" x14ac:dyDescent="0.25">
      <c r="J31" s="54"/>
      <c r="L31" s="102"/>
    </row>
    <row r="32" spans="2:110" ht="12.75" customHeight="1" x14ac:dyDescent="0.25">
      <c r="B32" t="s">
        <v>71</v>
      </c>
      <c r="J32" s="54" t="s">
        <v>58</v>
      </c>
      <c r="L32" s="105"/>
      <c r="R32" s="13">
        <f>(Q32+R29)*R29</f>
        <v>0</v>
      </c>
      <c r="S32" s="13">
        <f t="shared" ref="S32:CD32" si="28">(R32+S29)*S29</f>
        <v>0</v>
      </c>
      <c r="T32" s="13">
        <f t="shared" si="28"/>
        <v>0</v>
      </c>
      <c r="U32" s="13">
        <f t="shared" si="28"/>
        <v>1</v>
      </c>
      <c r="V32" s="13">
        <f t="shared" si="28"/>
        <v>2</v>
      </c>
      <c r="W32" s="13">
        <f t="shared" si="28"/>
        <v>3</v>
      </c>
      <c r="X32" s="13">
        <f t="shared" si="28"/>
        <v>4</v>
      </c>
      <c r="Y32" s="13">
        <f t="shared" si="28"/>
        <v>5</v>
      </c>
      <c r="Z32" s="13">
        <f t="shared" si="28"/>
        <v>6</v>
      </c>
      <c r="AA32" s="13">
        <f t="shared" si="28"/>
        <v>7</v>
      </c>
      <c r="AB32" s="13">
        <f t="shared" si="28"/>
        <v>8</v>
      </c>
      <c r="AC32" s="13">
        <f t="shared" si="28"/>
        <v>9</v>
      </c>
      <c r="AD32" s="13">
        <f t="shared" si="28"/>
        <v>10</v>
      </c>
      <c r="AE32" s="13">
        <f t="shared" si="28"/>
        <v>11</v>
      </c>
      <c r="AF32" s="13">
        <f t="shared" si="28"/>
        <v>12</v>
      </c>
      <c r="AG32" s="13">
        <f t="shared" si="28"/>
        <v>13</v>
      </c>
      <c r="AH32" s="13">
        <f t="shared" si="28"/>
        <v>14</v>
      </c>
      <c r="AI32" s="13">
        <f t="shared" si="28"/>
        <v>15</v>
      </c>
      <c r="AJ32" s="13">
        <f t="shared" si="28"/>
        <v>16</v>
      </c>
      <c r="AK32" s="13">
        <f t="shared" si="28"/>
        <v>17</v>
      </c>
      <c r="AL32" s="13">
        <f t="shared" si="28"/>
        <v>18</v>
      </c>
      <c r="AM32" s="13">
        <f t="shared" si="28"/>
        <v>19</v>
      </c>
      <c r="AN32" s="13">
        <f t="shared" si="28"/>
        <v>20</v>
      </c>
      <c r="AO32" s="13">
        <f t="shared" si="28"/>
        <v>21</v>
      </c>
      <c r="AP32" s="13">
        <f t="shared" si="28"/>
        <v>22</v>
      </c>
      <c r="AQ32" s="13">
        <f t="shared" si="28"/>
        <v>23</v>
      </c>
      <c r="AR32" s="13">
        <f t="shared" si="28"/>
        <v>24</v>
      </c>
      <c r="AS32" s="13">
        <f t="shared" si="28"/>
        <v>25</v>
      </c>
      <c r="AT32" s="13">
        <f t="shared" si="28"/>
        <v>26</v>
      </c>
      <c r="AU32" s="13">
        <f t="shared" si="28"/>
        <v>27</v>
      </c>
      <c r="AV32" s="13">
        <f t="shared" si="28"/>
        <v>28</v>
      </c>
      <c r="AW32" s="13">
        <f t="shared" si="28"/>
        <v>29</v>
      </c>
      <c r="AX32" s="13">
        <f t="shared" si="28"/>
        <v>30</v>
      </c>
      <c r="AY32" s="13">
        <f t="shared" si="28"/>
        <v>31</v>
      </c>
      <c r="AZ32" s="13">
        <f t="shared" si="28"/>
        <v>32</v>
      </c>
      <c r="BA32" s="13">
        <f t="shared" si="28"/>
        <v>33</v>
      </c>
      <c r="BB32" s="13">
        <f t="shared" si="28"/>
        <v>34</v>
      </c>
      <c r="BC32" s="13">
        <f t="shared" si="28"/>
        <v>35</v>
      </c>
      <c r="BD32" s="13">
        <f t="shared" si="28"/>
        <v>36</v>
      </c>
      <c r="BE32" s="13">
        <f t="shared" si="28"/>
        <v>37</v>
      </c>
      <c r="BF32" s="13">
        <f t="shared" si="28"/>
        <v>38</v>
      </c>
      <c r="BG32" s="13">
        <f t="shared" si="28"/>
        <v>39</v>
      </c>
      <c r="BH32" s="13">
        <f t="shared" si="28"/>
        <v>40</v>
      </c>
      <c r="BI32" s="13">
        <f t="shared" si="28"/>
        <v>41</v>
      </c>
      <c r="BJ32" s="13">
        <f t="shared" si="28"/>
        <v>42</v>
      </c>
      <c r="BK32" s="13">
        <f t="shared" si="28"/>
        <v>43</v>
      </c>
      <c r="BL32" s="13">
        <f t="shared" si="28"/>
        <v>44</v>
      </c>
      <c r="BM32" s="13">
        <f t="shared" si="28"/>
        <v>45</v>
      </c>
      <c r="BN32" s="13">
        <f t="shared" si="28"/>
        <v>46</v>
      </c>
      <c r="BO32" s="13">
        <f t="shared" si="28"/>
        <v>47</v>
      </c>
      <c r="BP32" s="13">
        <f t="shared" si="28"/>
        <v>48</v>
      </c>
      <c r="BQ32" s="13">
        <f t="shared" si="28"/>
        <v>49</v>
      </c>
      <c r="BR32" s="13">
        <f t="shared" si="28"/>
        <v>50</v>
      </c>
      <c r="BS32" s="13">
        <f t="shared" si="28"/>
        <v>51</v>
      </c>
      <c r="BT32" s="13">
        <f t="shared" si="28"/>
        <v>0</v>
      </c>
      <c r="BU32" s="13">
        <f t="shared" si="28"/>
        <v>0</v>
      </c>
      <c r="BV32" s="13">
        <f t="shared" si="28"/>
        <v>0</v>
      </c>
      <c r="BW32" s="13">
        <f t="shared" si="28"/>
        <v>0</v>
      </c>
      <c r="BX32" s="13">
        <f t="shared" si="28"/>
        <v>0</v>
      </c>
      <c r="BY32" s="13">
        <f t="shared" si="28"/>
        <v>0</v>
      </c>
      <c r="BZ32" s="13">
        <f t="shared" si="28"/>
        <v>0</v>
      </c>
      <c r="CA32" s="13">
        <f t="shared" si="28"/>
        <v>0</v>
      </c>
      <c r="CB32" s="13">
        <f t="shared" si="28"/>
        <v>0</v>
      </c>
      <c r="CC32" s="13">
        <f t="shared" si="28"/>
        <v>0</v>
      </c>
      <c r="CD32" s="13">
        <f t="shared" si="28"/>
        <v>0</v>
      </c>
      <c r="CE32" s="13">
        <f t="shared" ref="CE32:DF32" si="29">(CD32+CE29)*CE29</f>
        <v>0</v>
      </c>
      <c r="CF32" s="13">
        <f t="shared" si="29"/>
        <v>0</v>
      </c>
      <c r="CG32" s="13">
        <f t="shared" si="29"/>
        <v>0</v>
      </c>
      <c r="CH32" s="13">
        <f t="shared" si="29"/>
        <v>0</v>
      </c>
      <c r="CI32" s="13">
        <f t="shared" si="29"/>
        <v>0</v>
      </c>
      <c r="CJ32" s="13">
        <f t="shared" si="29"/>
        <v>0</v>
      </c>
      <c r="CK32" s="13">
        <f t="shared" si="29"/>
        <v>0</v>
      </c>
      <c r="CL32" s="13">
        <f t="shared" si="29"/>
        <v>0</v>
      </c>
      <c r="CM32" s="13">
        <f t="shared" si="29"/>
        <v>0</v>
      </c>
      <c r="CN32" s="13">
        <f t="shared" si="29"/>
        <v>0</v>
      </c>
      <c r="CO32" s="13">
        <f t="shared" si="29"/>
        <v>0</v>
      </c>
      <c r="CP32" s="13">
        <f t="shared" si="29"/>
        <v>0</v>
      </c>
      <c r="CQ32" s="13">
        <f t="shared" si="29"/>
        <v>0</v>
      </c>
      <c r="CR32" s="13">
        <f t="shared" si="29"/>
        <v>0</v>
      </c>
      <c r="CS32" s="13">
        <f t="shared" si="29"/>
        <v>0</v>
      </c>
      <c r="CT32" s="13">
        <f t="shared" si="29"/>
        <v>0</v>
      </c>
      <c r="CU32" s="13">
        <f t="shared" si="29"/>
        <v>0</v>
      </c>
      <c r="CV32" s="13">
        <f t="shared" si="29"/>
        <v>0</v>
      </c>
      <c r="CW32" s="13">
        <f t="shared" si="29"/>
        <v>0</v>
      </c>
      <c r="CX32" s="13">
        <f t="shared" si="29"/>
        <v>0</v>
      </c>
      <c r="CY32" s="13">
        <f t="shared" si="29"/>
        <v>0</v>
      </c>
      <c r="CZ32" s="13">
        <f t="shared" si="29"/>
        <v>0</v>
      </c>
      <c r="DA32" s="13">
        <f t="shared" si="29"/>
        <v>0</v>
      </c>
      <c r="DB32" s="13">
        <f t="shared" si="29"/>
        <v>0</v>
      </c>
      <c r="DC32" s="13">
        <f t="shared" si="29"/>
        <v>0</v>
      </c>
      <c r="DD32" s="13">
        <f t="shared" si="29"/>
        <v>0</v>
      </c>
      <c r="DE32" s="13">
        <f t="shared" si="29"/>
        <v>0</v>
      </c>
      <c r="DF32" s="13">
        <f t="shared" si="29"/>
        <v>0</v>
      </c>
    </row>
    <row r="33" spans="2:110" ht="12.75" customHeight="1" x14ac:dyDescent="0.25">
      <c r="J33" s="54"/>
      <c r="L33" s="102"/>
      <c r="R33" s="13"/>
    </row>
    <row r="34" spans="2:110" ht="12.75" customHeight="1" x14ac:dyDescent="0.25">
      <c r="B34" t="s">
        <v>72</v>
      </c>
      <c r="J34" s="54" t="s">
        <v>13</v>
      </c>
      <c r="L34" s="15">
        <v>2</v>
      </c>
      <c r="P34" s="12">
        <f>SUM(R34:DF34)</f>
        <v>25</v>
      </c>
      <c r="R34" s="13">
        <f t="shared" ref="R34:AW34" si="30">IF(AND(R32&gt;0,MOD(R32,$L$34)=0),1,0)</f>
        <v>0</v>
      </c>
      <c r="S34" s="13">
        <f t="shared" si="30"/>
        <v>0</v>
      </c>
      <c r="T34" s="13">
        <f t="shared" si="30"/>
        <v>0</v>
      </c>
      <c r="U34" s="13">
        <f t="shared" si="30"/>
        <v>0</v>
      </c>
      <c r="V34" s="13">
        <f t="shared" si="30"/>
        <v>1</v>
      </c>
      <c r="W34" s="13">
        <f t="shared" si="30"/>
        <v>0</v>
      </c>
      <c r="X34" s="13">
        <f t="shared" si="30"/>
        <v>1</v>
      </c>
      <c r="Y34" s="13">
        <f t="shared" si="30"/>
        <v>0</v>
      </c>
      <c r="Z34" s="13">
        <f t="shared" si="30"/>
        <v>1</v>
      </c>
      <c r="AA34" s="13">
        <f t="shared" si="30"/>
        <v>0</v>
      </c>
      <c r="AB34" s="13">
        <f t="shared" si="30"/>
        <v>1</v>
      </c>
      <c r="AC34" s="13">
        <f t="shared" si="30"/>
        <v>0</v>
      </c>
      <c r="AD34" s="13">
        <f t="shared" si="30"/>
        <v>1</v>
      </c>
      <c r="AE34" s="13">
        <f t="shared" si="30"/>
        <v>0</v>
      </c>
      <c r="AF34" s="13">
        <f t="shared" si="30"/>
        <v>1</v>
      </c>
      <c r="AG34" s="13">
        <f t="shared" si="30"/>
        <v>0</v>
      </c>
      <c r="AH34" s="13">
        <f t="shared" si="30"/>
        <v>1</v>
      </c>
      <c r="AI34" s="13">
        <f t="shared" si="30"/>
        <v>0</v>
      </c>
      <c r="AJ34" s="13">
        <f t="shared" si="30"/>
        <v>1</v>
      </c>
      <c r="AK34" s="13">
        <f t="shared" si="30"/>
        <v>0</v>
      </c>
      <c r="AL34" s="13">
        <f t="shared" si="30"/>
        <v>1</v>
      </c>
      <c r="AM34" s="13">
        <f t="shared" si="30"/>
        <v>0</v>
      </c>
      <c r="AN34" s="13">
        <f t="shared" si="30"/>
        <v>1</v>
      </c>
      <c r="AO34" s="13">
        <f t="shared" si="30"/>
        <v>0</v>
      </c>
      <c r="AP34" s="13">
        <f t="shared" si="30"/>
        <v>1</v>
      </c>
      <c r="AQ34" s="13">
        <f t="shared" si="30"/>
        <v>0</v>
      </c>
      <c r="AR34" s="13">
        <f t="shared" si="30"/>
        <v>1</v>
      </c>
      <c r="AS34" s="13">
        <f t="shared" si="30"/>
        <v>0</v>
      </c>
      <c r="AT34" s="13">
        <f t="shared" si="30"/>
        <v>1</v>
      </c>
      <c r="AU34" s="13">
        <f t="shared" si="30"/>
        <v>0</v>
      </c>
      <c r="AV34" s="13">
        <f t="shared" si="30"/>
        <v>1</v>
      </c>
      <c r="AW34" s="13">
        <f t="shared" si="30"/>
        <v>0</v>
      </c>
      <c r="AX34" s="13">
        <f t="shared" ref="AX34:CC34" si="31">IF(AND(AX32&gt;0,MOD(AX32,$L$34)=0),1,0)</f>
        <v>1</v>
      </c>
      <c r="AY34" s="13">
        <f t="shared" si="31"/>
        <v>0</v>
      </c>
      <c r="AZ34" s="13">
        <f t="shared" si="31"/>
        <v>1</v>
      </c>
      <c r="BA34" s="13">
        <f t="shared" si="31"/>
        <v>0</v>
      </c>
      <c r="BB34" s="13">
        <f t="shared" si="31"/>
        <v>1</v>
      </c>
      <c r="BC34" s="13">
        <f t="shared" si="31"/>
        <v>0</v>
      </c>
      <c r="BD34" s="13">
        <f t="shared" si="31"/>
        <v>1</v>
      </c>
      <c r="BE34" s="13">
        <f t="shared" si="31"/>
        <v>0</v>
      </c>
      <c r="BF34" s="13">
        <f t="shared" si="31"/>
        <v>1</v>
      </c>
      <c r="BG34" s="13">
        <f t="shared" si="31"/>
        <v>0</v>
      </c>
      <c r="BH34" s="13">
        <f t="shared" si="31"/>
        <v>1</v>
      </c>
      <c r="BI34" s="13">
        <f t="shared" si="31"/>
        <v>0</v>
      </c>
      <c r="BJ34" s="13">
        <f t="shared" si="31"/>
        <v>1</v>
      </c>
      <c r="BK34" s="13">
        <f t="shared" si="31"/>
        <v>0</v>
      </c>
      <c r="BL34" s="13">
        <f t="shared" si="31"/>
        <v>1</v>
      </c>
      <c r="BM34" s="13">
        <f t="shared" si="31"/>
        <v>0</v>
      </c>
      <c r="BN34" s="13">
        <f t="shared" si="31"/>
        <v>1</v>
      </c>
      <c r="BO34" s="13">
        <f t="shared" si="31"/>
        <v>0</v>
      </c>
      <c r="BP34" s="13">
        <f t="shared" si="31"/>
        <v>1</v>
      </c>
      <c r="BQ34" s="13">
        <f t="shared" si="31"/>
        <v>0</v>
      </c>
      <c r="BR34" s="13">
        <f t="shared" si="31"/>
        <v>1</v>
      </c>
      <c r="BS34" s="13">
        <f t="shared" si="31"/>
        <v>0</v>
      </c>
      <c r="BT34" s="13">
        <f t="shared" si="31"/>
        <v>0</v>
      </c>
      <c r="BU34" s="13">
        <f t="shared" si="31"/>
        <v>0</v>
      </c>
      <c r="BV34" s="13">
        <f t="shared" si="31"/>
        <v>0</v>
      </c>
      <c r="BW34" s="13">
        <f t="shared" si="31"/>
        <v>0</v>
      </c>
      <c r="BX34" s="13">
        <f t="shared" si="31"/>
        <v>0</v>
      </c>
      <c r="BY34" s="13">
        <f t="shared" si="31"/>
        <v>0</v>
      </c>
      <c r="BZ34" s="13">
        <f t="shared" si="31"/>
        <v>0</v>
      </c>
      <c r="CA34" s="13">
        <f t="shared" si="31"/>
        <v>0</v>
      </c>
      <c r="CB34" s="13">
        <f t="shared" si="31"/>
        <v>0</v>
      </c>
      <c r="CC34" s="13">
        <f t="shared" si="31"/>
        <v>0</v>
      </c>
      <c r="CD34" s="13">
        <f t="shared" ref="CD34:DF34" si="32">IF(AND(CD32&gt;0,MOD(CD32,$L$34)=0),1,0)</f>
        <v>0</v>
      </c>
      <c r="CE34" s="13">
        <f t="shared" si="32"/>
        <v>0</v>
      </c>
      <c r="CF34" s="13">
        <f t="shared" si="32"/>
        <v>0</v>
      </c>
      <c r="CG34" s="13">
        <f t="shared" si="32"/>
        <v>0</v>
      </c>
      <c r="CH34" s="13">
        <f t="shared" si="32"/>
        <v>0</v>
      </c>
      <c r="CI34" s="13">
        <f t="shared" si="32"/>
        <v>0</v>
      </c>
      <c r="CJ34" s="13">
        <f t="shared" si="32"/>
        <v>0</v>
      </c>
      <c r="CK34" s="13">
        <f t="shared" si="32"/>
        <v>0</v>
      </c>
      <c r="CL34" s="13">
        <f t="shared" si="32"/>
        <v>0</v>
      </c>
      <c r="CM34" s="13">
        <f t="shared" si="32"/>
        <v>0</v>
      </c>
      <c r="CN34" s="13">
        <f t="shared" si="32"/>
        <v>0</v>
      </c>
      <c r="CO34" s="13">
        <f t="shared" si="32"/>
        <v>0</v>
      </c>
      <c r="CP34" s="13">
        <f t="shared" si="32"/>
        <v>0</v>
      </c>
      <c r="CQ34" s="13">
        <f t="shared" si="32"/>
        <v>0</v>
      </c>
      <c r="CR34" s="13">
        <f t="shared" si="32"/>
        <v>0</v>
      </c>
      <c r="CS34" s="13">
        <f t="shared" si="32"/>
        <v>0</v>
      </c>
      <c r="CT34" s="13">
        <f t="shared" si="32"/>
        <v>0</v>
      </c>
      <c r="CU34" s="13">
        <f t="shared" si="32"/>
        <v>0</v>
      </c>
      <c r="CV34" s="13">
        <f t="shared" si="32"/>
        <v>0</v>
      </c>
      <c r="CW34" s="13">
        <f t="shared" si="32"/>
        <v>0</v>
      </c>
      <c r="CX34" s="13">
        <f t="shared" si="32"/>
        <v>0</v>
      </c>
      <c r="CY34" s="13">
        <f t="shared" si="32"/>
        <v>0</v>
      </c>
      <c r="CZ34" s="13">
        <f t="shared" si="32"/>
        <v>0</v>
      </c>
      <c r="DA34" s="13">
        <f t="shared" si="32"/>
        <v>0</v>
      </c>
      <c r="DB34" s="13">
        <f t="shared" si="32"/>
        <v>0</v>
      </c>
      <c r="DC34" s="13">
        <f t="shared" si="32"/>
        <v>0</v>
      </c>
      <c r="DD34" s="13">
        <f t="shared" si="32"/>
        <v>0</v>
      </c>
      <c r="DE34" s="13">
        <f t="shared" si="32"/>
        <v>0</v>
      </c>
      <c r="DF34" s="13">
        <f t="shared" si="32"/>
        <v>0</v>
      </c>
    </row>
    <row r="35" spans="2:110" ht="12.75" customHeight="1" x14ac:dyDescent="0.25">
      <c r="J35" s="54"/>
      <c r="L35" s="102"/>
    </row>
    <row r="36" spans="2:110" ht="12.75" customHeight="1" x14ac:dyDescent="0.25">
      <c r="B36" s="21" t="s">
        <v>73</v>
      </c>
      <c r="J36" s="54"/>
      <c r="L36" s="102"/>
    </row>
    <row r="37" spans="2:110" ht="12.75" customHeight="1" x14ac:dyDescent="0.25">
      <c r="B37" s="65"/>
      <c r="J37" s="54"/>
      <c r="L37" s="102"/>
    </row>
    <row r="38" spans="2:110" ht="12.75" customHeight="1" x14ac:dyDescent="0.25">
      <c r="B38" s="23" t="s">
        <v>74</v>
      </c>
      <c r="J38" s="54"/>
      <c r="L38" s="102"/>
    </row>
    <row r="39" spans="2:110" ht="12.75" customHeight="1" x14ac:dyDescent="0.25">
      <c r="B39" t="s">
        <v>75</v>
      </c>
      <c r="J39" s="54" t="s">
        <v>13</v>
      </c>
      <c r="L39" s="15">
        <f>InputC!K95</f>
        <v>2024</v>
      </c>
      <c r="P39" s="12">
        <f>SUM(R39:DF39)</f>
        <v>1</v>
      </c>
      <c r="R39" s="13">
        <f t="shared" ref="R39:AW39" si="33">IF(R$5=$L39,1,0)</f>
        <v>0</v>
      </c>
      <c r="S39" s="13">
        <f t="shared" si="33"/>
        <v>0</v>
      </c>
      <c r="T39" s="13">
        <f t="shared" si="33"/>
        <v>0</v>
      </c>
      <c r="U39" s="13">
        <f t="shared" si="33"/>
        <v>1</v>
      </c>
      <c r="V39" s="13">
        <f t="shared" si="33"/>
        <v>0</v>
      </c>
      <c r="W39" s="13">
        <f t="shared" si="33"/>
        <v>0</v>
      </c>
      <c r="X39" s="13">
        <f t="shared" si="33"/>
        <v>0</v>
      </c>
      <c r="Y39" s="13">
        <f t="shared" si="33"/>
        <v>0</v>
      </c>
      <c r="Z39" s="13">
        <f t="shared" si="33"/>
        <v>0</v>
      </c>
      <c r="AA39" s="13">
        <f t="shared" si="33"/>
        <v>0</v>
      </c>
      <c r="AB39" s="13">
        <f t="shared" si="33"/>
        <v>0</v>
      </c>
      <c r="AC39" s="13">
        <f t="shared" si="33"/>
        <v>0</v>
      </c>
      <c r="AD39" s="13">
        <f t="shared" si="33"/>
        <v>0</v>
      </c>
      <c r="AE39" s="13">
        <f t="shared" si="33"/>
        <v>0</v>
      </c>
      <c r="AF39" s="13">
        <f t="shared" si="33"/>
        <v>0</v>
      </c>
      <c r="AG39" s="13">
        <f t="shared" si="33"/>
        <v>0</v>
      </c>
      <c r="AH39" s="13">
        <f t="shared" si="33"/>
        <v>0</v>
      </c>
      <c r="AI39" s="13">
        <f t="shared" si="33"/>
        <v>0</v>
      </c>
      <c r="AJ39" s="13">
        <f t="shared" si="33"/>
        <v>0</v>
      </c>
      <c r="AK39" s="13">
        <f t="shared" si="33"/>
        <v>0</v>
      </c>
      <c r="AL39" s="13">
        <f t="shared" si="33"/>
        <v>0</v>
      </c>
      <c r="AM39" s="13">
        <f t="shared" si="33"/>
        <v>0</v>
      </c>
      <c r="AN39" s="13">
        <f t="shared" si="33"/>
        <v>0</v>
      </c>
      <c r="AO39" s="13">
        <f t="shared" si="33"/>
        <v>0</v>
      </c>
      <c r="AP39" s="13">
        <f t="shared" si="33"/>
        <v>0</v>
      </c>
      <c r="AQ39" s="13">
        <f t="shared" si="33"/>
        <v>0</v>
      </c>
      <c r="AR39" s="13">
        <f t="shared" si="33"/>
        <v>0</v>
      </c>
      <c r="AS39" s="13">
        <f t="shared" si="33"/>
        <v>0</v>
      </c>
      <c r="AT39" s="13">
        <f t="shared" si="33"/>
        <v>0</v>
      </c>
      <c r="AU39" s="13">
        <f t="shared" si="33"/>
        <v>0</v>
      </c>
      <c r="AV39" s="13">
        <f t="shared" si="33"/>
        <v>0</v>
      </c>
      <c r="AW39" s="13">
        <f t="shared" si="33"/>
        <v>0</v>
      </c>
      <c r="AX39" s="13">
        <f t="shared" ref="AX39:CC39" si="34">IF(AX$5=$L39,1,0)</f>
        <v>0</v>
      </c>
      <c r="AY39" s="13">
        <f t="shared" si="34"/>
        <v>0</v>
      </c>
      <c r="AZ39" s="13">
        <f t="shared" si="34"/>
        <v>0</v>
      </c>
      <c r="BA39" s="13">
        <f t="shared" si="34"/>
        <v>0</v>
      </c>
      <c r="BB39" s="13">
        <f t="shared" si="34"/>
        <v>0</v>
      </c>
      <c r="BC39" s="13">
        <f t="shared" si="34"/>
        <v>0</v>
      </c>
      <c r="BD39" s="13">
        <f t="shared" si="34"/>
        <v>0</v>
      </c>
      <c r="BE39" s="13">
        <f t="shared" si="34"/>
        <v>0</v>
      </c>
      <c r="BF39" s="13">
        <f t="shared" si="34"/>
        <v>0</v>
      </c>
      <c r="BG39" s="13">
        <f t="shared" si="34"/>
        <v>0</v>
      </c>
      <c r="BH39" s="13">
        <f t="shared" si="34"/>
        <v>0</v>
      </c>
      <c r="BI39" s="13">
        <f t="shared" si="34"/>
        <v>0</v>
      </c>
      <c r="BJ39" s="13">
        <f t="shared" si="34"/>
        <v>0</v>
      </c>
      <c r="BK39" s="13">
        <f t="shared" si="34"/>
        <v>0</v>
      </c>
      <c r="BL39" s="13">
        <f t="shared" si="34"/>
        <v>0</v>
      </c>
      <c r="BM39" s="13">
        <f t="shared" si="34"/>
        <v>0</v>
      </c>
      <c r="BN39" s="13">
        <f t="shared" si="34"/>
        <v>0</v>
      </c>
      <c r="BO39" s="13">
        <f t="shared" si="34"/>
        <v>0</v>
      </c>
      <c r="BP39" s="13">
        <f t="shared" si="34"/>
        <v>0</v>
      </c>
      <c r="BQ39" s="13">
        <f t="shared" si="34"/>
        <v>0</v>
      </c>
      <c r="BR39" s="13">
        <f t="shared" si="34"/>
        <v>0</v>
      </c>
      <c r="BS39" s="13">
        <f t="shared" si="34"/>
        <v>0</v>
      </c>
      <c r="BT39" s="13">
        <f t="shared" si="34"/>
        <v>0</v>
      </c>
      <c r="BU39" s="13">
        <f t="shared" si="34"/>
        <v>0</v>
      </c>
      <c r="BV39" s="13">
        <f t="shared" si="34"/>
        <v>0</v>
      </c>
      <c r="BW39" s="13">
        <f t="shared" si="34"/>
        <v>0</v>
      </c>
      <c r="BX39" s="13">
        <f t="shared" si="34"/>
        <v>0</v>
      </c>
      <c r="BY39" s="13">
        <f t="shared" si="34"/>
        <v>0</v>
      </c>
      <c r="BZ39" s="13">
        <f t="shared" si="34"/>
        <v>0</v>
      </c>
      <c r="CA39" s="13">
        <f t="shared" si="34"/>
        <v>0</v>
      </c>
      <c r="CB39" s="13">
        <f t="shared" si="34"/>
        <v>0</v>
      </c>
      <c r="CC39" s="13">
        <f t="shared" si="34"/>
        <v>0</v>
      </c>
      <c r="CD39" s="13">
        <f t="shared" ref="CD39:DF39" si="35">IF(CD$5=$L39,1,0)</f>
        <v>0</v>
      </c>
      <c r="CE39" s="13">
        <f t="shared" si="35"/>
        <v>0</v>
      </c>
      <c r="CF39" s="13">
        <f t="shared" si="35"/>
        <v>0</v>
      </c>
      <c r="CG39" s="13">
        <f t="shared" si="35"/>
        <v>0</v>
      </c>
      <c r="CH39" s="13">
        <f t="shared" si="35"/>
        <v>0</v>
      </c>
      <c r="CI39" s="13">
        <f t="shared" si="35"/>
        <v>0</v>
      </c>
      <c r="CJ39" s="13">
        <f t="shared" si="35"/>
        <v>0</v>
      </c>
      <c r="CK39" s="13">
        <f t="shared" si="35"/>
        <v>0</v>
      </c>
      <c r="CL39" s="13">
        <f t="shared" si="35"/>
        <v>0</v>
      </c>
      <c r="CM39" s="13">
        <f t="shared" si="35"/>
        <v>0</v>
      </c>
      <c r="CN39" s="13">
        <f t="shared" si="35"/>
        <v>0</v>
      </c>
      <c r="CO39" s="13">
        <f t="shared" si="35"/>
        <v>0</v>
      </c>
      <c r="CP39" s="13">
        <f t="shared" si="35"/>
        <v>0</v>
      </c>
      <c r="CQ39" s="13">
        <f t="shared" si="35"/>
        <v>0</v>
      </c>
      <c r="CR39" s="13">
        <f t="shared" si="35"/>
        <v>0</v>
      </c>
      <c r="CS39" s="13">
        <f t="shared" si="35"/>
        <v>0</v>
      </c>
      <c r="CT39" s="13">
        <f t="shared" si="35"/>
        <v>0</v>
      </c>
      <c r="CU39" s="13">
        <f t="shared" si="35"/>
        <v>0</v>
      </c>
      <c r="CV39" s="13">
        <f t="shared" si="35"/>
        <v>0</v>
      </c>
      <c r="CW39" s="13">
        <f t="shared" si="35"/>
        <v>0</v>
      </c>
      <c r="CX39" s="13">
        <f t="shared" si="35"/>
        <v>0</v>
      </c>
      <c r="CY39" s="13">
        <f t="shared" si="35"/>
        <v>0</v>
      </c>
      <c r="CZ39" s="13">
        <f t="shared" si="35"/>
        <v>0</v>
      </c>
      <c r="DA39" s="13">
        <f t="shared" si="35"/>
        <v>0</v>
      </c>
      <c r="DB39" s="13">
        <f t="shared" si="35"/>
        <v>0</v>
      </c>
      <c r="DC39" s="13">
        <f t="shared" si="35"/>
        <v>0</v>
      </c>
      <c r="DD39" s="13">
        <f t="shared" si="35"/>
        <v>0</v>
      </c>
      <c r="DE39" s="13">
        <f t="shared" si="35"/>
        <v>0</v>
      </c>
      <c r="DF39" s="13">
        <f t="shared" si="35"/>
        <v>0</v>
      </c>
    </row>
    <row r="40" spans="2:110" ht="12.75" customHeight="1" x14ac:dyDescent="0.25">
      <c r="B40" t="s">
        <v>76</v>
      </c>
      <c r="J40" s="54" t="s">
        <v>13</v>
      </c>
      <c r="L40" s="102"/>
      <c r="P40" s="12">
        <f>SUM(R40:DF40)</f>
        <v>25</v>
      </c>
      <c r="R40" s="104">
        <f t="shared" ref="R40:CC40" si="36">Q40+R39-Q41</f>
        <v>0</v>
      </c>
      <c r="S40" s="104">
        <f t="shared" si="36"/>
        <v>0</v>
      </c>
      <c r="T40" s="104">
        <f t="shared" si="36"/>
        <v>0</v>
      </c>
      <c r="U40" s="104">
        <f t="shared" si="36"/>
        <v>1</v>
      </c>
      <c r="V40" s="104">
        <f t="shared" si="36"/>
        <v>1</v>
      </c>
      <c r="W40" s="104">
        <f t="shared" si="36"/>
        <v>1</v>
      </c>
      <c r="X40" s="104">
        <f t="shared" si="36"/>
        <v>1</v>
      </c>
      <c r="Y40" s="104">
        <f t="shared" si="36"/>
        <v>1</v>
      </c>
      <c r="Z40" s="104">
        <f t="shared" si="36"/>
        <v>1</v>
      </c>
      <c r="AA40" s="104">
        <f t="shared" si="36"/>
        <v>1</v>
      </c>
      <c r="AB40" s="104">
        <f t="shared" si="36"/>
        <v>1</v>
      </c>
      <c r="AC40" s="104">
        <f t="shared" si="36"/>
        <v>1</v>
      </c>
      <c r="AD40" s="104">
        <f t="shared" si="36"/>
        <v>1</v>
      </c>
      <c r="AE40" s="104">
        <f t="shared" si="36"/>
        <v>1</v>
      </c>
      <c r="AF40" s="104">
        <f t="shared" si="36"/>
        <v>1</v>
      </c>
      <c r="AG40" s="104">
        <f t="shared" si="36"/>
        <v>1</v>
      </c>
      <c r="AH40" s="104">
        <f t="shared" si="36"/>
        <v>1</v>
      </c>
      <c r="AI40" s="104">
        <f t="shared" si="36"/>
        <v>1</v>
      </c>
      <c r="AJ40" s="104">
        <f t="shared" si="36"/>
        <v>1</v>
      </c>
      <c r="AK40" s="104">
        <f t="shared" si="36"/>
        <v>1</v>
      </c>
      <c r="AL40" s="104">
        <f t="shared" si="36"/>
        <v>1</v>
      </c>
      <c r="AM40" s="104">
        <f t="shared" si="36"/>
        <v>1</v>
      </c>
      <c r="AN40" s="104">
        <f t="shared" si="36"/>
        <v>1</v>
      </c>
      <c r="AO40" s="104">
        <f t="shared" si="36"/>
        <v>1</v>
      </c>
      <c r="AP40" s="104">
        <f t="shared" si="36"/>
        <v>1</v>
      </c>
      <c r="AQ40" s="104">
        <f t="shared" si="36"/>
        <v>1</v>
      </c>
      <c r="AR40" s="104">
        <f t="shared" si="36"/>
        <v>1</v>
      </c>
      <c r="AS40" s="104">
        <f t="shared" si="36"/>
        <v>1</v>
      </c>
      <c r="AT40" s="104">
        <f t="shared" si="36"/>
        <v>0</v>
      </c>
      <c r="AU40" s="104">
        <f t="shared" si="36"/>
        <v>0</v>
      </c>
      <c r="AV40" s="104">
        <f t="shared" si="36"/>
        <v>0</v>
      </c>
      <c r="AW40" s="104">
        <f t="shared" si="36"/>
        <v>0</v>
      </c>
      <c r="AX40" s="104">
        <f t="shared" si="36"/>
        <v>0</v>
      </c>
      <c r="AY40" s="104">
        <f t="shared" si="36"/>
        <v>0</v>
      </c>
      <c r="AZ40" s="104">
        <f t="shared" si="36"/>
        <v>0</v>
      </c>
      <c r="BA40" s="104">
        <f t="shared" si="36"/>
        <v>0</v>
      </c>
      <c r="BB40" s="104">
        <f t="shared" si="36"/>
        <v>0</v>
      </c>
      <c r="BC40" s="104">
        <f t="shared" si="36"/>
        <v>0</v>
      </c>
      <c r="BD40" s="104">
        <f t="shared" si="36"/>
        <v>0</v>
      </c>
      <c r="BE40" s="104">
        <f t="shared" si="36"/>
        <v>0</v>
      </c>
      <c r="BF40" s="104">
        <f t="shared" si="36"/>
        <v>0</v>
      </c>
      <c r="BG40" s="104">
        <f t="shared" si="36"/>
        <v>0</v>
      </c>
      <c r="BH40" s="104">
        <f t="shared" si="36"/>
        <v>0</v>
      </c>
      <c r="BI40" s="104">
        <f t="shared" si="36"/>
        <v>0</v>
      </c>
      <c r="BJ40" s="104">
        <f t="shared" si="36"/>
        <v>0</v>
      </c>
      <c r="BK40" s="104">
        <f t="shared" si="36"/>
        <v>0</v>
      </c>
      <c r="BL40" s="104">
        <f t="shared" si="36"/>
        <v>0</v>
      </c>
      <c r="BM40" s="104">
        <f t="shared" si="36"/>
        <v>0</v>
      </c>
      <c r="BN40" s="104">
        <f t="shared" si="36"/>
        <v>0</v>
      </c>
      <c r="BO40" s="104">
        <f t="shared" si="36"/>
        <v>0</v>
      </c>
      <c r="BP40" s="104">
        <f t="shared" si="36"/>
        <v>0</v>
      </c>
      <c r="BQ40" s="104">
        <f t="shared" si="36"/>
        <v>0</v>
      </c>
      <c r="BR40" s="104">
        <f t="shared" si="36"/>
        <v>0</v>
      </c>
      <c r="BS40" s="104">
        <f t="shared" si="36"/>
        <v>0</v>
      </c>
      <c r="BT40" s="104">
        <f t="shared" si="36"/>
        <v>0</v>
      </c>
      <c r="BU40" s="104">
        <f t="shared" si="36"/>
        <v>0</v>
      </c>
      <c r="BV40" s="104">
        <f t="shared" si="36"/>
        <v>0</v>
      </c>
      <c r="BW40" s="104">
        <f t="shared" si="36"/>
        <v>0</v>
      </c>
      <c r="BX40" s="104">
        <f t="shared" si="36"/>
        <v>0</v>
      </c>
      <c r="BY40" s="104">
        <f t="shared" si="36"/>
        <v>0</v>
      </c>
      <c r="BZ40" s="104">
        <f t="shared" si="36"/>
        <v>0</v>
      </c>
      <c r="CA40" s="104">
        <f t="shared" si="36"/>
        <v>0</v>
      </c>
      <c r="CB40" s="104">
        <f t="shared" si="36"/>
        <v>0</v>
      </c>
      <c r="CC40" s="104">
        <f t="shared" si="36"/>
        <v>0</v>
      </c>
      <c r="CD40" s="104">
        <f t="shared" ref="CD40:DF40" si="37">CC40+CD39-CC41</f>
        <v>0</v>
      </c>
      <c r="CE40" s="104">
        <f t="shared" si="37"/>
        <v>0</v>
      </c>
      <c r="CF40" s="104">
        <f t="shared" si="37"/>
        <v>0</v>
      </c>
      <c r="CG40" s="104">
        <f t="shared" si="37"/>
        <v>0</v>
      </c>
      <c r="CH40" s="104">
        <f t="shared" si="37"/>
        <v>0</v>
      </c>
      <c r="CI40" s="104">
        <f t="shared" si="37"/>
        <v>0</v>
      </c>
      <c r="CJ40" s="104">
        <f t="shared" si="37"/>
        <v>0</v>
      </c>
      <c r="CK40" s="104">
        <f t="shared" si="37"/>
        <v>0</v>
      </c>
      <c r="CL40" s="104">
        <f t="shared" si="37"/>
        <v>0</v>
      </c>
      <c r="CM40" s="104">
        <f t="shared" si="37"/>
        <v>0</v>
      </c>
      <c r="CN40" s="104">
        <f t="shared" si="37"/>
        <v>0</v>
      </c>
      <c r="CO40" s="104">
        <f t="shared" si="37"/>
        <v>0</v>
      </c>
      <c r="CP40" s="104">
        <f t="shared" si="37"/>
        <v>0</v>
      </c>
      <c r="CQ40" s="104">
        <f t="shared" si="37"/>
        <v>0</v>
      </c>
      <c r="CR40" s="104">
        <f t="shared" si="37"/>
        <v>0</v>
      </c>
      <c r="CS40" s="104">
        <f t="shared" si="37"/>
        <v>0</v>
      </c>
      <c r="CT40" s="104">
        <f t="shared" si="37"/>
        <v>0</v>
      </c>
      <c r="CU40" s="104">
        <f t="shared" si="37"/>
        <v>0</v>
      </c>
      <c r="CV40" s="104">
        <f t="shared" si="37"/>
        <v>0</v>
      </c>
      <c r="CW40" s="104">
        <f t="shared" si="37"/>
        <v>0</v>
      </c>
      <c r="CX40" s="104">
        <f t="shared" si="37"/>
        <v>0</v>
      </c>
      <c r="CY40" s="104">
        <f t="shared" si="37"/>
        <v>0</v>
      </c>
      <c r="CZ40" s="104">
        <f t="shared" si="37"/>
        <v>0</v>
      </c>
      <c r="DA40" s="104">
        <f t="shared" si="37"/>
        <v>0</v>
      </c>
      <c r="DB40" s="104">
        <f t="shared" si="37"/>
        <v>0</v>
      </c>
      <c r="DC40" s="104">
        <f t="shared" si="37"/>
        <v>0</v>
      </c>
      <c r="DD40" s="104">
        <f t="shared" si="37"/>
        <v>0</v>
      </c>
      <c r="DE40" s="104">
        <f t="shared" si="37"/>
        <v>0</v>
      </c>
      <c r="DF40" s="104">
        <f t="shared" si="37"/>
        <v>0</v>
      </c>
    </row>
    <row r="41" spans="2:110" ht="12.75" customHeight="1" x14ac:dyDescent="0.25">
      <c r="B41" t="s">
        <v>77</v>
      </c>
      <c r="J41" s="54" t="s">
        <v>13</v>
      </c>
      <c r="L41" s="15">
        <f>InputC!K97</f>
        <v>2048</v>
      </c>
      <c r="P41" s="12">
        <f>SUM(R41:DF41)</f>
        <v>1</v>
      </c>
      <c r="R41" s="13">
        <f t="shared" ref="R41:AW41" si="38">IF(R$5=$L41,1,0)</f>
        <v>0</v>
      </c>
      <c r="S41" s="13">
        <f t="shared" si="38"/>
        <v>0</v>
      </c>
      <c r="T41" s="13">
        <f t="shared" si="38"/>
        <v>0</v>
      </c>
      <c r="U41" s="13">
        <f t="shared" si="38"/>
        <v>0</v>
      </c>
      <c r="V41" s="13">
        <f t="shared" si="38"/>
        <v>0</v>
      </c>
      <c r="W41" s="13">
        <f t="shared" si="38"/>
        <v>0</v>
      </c>
      <c r="X41" s="13">
        <f t="shared" si="38"/>
        <v>0</v>
      </c>
      <c r="Y41" s="13">
        <f t="shared" si="38"/>
        <v>0</v>
      </c>
      <c r="Z41" s="13">
        <f t="shared" si="38"/>
        <v>0</v>
      </c>
      <c r="AA41" s="13">
        <f t="shared" si="38"/>
        <v>0</v>
      </c>
      <c r="AB41" s="13">
        <f t="shared" si="38"/>
        <v>0</v>
      </c>
      <c r="AC41" s="13">
        <f t="shared" si="38"/>
        <v>0</v>
      </c>
      <c r="AD41" s="13">
        <f t="shared" si="38"/>
        <v>0</v>
      </c>
      <c r="AE41" s="13">
        <f t="shared" si="38"/>
        <v>0</v>
      </c>
      <c r="AF41" s="13">
        <f t="shared" si="38"/>
        <v>0</v>
      </c>
      <c r="AG41" s="13">
        <f t="shared" si="38"/>
        <v>0</v>
      </c>
      <c r="AH41" s="13">
        <f t="shared" si="38"/>
        <v>0</v>
      </c>
      <c r="AI41" s="13">
        <f t="shared" si="38"/>
        <v>0</v>
      </c>
      <c r="AJ41" s="13">
        <f t="shared" si="38"/>
        <v>0</v>
      </c>
      <c r="AK41" s="13">
        <f t="shared" si="38"/>
        <v>0</v>
      </c>
      <c r="AL41" s="13">
        <f t="shared" si="38"/>
        <v>0</v>
      </c>
      <c r="AM41" s="13">
        <f t="shared" si="38"/>
        <v>0</v>
      </c>
      <c r="AN41" s="13">
        <f t="shared" si="38"/>
        <v>0</v>
      </c>
      <c r="AO41" s="13">
        <f t="shared" si="38"/>
        <v>0</v>
      </c>
      <c r="AP41" s="13">
        <f t="shared" si="38"/>
        <v>0</v>
      </c>
      <c r="AQ41" s="13">
        <f t="shared" si="38"/>
        <v>0</v>
      </c>
      <c r="AR41" s="13">
        <f t="shared" si="38"/>
        <v>0</v>
      </c>
      <c r="AS41" s="13">
        <f t="shared" si="38"/>
        <v>1</v>
      </c>
      <c r="AT41" s="13">
        <f t="shared" si="38"/>
        <v>0</v>
      </c>
      <c r="AU41" s="13">
        <f t="shared" si="38"/>
        <v>0</v>
      </c>
      <c r="AV41" s="13">
        <f t="shared" si="38"/>
        <v>0</v>
      </c>
      <c r="AW41" s="13">
        <f t="shared" si="38"/>
        <v>0</v>
      </c>
      <c r="AX41" s="13">
        <f t="shared" ref="AX41:CC41" si="39">IF(AX$5=$L41,1,0)</f>
        <v>0</v>
      </c>
      <c r="AY41" s="13">
        <f t="shared" si="39"/>
        <v>0</v>
      </c>
      <c r="AZ41" s="13">
        <f t="shared" si="39"/>
        <v>0</v>
      </c>
      <c r="BA41" s="13">
        <f t="shared" si="39"/>
        <v>0</v>
      </c>
      <c r="BB41" s="13">
        <f t="shared" si="39"/>
        <v>0</v>
      </c>
      <c r="BC41" s="13">
        <f t="shared" si="39"/>
        <v>0</v>
      </c>
      <c r="BD41" s="13">
        <f t="shared" si="39"/>
        <v>0</v>
      </c>
      <c r="BE41" s="13">
        <f t="shared" si="39"/>
        <v>0</v>
      </c>
      <c r="BF41" s="13">
        <f t="shared" si="39"/>
        <v>0</v>
      </c>
      <c r="BG41" s="13">
        <f t="shared" si="39"/>
        <v>0</v>
      </c>
      <c r="BH41" s="13">
        <f t="shared" si="39"/>
        <v>0</v>
      </c>
      <c r="BI41" s="13">
        <f t="shared" si="39"/>
        <v>0</v>
      </c>
      <c r="BJ41" s="13">
        <f t="shared" si="39"/>
        <v>0</v>
      </c>
      <c r="BK41" s="13">
        <f t="shared" si="39"/>
        <v>0</v>
      </c>
      <c r="BL41" s="13">
        <f t="shared" si="39"/>
        <v>0</v>
      </c>
      <c r="BM41" s="13">
        <f t="shared" si="39"/>
        <v>0</v>
      </c>
      <c r="BN41" s="13">
        <f t="shared" si="39"/>
        <v>0</v>
      </c>
      <c r="BO41" s="13">
        <f t="shared" si="39"/>
        <v>0</v>
      </c>
      <c r="BP41" s="13">
        <f t="shared" si="39"/>
        <v>0</v>
      </c>
      <c r="BQ41" s="13">
        <f t="shared" si="39"/>
        <v>0</v>
      </c>
      <c r="BR41" s="13">
        <f t="shared" si="39"/>
        <v>0</v>
      </c>
      <c r="BS41" s="13">
        <f t="shared" si="39"/>
        <v>0</v>
      </c>
      <c r="BT41" s="13">
        <f t="shared" si="39"/>
        <v>0</v>
      </c>
      <c r="BU41" s="13">
        <f t="shared" si="39"/>
        <v>0</v>
      </c>
      <c r="BV41" s="13">
        <f t="shared" si="39"/>
        <v>0</v>
      </c>
      <c r="BW41" s="13">
        <f t="shared" si="39"/>
        <v>0</v>
      </c>
      <c r="BX41" s="13">
        <f t="shared" si="39"/>
        <v>0</v>
      </c>
      <c r="BY41" s="13">
        <f t="shared" si="39"/>
        <v>0</v>
      </c>
      <c r="BZ41" s="13">
        <f t="shared" si="39"/>
        <v>0</v>
      </c>
      <c r="CA41" s="13">
        <f t="shared" si="39"/>
        <v>0</v>
      </c>
      <c r="CB41" s="13">
        <f t="shared" si="39"/>
        <v>0</v>
      </c>
      <c r="CC41" s="13">
        <f t="shared" si="39"/>
        <v>0</v>
      </c>
      <c r="CD41" s="13">
        <f t="shared" ref="CD41:DF41" si="40">IF(CD$5=$L41,1,0)</f>
        <v>0</v>
      </c>
      <c r="CE41" s="13">
        <f t="shared" si="40"/>
        <v>0</v>
      </c>
      <c r="CF41" s="13">
        <f t="shared" si="40"/>
        <v>0</v>
      </c>
      <c r="CG41" s="13">
        <f t="shared" si="40"/>
        <v>0</v>
      </c>
      <c r="CH41" s="13">
        <f t="shared" si="40"/>
        <v>0</v>
      </c>
      <c r="CI41" s="13">
        <f t="shared" si="40"/>
        <v>0</v>
      </c>
      <c r="CJ41" s="13">
        <f t="shared" si="40"/>
        <v>0</v>
      </c>
      <c r="CK41" s="13">
        <f t="shared" si="40"/>
        <v>0</v>
      </c>
      <c r="CL41" s="13">
        <f t="shared" si="40"/>
        <v>0</v>
      </c>
      <c r="CM41" s="13">
        <f t="shared" si="40"/>
        <v>0</v>
      </c>
      <c r="CN41" s="13">
        <f t="shared" si="40"/>
        <v>0</v>
      </c>
      <c r="CO41" s="13">
        <f t="shared" si="40"/>
        <v>0</v>
      </c>
      <c r="CP41" s="13">
        <f t="shared" si="40"/>
        <v>0</v>
      </c>
      <c r="CQ41" s="13">
        <f t="shared" si="40"/>
        <v>0</v>
      </c>
      <c r="CR41" s="13">
        <f t="shared" si="40"/>
        <v>0</v>
      </c>
      <c r="CS41" s="13">
        <f t="shared" si="40"/>
        <v>0</v>
      </c>
      <c r="CT41" s="13">
        <f t="shared" si="40"/>
        <v>0</v>
      </c>
      <c r="CU41" s="13">
        <f t="shared" si="40"/>
        <v>0</v>
      </c>
      <c r="CV41" s="13">
        <f t="shared" si="40"/>
        <v>0</v>
      </c>
      <c r="CW41" s="13">
        <f t="shared" si="40"/>
        <v>0</v>
      </c>
      <c r="CX41" s="13">
        <f t="shared" si="40"/>
        <v>0</v>
      </c>
      <c r="CY41" s="13">
        <f t="shared" si="40"/>
        <v>0</v>
      </c>
      <c r="CZ41" s="13">
        <f t="shared" si="40"/>
        <v>0</v>
      </c>
      <c r="DA41" s="13">
        <f t="shared" si="40"/>
        <v>0</v>
      </c>
      <c r="DB41" s="13">
        <f t="shared" si="40"/>
        <v>0</v>
      </c>
      <c r="DC41" s="13">
        <f t="shared" si="40"/>
        <v>0</v>
      </c>
      <c r="DD41" s="13">
        <f t="shared" si="40"/>
        <v>0</v>
      </c>
      <c r="DE41" s="13">
        <f t="shared" si="40"/>
        <v>0</v>
      </c>
      <c r="DF41" s="13">
        <f t="shared" si="40"/>
        <v>0</v>
      </c>
    </row>
    <row r="42" spans="2:110" ht="12.75" customHeight="1" x14ac:dyDescent="0.25">
      <c r="J42" s="54"/>
      <c r="L42" s="102"/>
    </row>
    <row r="43" spans="2:110" ht="12.75" customHeight="1" x14ac:dyDescent="0.25">
      <c r="B43" t="s">
        <v>78</v>
      </c>
      <c r="J43" s="54" t="s">
        <v>58</v>
      </c>
      <c r="L43" s="102"/>
      <c r="R43" s="68">
        <f>(Q43+R40)*R40</f>
        <v>0</v>
      </c>
      <c r="S43" s="68">
        <f t="shared" ref="S43:CD43" si="41">(R43+S40)*S40</f>
        <v>0</v>
      </c>
      <c r="T43" s="68">
        <f t="shared" si="41"/>
        <v>0</v>
      </c>
      <c r="U43" s="68">
        <f t="shared" si="41"/>
        <v>1</v>
      </c>
      <c r="V43" s="68">
        <f t="shared" si="41"/>
        <v>2</v>
      </c>
      <c r="W43" s="68">
        <f t="shared" si="41"/>
        <v>3</v>
      </c>
      <c r="X43" s="68">
        <f t="shared" si="41"/>
        <v>4</v>
      </c>
      <c r="Y43" s="68">
        <f t="shared" si="41"/>
        <v>5</v>
      </c>
      <c r="Z43" s="68">
        <f t="shared" si="41"/>
        <v>6</v>
      </c>
      <c r="AA43" s="68">
        <f t="shared" si="41"/>
        <v>7</v>
      </c>
      <c r="AB43" s="68">
        <f t="shared" si="41"/>
        <v>8</v>
      </c>
      <c r="AC43" s="68">
        <f t="shared" si="41"/>
        <v>9</v>
      </c>
      <c r="AD43" s="68">
        <f t="shared" si="41"/>
        <v>10</v>
      </c>
      <c r="AE43" s="68">
        <f t="shared" si="41"/>
        <v>11</v>
      </c>
      <c r="AF43" s="68">
        <f t="shared" si="41"/>
        <v>12</v>
      </c>
      <c r="AG43" s="68">
        <f t="shared" si="41"/>
        <v>13</v>
      </c>
      <c r="AH43" s="68">
        <f t="shared" si="41"/>
        <v>14</v>
      </c>
      <c r="AI43" s="68">
        <f t="shared" si="41"/>
        <v>15</v>
      </c>
      <c r="AJ43" s="68">
        <f t="shared" si="41"/>
        <v>16</v>
      </c>
      <c r="AK43" s="68">
        <f t="shared" si="41"/>
        <v>17</v>
      </c>
      <c r="AL43" s="68">
        <f t="shared" si="41"/>
        <v>18</v>
      </c>
      <c r="AM43" s="68">
        <f t="shared" si="41"/>
        <v>19</v>
      </c>
      <c r="AN43" s="68">
        <f t="shared" si="41"/>
        <v>20</v>
      </c>
      <c r="AO43" s="68">
        <f t="shared" si="41"/>
        <v>21</v>
      </c>
      <c r="AP43" s="68">
        <f t="shared" si="41"/>
        <v>22</v>
      </c>
      <c r="AQ43" s="68">
        <f t="shared" si="41"/>
        <v>23</v>
      </c>
      <c r="AR43" s="68">
        <f t="shared" si="41"/>
        <v>24</v>
      </c>
      <c r="AS43" s="68">
        <f t="shared" si="41"/>
        <v>25</v>
      </c>
      <c r="AT43" s="68">
        <f t="shared" si="41"/>
        <v>0</v>
      </c>
      <c r="AU43" s="68">
        <f t="shared" si="41"/>
        <v>0</v>
      </c>
      <c r="AV43" s="68">
        <f t="shared" si="41"/>
        <v>0</v>
      </c>
      <c r="AW43" s="68">
        <f t="shared" si="41"/>
        <v>0</v>
      </c>
      <c r="AX43" s="68">
        <f t="shared" si="41"/>
        <v>0</v>
      </c>
      <c r="AY43" s="68">
        <f t="shared" si="41"/>
        <v>0</v>
      </c>
      <c r="AZ43" s="68">
        <f t="shared" si="41"/>
        <v>0</v>
      </c>
      <c r="BA43" s="68">
        <f t="shared" si="41"/>
        <v>0</v>
      </c>
      <c r="BB43" s="68">
        <f t="shared" si="41"/>
        <v>0</v>
      </c>
      <c r="BC43" s="68">
        <f t="shared" si="41"/>
        <v>0</v>
      </c>
      <c r="BD43" s="68">
        <f t="shared" si="41"/>
        <v>0</v>
      </c>
      <c r="BE43" s="68">
        <f t="shared" si="41"/>
        <v>0</v>
      </c>
      <c r="BF43" s="68">
        <f t="shared" si="41"/>
        <v>0</v>
      </c>
      <c r="BG43" s="68">
        <f t="shared" si="41"/>
        <v>0</v>
      </c>
      <c r="BH43" s="68">
        <f t="shared" si="41"/>
        <v>0</v>
      </c>
      <c r="BI43" s="68">
        <f t="shared" si="41"/>
        <v>0</v>
      </c>
      <c r="BJ43" s="68">
        <f t="shared" si="41"/>
        <v>0</v>
      </c>
      <c r="BK43" s="68">
        <f t="shared" si="41"/>
        <v>0</v>
      </c>
      <c r="BL43" s="68">
        <f t="shared" si="41"/>
        <v>0</v>
      </c>
      <c r="BM43" s="68">
        <f t="shared" si="41"/>
        <v>0</v>
      </c>
      <c r="BN43" s="68">
        <f t="shared" si="41"/>
        <v>0</v>
      </c>
      <c r="BO43" s="68">
        <f t="shared" si="41"/>
        <v>0</v>
      </c>
      <c r="BP43" s="68">
        <f t="shared" si="41"/>
        <v>0</v>
      </c>
      <c r="BQ43" s="68">
        <f t="shared" si="41"/>
        <v>0</v>
      </c>
      <c r="BR43" s="68">
        <f t="shared" si="41"/>
        <v>0</v>
      </c>
      <c r="BS43" s="68">
        <f t="shared" si="41"/>
        <v>0</v>
      </c>
      <c r="BT43" s="68">
        <f t="shared" si="41"/>
        <v>0</v>
      </c>
      <c r="BU43" s="68">
        <f t="shared" si="41"/>
        <v>0</v>
      </c>
      <c r="BV43" s="68">
        <f t="shared" si="41"/>
        <v>0</v>
      </c>
      <c r="BW43" s="68">
        <f t="shared" si="41"/>
        <v>0</v>
      </c>
      <c r="BX43" s="68">
        <f t="shared" si="41"/>
        <v>0</v>
      </c>
      <c r="BY43" s="68">
        <f t="shared" si="41"/>
        <v>0</v>
      </c>
      <c r="BZ43" s="68">
        <f t="shared" si="41"/>
        <v>0</v>
      </c>
      <c r="CA43" s="68">
        <f t="shared" si="41"/>
        <v>0</v>
      </c>
      <c r="CB43" s="68">
        <f t="shared" si="41"/>
        <v>0</v>
      </c>
      <c r="CC43" s="68">
        <f t="shared" si="41"/>
        <v>0</v>
      </c>
      <c r="CD43" s="68">
        <f t="shared" si="41"/>
        <v>0</v>
      </c>
      <c r="CE43" s="68">
        <f t="shared" ref="CE43:DF43" si="42">(CD43+CE40)*CE40</f>
        <v>0</v>
      </c>
      <c r="CF43" s="68">
        <f t="shared" si="42"/>
        <v>0</v>
      </c>
      <c r="CG43" s="68">
        <f t="shared" si="42"/>
        <v>0</v>
      </c>
      <c r="CH43" s="68">
        <f t="shared" si="42"/>
        <v>0</v>
      </c>
      <c r="CI43" s="68">
        <f t="shared" si="42"/>
        <v>0</v>
      </c>
      <c r="CJ43" s="68">
        <f t="shared" si="42"/>
        <v>0</v>
      </c>
      <c r="CK43" s="68">
        <f t="shared" si="42"/>
        <v>0</v>
      </c>
      <c r="CL43" s="68">
        <f t="shared" si="42"/>
        <v>0</v>
      </c>
      <c r="CM43" s="68">
        <f t="shared" si="42"/>
        <v>0</v>
      </c>
      <c r="CN43" s="68">
        <f t="shared" si="42"/>
        <v>0</v>
      </c>
      <c r="CO43" s="68">
        <f t="shared" si="42"/>
        <v>0</v>
      </c>
      <c r="CP43" s="68">
        <f t="shared" si="42"/>
        <v>0</v>
      </c>
      <c r="CQ43" s="68">
        <f t="shared" si="42"/>
        <v>0</v>
      </c>
      <c r="CR43" s="68">
        <f t="shared" si="42"/>
        <v>0</v>
      </c>
      <c r="CS43" s="68">
        <f t="shared" si="42"/>
        <v>0</v>
      </c>
      <c r="CT43" s="68">
        <f t="shared" si="42"/>
        <v>0</v>
      </c>
      <c r="CU43" s="68">
        <f t="shared" si="42"/>
        <v>0</v>
      </c>
      <c r="CV43" s="68">
        <f t="shared" si="42"/>
        <v>0</v>
      </c>
      <c r="CW43" s="68">
        <f t="shared" si="42"/>
        <v>0</v>
      </c>
      <c r="CX43" s="68">
        <f t="shared" si="42"/>
        <v>0</v>
      </c>
      <c r="CY43" s="68">
        <f t="shared" si="42"/>
        <v>0</v>
      </c>
      <c r="CZ43" s="68">
        <f t="shared" si="42"/>
        <v>0</v>
      </c>
      <c r="DA43" s="68">
        <f t="shared" si="42"/>
        <v>0</v>
      </c>
      <c r="DB43" s="68">
        <f t="shared" si="42"/>
        <v>0</v>
      </c>
      <c r="DC43" s="68">
        <f t="shared" si="42"/>
        <v>0</v>
      </c>
      <c r="DD43" s="68">
        <f t="shared" si="42"/>
        <v>0</v>
      </c>
      <c r="DE43" s="68">
        <f t="shared" si="42"/>
        <v>0</v>
      </c>
      <c r="DF43" s="68">
        <f t="shared" si="42"/>
        <v>0</v>
      </c>
    </row>
    <row r="44" spans="2:110" ht="12.75" customHeight="1" x14ac:dyDescent="0.25">
      <c r="J44" s="54"/>
      <c r="L44" s="102"/>
    </row>
    <row r="45" spans="2:110" ht="12.75" customHeight="1" x14ac:dyDescent="0.25">
      <c r="B45" s="23" t="s">
        <v>79</v>
      </c>
      <c r="J45" s="54"/>
      <c r="L45" s="102"/>
    </row>
    <row r="46" spans="2:110" ht="12.75" customHeight="1" x14ac:dyDescent="0.25">
      <c r="B46" t="s">
        <v>80</v>
      </c>
      <c r="J46" s="54" t="s">
        <v>13</v>
      </c>
      <c r="L46" s="15">
        <f>InputC!K124</f>
        <v>2028</v>
      </c>
      <c r="P46" s="12">
        <f>SUM(R46:DF46)</f>
        <v>1</v>
      </c>
      <c r="R46" s="13">
        <f t="shared" ref="R46:AW46" si="43">IF(R$5=$L46,1,0)</f>
        <v>0</v>
      </c>
      <c r="S46" s="13">
        <f t="shared" si="43"/>
        <v>0</v>
      </c>
      <c r="T46" s="13">
        <f t="shared" si="43"/>
        <v>0</v>
      </c>
      <c r="U46" s="13">
        <f t="shared" si="43"/>
        <v>0</v>
      </c>
      <c r="V46" s="13">
        <f t="shared" si="43"/>
        <v>0</v>
      </c>
      <c r="W46" s="13">
        <f t="shared" si="43"/>
        <v>0</v>
      </c>
      <c r="X46" s="13">
        <f t="shared" si="43"/>
        <v>0</v>
      </c>
      <c r="Y46" s="13">
        <f t="shared" si="43"/>
        <v>1</v>
      </c>
      <c r="Z46" s="13">
        <f t="shared" si="43"/>
        <v>0</v>
      </c>
      <c r="AA46" s="13">
        <f t="shared" si="43"/>
        <v>0</v>
      </c>
      <c r="AB46" s="13">
        <f t="shared" si="43"/>
        <v>0</v>
      </c>
      <c r="AC46" s="13">
        <f t="shared" si="43"/>
        <v>0</v>
      </c>
      <c r="AD46" s="13">
        <f t="shared" si="43"/>
        <v>0</v>
      </c>
      <c r="AE46" s="13">
        <f t="shared" si="43"/>
        <v>0</v>
      </c>
      <c r="AF46" s="13">
        <f t="shared" si="43"/>
        <v>0</v>
      </c>
      <c r="AG46" s="13">
        <f t="shared" si="43"/>
        <v>0</v>
      </c>
      <c r="AH46" s="13">
        <f t="shared" si="43"/>
        <v>0</v>
      </c>
      <c r="AI46" s="13">
        <f t="shared" si="43"/>
        <v>0</v>
      </c>
      <c r="AJ46" s="13">
        <f t="shared" si="43"/>
        <v>0</v>
      </c>
      <c r="AK46" s="13">
        <f t="shared" si="43"/>
        <v>0</v>
      </c>
      <c r="AL46" s="13">
        <f t="shared" si="43"/>
        <v>0</v>
      </c>
      <c r="AM46" s="13">
        <f t="shared" si="43"/>
        <v>0</v>
      </c>
      <c r="AN46" s="13">
        <f t="shared" si="43"/>
        <v>0</v>
      </c>
      <c r="AO46" s="13">
        <f t="shared" si="43"/>
        <v>0</v>
      </c>
      <c r="AP46" s="13">
        <f t="shared" si="43"/>
        <v>0</v>
      </c>
      <c r="AQ46" s="13">
        <f t="shared" si="43"/>
        <v>0</v>
      </c>
      <c r="AR46" s="13">
        <f t="shared" si="43"/>
        <v>0</v>
      </c>
      <c r="AS46" s="13">
        <f t="shared" si="43"/>
        <v>0</v>
      </c>
      <c r="AT46" s="13">
        <f t="shared" si="43"/>
        <v>0</v>
      </c>
      <c r="AU46" s="13">
        <f t="shared" si="43"/>
        <v>0</v>
      </c>
      <c r="AV46" s="13">
        <f t="shared" si="43"/>
        <v>0</v>
      </c>
      <c r="AW46" s="13">
        <f t="shared" si="43"/>
        <v>0</v>
      </c>
      <c r="AX46" s="13">
        <f t="shared" ref="AX46:CC46" si="44">IF(AX$5=$L46,1,0)</f>
        <v>0</v>
      </c>
      <c r="AY46" s="13">
        <f t="shared" si="44"/>
        <v>0</v>
      </c>
      <c r="AZ46" s="13">
        <f t="shared" si="44"/>
        <v>0</v>
      </c>
      <c r="BA46" s="13">
        <f t="shared" si="44"/>
        <v>0</v>
      </c>
      <c r="BB46" s="13">
        <f t="shared" si="44"/>
        <v>0</v>
      </c>
      <c r="BC46" s="13">
        <f t="shared" si="44"/>
        <v>0</v>
      </c>
      <c r="BD46" s="13">
        <f t="shared" si="44"/>
        <v>0</v>
      </c>
      <c r="BE46" s="13">
        <f t="shared" si="44"/>
        <v>0</v>
      </c>
      <c r="BF46" s="13">
        <f t="shared" si="44"/>
        <v>0</v>
      </c>
      <c r="BG46" s="13">
        <f t="shared" si="44"/>
        <v>0</v>
      </c>
      <c r="BH46" s="13">
        <f t="shared" si="44"/>
        <v>0</v>
      </c>
      <c r="BI46" s="13">
        <f t="shared" si="44"/>
        <v>0</v>
      </c>
      <c r="BJ46" s="13">
        <f t="shared" si="44"/>
        <v>0</v>
      </c>
      <c r="BK46" s="13">
        <f t="shared" si="44"/>
        <v>0</v>
      </c>
      <c r="BL46" s="13">
        <f t="shared" si="44"/>
        <v>0</v>
      </c>
      <c r="BM46" s="13">
        <f t="shared" si="44"/>
        <v>0</v>
      </c>
      <c r="BN46" s="13">
        <f t="shared" si="44"/>
        <v>0</v>
      </c>
      <c r="BO46" s="13">
        <f t="shared" si="44"/>
        <v>0</v>
      </c>
      <c r="BP46" s="13">
        <f t="shared" si="44"/>
        <v>0</v>
      </c>
      <c r="BQ46" s="13">
        <f t="shared" si="44"/>
        <v>0</v>
      </c>
      <c r="BR46" s="13">
        <f t="shared" si="44"/>
        <v>0</v>
      </c>
      <c r="BS46" s="13">
        <f t="shared" si="44"/>
        <v>0</v>
      </c>
      <c r="BT46" s="13">
        <f t="shared" si="44"/>
        <v>0</v>
      </c>
      <c r="BU46" s="13">
        <f t="shared" si="44"/>
        <v>0</v>
      </c>
      <c r="BV46" s="13">
        <f t="shared" si="44"/>
        <v>0</v>
      </c>
      <c r="BW46" s="13">
        <f t="shared" si="44"/>
        <v>0</v>
      </c>
      <c r="BX46" s="13">
        <f t="shared" si="44"/>
        <v>0</v>
      </c>
      <c r="BY46" s="13">
        <f t="shared" si="44"/>
        <v>0</v>
      </c>
      <c r="BZ46" s="13">
        <f t="shared" si="44"/>
        <v>0</v>
      </c>
      <c r="CA46" s="13">
        <f t="shared" si="44"/>
        <v>0</v>
      </c>
      <c r="CB46" s="13">
        <f t="shared" si="44"/>
        <v>0</v>
      </c>
      <c r="CC46" s="13">
        <f t="shared" si="44"/>
        <v>0</v>
      </c>
      <c r="CD46" s="13">
        <f t="shared" ref="CD46:DF46" si="45">IF(CD$5=$L46,1,0)</f>
        <v>0</v>
      </c>
      <c r="CE46" s="13">
        <f t="shared" si="45"/>
        <v>0</v>
      </c>
      <c r="CF46" s="13">
        <f t="shared" si="45"/>
        <v>0</v>
      </c>
      <c r="CG46" s="13">
        <f t="shared" si="45"/>
        <v>0</v>
      </c>
      <c r="CH46" s="13">
        <f t="shared" si="45"/>
        <v>0</v>
      </c>
      <c r="CI46" s="13">
        <f t="shared" si="45"/>
        <v>0</v>
      </c>
      <c r="CJ46" s="13">
        <f t="shared" si="45"/>
        <v>0</v>
      </c>
      <c r="CK46" s="13">
        <f t="shared" si="45"/>
        <v>0</v>
      </c>
      <c r="CL46" s="13">
        <f t="shared" si="45"/>
        <v>0</v>
      </c>
      <c r="CM46" s="13">
        <f t="shared" si="45"/>
        <v>0</v>
      </c>
      <c r="CN46" s="13">
        <f t="shared" si="45"/>
        <v>0</v>
      </c>
      <c r="CO46" s="13">
        <f t="shared" si="45"/>
        <v>0</v>
      </c>
      <c r="CP46" s="13">
        <f t="shared" si="45"/>
        <v>0</v>
      </c>
      <c r="CQ46" s="13">
        <f t="shared" si="45"/>
        <v>0</v>
      </c>
      <c r="CR46" s="13">
        <f t="shared" si="45"/>
        <v>0</v>
      </c>
      <c r="CS46" s="13">
        <f t="shared" si="45"/>
        <v>0</v>
      </c>
      <c r="CT46" s="13">
        <f t="shared" si="45"/>
        <v>0</v>
      </c>
      <c r="CU46" s="13">
        <f t="shared" si="45"/>
        <v>0</v>
      </c>
      <c r="CV46" s="13">
        <f t="shared" si="45"/>
        <v>0</v>
      </c>
      <c r="CW46" s="13">
        <f t="shared" si="45"/>
        <v>0</v>
      </c>
      <c r="CX46" s="13">
        <f t="shared" si="45"/>
        <v>0</v>
      </c>
      <c r="CY46" s="13">
        <f t="shared" si="45"/>
        <v>0</v>
      </c>
      <c r="CZ46" s="13">
        <f t="shared" si="45"/>
        <v>0</v>
      </c>
      <c r="DA46" s="13">
        <f t="shared" si="45"/>
        <v>0</v>
      </c>
      <c r="DB46" s="13">
        <f t="shared" si="45"/>
        <v>0</v>
      </c>
      <c r="DC46" s="13">
        <f t="shared" si="45"/>
        <v>0</v>
      </c>
      <c r="DD46" s="13">
        <f t="shared" si="45"/>
        <v>0</v>
      </c>
      <c r="DE46" s="13">
        <f t="shared" si="45"/>
        <v>0</v>
      </c>
      <c r="DF46" s="13">
        <f t="shared" si="45"/>
        <v>0</v>
      </c>
    </row>
    <row r="47" spans="2:110" ht="12.75" customHeight="1" x14ac:dyDescent="0.25">
      <c r="B47" t="s">
        <v>81</v>
      </c>
      <c r="J47" s="54" t="s">
        <v>13</v>
      </c>
      <c r="L47" s="102"/>
      <c r="P47" s="12">
        <f>SUM(R47:DF47)</f>
        <v>21</v>
      </c>
      <c r="R47" s="104">
        <f t="shared" ref="R47:CC47" si="46">Q47+R46-Q48</f>
        <v>0</v>
      </c>
      <c r="S47" s="104">
        <f t="shared" si="46"/>
        <v>0</v>
      </c>
      <c r="T47" s="104">
        <f t="shared" si="46"/>
        <v>0</v>
      </c>
      <c r="U47" s="104">
        <f t="shared" si="46"/>
        <v>0</v>
      </c>
      <c r="V47" s="104">
        <f t="shared" si="46"/>
        <v>0</v>
      </c>
      <c r="W47" s="104">
        <f t="shared" si="46"/>
        <v>0</v>
      </c>
      <c r="X47" s="104">
        <f t="shared" si="46"/>
        <v>0</v>
      </c>
      <c r="Y47" s="104">
        <f t="shared" si="46"/>
        <v>1</v>
      </c>
      <c r="Z47" s="104">
        <f t="shared" si="46"/>
        <v>1</v>
      </c>
      <c r="AA47" s="104">
        <f t="shared" si="46"/>
        <v>1</v>
      </c>
      <c r="AB47" s="104">
        <f t="shared" si="46"/>
        <v>1</v>
      </c>
      <c r="AC47" s="104">
        <f t="shared" si="46"/>
        <v>1</v>
      </c>
      <c r="AD47" s="104">
        <f t="shared" si="46"/>
        <v>1</v>
      </c>
      <c r="AE47" s="104">
        <f t="shared" si="46"/>
        <v>1</v>
      </c>
      <c r="AF47" s="104">
        <f t="shared" si="46"/>
        <v>1</v>
      </c>
      <c r="AG47" s="104">
        <f t="shared" si="46"/>
        <v>1</v>
      </c>
      <c r="AH47" s="104">
        <f t="shared" si="46"/>
        <v>1</v>
      </c>
      <c r="AI47" s="104">
        <f t="shared" si="46"/>
        <v>1</v>
      </c>
      <c r="AJ47" s="104">
        <f t="shared" si="46"/>
        <v>1</v>
      </c>
      <c r="AK47" s="104">
        <f t="shared" si="46"/>
        <v>1</v>
      </c>
      <c r="AL47" s="104">
        <f t="shared" si="46"/>
        <v>1</v>
      </c>
      <c r="AM47" s="104">
        <f t="shared" si="46"/>
        <v>1</v>
      </c>
      <c r="AN47" s="104">
        <f t="shared" si="46"/>
        <v>1</v>
      </c>
      <c r="AO47" s="104">
        <f t="shared" si="46"/>
        <v>1</v>
      </c>
      <c r="AP47" s="104">
        <f t="shared" si="46"/>
        <v>1</v>
      </c>
      <c r="AQ47" s="104">
        <f t="shared" si="46"/>
        <v>1</v>
      </c>
      <c r="AR47" s="104">
        <f t="shared" si="46"/>
        <v>1</v>
      </c>
      <c r="AS47" s="104">
        <f t="shared" si="46"/>
        <v>1</v>
      </c>
      <c r="AT47" s="104">
        <f t="shared" si="46"/>
        <v>0</v>
      </c>
      <c r="AU47" s="104">
        <f t="shared" si="46"/>
        <v>0</v>
      </c>
      <c r="AV47" s="104">
        <f t="shared" si="46"/>
        <v>0</v>
      </c>
      <c r="AW47" s="104">
        <f t="shared" si="46"/>
        <v>0</v>
      </c>
      <c r="AX47" s="104">
        <f t="shared" si="46"/>
        <v>0</v>
      </c>
      <c r="AY47" s="104">
        <f t="shared" si="46"/>
        <v>0</v>
      </c>
      <c r="AZ47" s="104">
        <f t="shared" si="46"/>
        <v>0</v>
      </c>
      <c r="BA47" s="104">
        <f t="shared" si="46"/>
        <v>0</v>
      </c>
      <c r="BB47" s="104">
        <f t="shared" si="46"/>
        <v>0</v>
      </c>
      <c r="BC47" s="104">
        <f t="shared" si="46"/>
        <v>0</v>
      </c>
      <c r="BD47" s="104">
        <f t="shared" si="46"/>
        <v>0</v>
      </c>
      <c r="BE47" s="104">
        <f t="shared" si="46"/>
        <v>0</v>
      </c>
      <c r="BF47" s="104">
        <f t="shared" si="46"/>
        <v>0</v>
      </c>
      <c r="BG47" s="104">
        <f t="shared" si="46"/>
        <v>0</v>
      </c>
      <c r="BH47" s="104">
        <f t="shared" si="46"/>
        <v>0</v>
      </c>
      <c r="BI47" s="104">
        <f t="shared" si="46"/>
        <v>0</v>
      </c>
      <c r="BJ47" s="104">
        <f t="shared" si="46"/>
        <v>0</v>
      </c>
      <c r="BK47" s="104">
        <f t="shared" si="46"/>
        <v>0</v>
      </c>
      <c r="BL47" s="104">
        <f t="shared" si="46"/>
        <v>0</v>
      </c>
      <c r="BM47" s="104">
        <f t="shared" si="46"/>
        <v>0</v>
      </c>
      <c r="BN47" s="104">
        <f t="shared" si="46"/>
        <v>0</v>
      </c>
      <c r="BO47" s="104">
        <f t="shared" si="46"/>
        <v>0</v>
      </c>
      <c r="BP47" s="104">
        <f t="shared" si="46"/>
        <v>0</v>
      </c>
      <c r="BQ47" s="104">
        <f t="shared" si="46"/>
        <v>0</v>
      </c>
      <c r="BR47" s="104">
        <f t="shared" si="46"/>
        <v>0</v>
      </c>
      <c r="BS47" s="104">
        <f t="shared" si="46"/>
        <v>0</v>
      </c>
      <c r="BT47" s="104">
        <f t="shared" si="46"/>
        <v>0</v>
      </c>
      <c r="BU47" s="104">
        <f t="shared" si="46"/>
        <v>0</v>
      </c>
      <c r="BV47" s="104">
        <f t="shared" si="46"/>
        <v>0</v>
      </c>
      <c r="BW47" s="104">
        <f t="shared" si="46"/>
        <v>0</v>
      </c>
      <c r="BX47" s="104">
        <f t="shared" si="46"/>
        <v>0</v>
      </c>
      <c r="BY47" s="104">
        <f t="shared" si="46"/>
        <v>0</v>
      </c>
      <c r="BZ47" s="104">
        <f t="shared" si="46"/>
        <v>0</v>
      </c>
      <c r="CA47" s="104">
        <f t="shared" si="46"/>
        <v>0</v>
      </c>
      <c r="CB47" s="104">
        <f t="shared" si="46"/>
        <v>0</v>
      </c>
      <c r="CC47" s="104">
        <f t="shared" si="46"/>
        <v>0</v>
      </c>
      <c r="CD47" s="104">
        <f t="shared" ref="CD47:DF47" si="47">CC47+CD46-CC48</f>
        <v>0</v>
      </c>
      <c r="CE47" s="104">
        <f t="shared" si="47"/>
        <v>0</v>
      </c>
      <c r="CF47" s="104">
        <f t="shared" si="47"/>
        <v>0</v>
      </c>
      <c r="CG47" s="104">
        <f t="shared" si="47"/>
        <v>0</v>
      </c>
      <c r="CH47" s="104">
        <f t="shared" si="47"/>
        <v>0</v>
      </c>
      <c r="CI47" s="104">
        <f t="shared" si="47"/>
        <v>0</v>
      </c>
      <c r="CJ47" s="104">
        <f t="shared" si="47"/>
        <v>0</v>
      </c>
      <c r="CK47" s="104">
        <f t="shared" si="47"/>
        <v>0</v>
      </c>
      <c r="CL47" s="104">
        <f t="shared" si="47"/>
        <v>0</v>
      </c>
      <c r="CM47" s="104">
        <f t="shared" si="47"/>
        <v>0</v>
      </c>
      <c r="CN47" s="104">
        <f t="shared" si="47"/>
        <v>0</v>
      </c>
      <c r="CO47" s="104">
        <f t="shared" si="47"/>
        <v>0</v>
      </c>
      <c r="CP47" s="104">
        <f t="shared" si="47"/>
        <v>0</v>
      </c>
      <c r="CQ47" s="104">
        <f t="shared" si="47"/>
        <v>0</v>
      </c>
      <c r="CR47" s="104">
        <f t="shared" si="47"/>
        <v>0</v>
      </c>
      <c r="CS47" s="104">
        <f t="shared" si="47"/>
        <v>0</v>
      </c>
      <c r="CT47" s="104">
        <f t="shared" si="47"/>
        <v>0</v>
      </c>
      <c r="CU47" s="104">
        <f t="shared" si="47"/>
        <v>0</v>
      </c>
      <c r="CV47" s="104">
        <f t="shared" si="47"/>
        <v>0</v>
      </c>
      <c r="CW47" s="104">
        <f t="shared" si="47"/>
        <v>0</v>
      </c>
      <c r="CX47" s="104">
        <f t="shared" si="47"/>
        <v>0</v>
      </c>
      <c r="CY47" s="104">
        <f t="shared" si="47"/>
        <v>0</v>
      </c>
      <c r="CZ47" s="104">
        <f t="shared" si="47"/>
        <v>0</v>
      </c>
      <c r="DA47" s="104">
        <f t="shared" si="47"/>
        <v>0</v>
      </c>
      <c r="DB47" s="104">
        <f t="shared" si="47"/>
        <v>0</v>
      </c>
      <c r="DC47" s="104">
        <f t="shared" si="47"/>
        <v>0</v>
      </c>
      <c r="DD47" s="104">
        <f t="shared" si="47"/>
        <v>0</v>
      </c>
      <c r="DE47" s="104">
        <f t="shared" si="47"/>
        <v>0</v>
      </c>
      <c r="DF47" s="104">
        <f t="shared" si="47"/>
        <v>0</v>
      </c>
    </row>
    <row r="48" spans="2:110" ht="12.75" customHeight="1" x14ac:dyDescent="0.25">
      <c r="B48" t="s">
        <v>82</v>
      </c>
      <c r="J48" s="54" t="s">
        <v>13</v>
      </c>
      <c r="L48" s="15">
        <f>InputC!K97</f>
        <v>2048</v>
      </c>
      <c r="P48" s="12">
        <f>SUM(R48:DF48)</f>
        <v>1</v>
      </c>
      <c r="R48" s="13">
        <f t="shared" ref="R48:AW48" si="48">IF(R$5=$L48,1,0)</f>
        <v>0</v>
      </c>
      <c r="S48" s="13">
        <f t="shared" si="48"/>
        <v>0</v>
      </c>
      <c r="T48" s="13">
        <f t="shared" si="48"/>
        <v>0</v>
      </c>
      <c r="U48" s="13">
        <f t="shared" si="48"/>
        <v>0</v>
      </c>
      <c r="V48" s="13">
        <f t="shared" si="48"/>
        <v>0</v>
      </c>
      <c r="W48" s="13">
        <f t="shared" si="48"/>
        <v>0</v>
      </c>
      <c r="X48" s="13">
        <f t="shared" si="48"/>
        <v>0</v>
      </c>
      <c r="Y48" s="13">
        <f t="shared" si="48"/>
        <v>0</v>
      </c>
      <c r="Z48" s="13">
        <f t="shared" si="48"/>
        <v>0</v>
      </c>
      <c r="AA48" s="13">
        <f t="shared" si="48"/>
        <v>0</v>
      </c>
      <c r="AB48" s="13">
        <f t="shared" si="48"/>
        <v>0</v>
      </c>
      <c r="AC48" s="13">
        <f t="shared" si="48"/>
        <v>0</v>
      </c>
      <c r="AD48" s="13">
        <f t="shared" si="48"/>
        <v>0</v>
      </c>
      <c r="AE48" s="13">
        <f t="shared" si="48"/>
        <v>0</v>
      </c>
      <c r="AF48" s="13">
        <f t="shared" si="48"/>
        <v>0</v>
      </c>
      <c r="AG48" s="13">
        <f t="shared" si="48"/>
        <v>0</v>
      </c>
      <c r="AH48" s="13">
        <f t="shared" si="48"/>
        <v>0</v>
      </c>
      <c r="AI48" s="13">
        <f t="shared" si="48"/>
        <v>0</v>
      </c>
      <c r="AJ48" s="13">
        <f t="shared" si="48"/>
        <v>0</v>
      </c>
      <c r="AK48" s="13">
        <f t="shared" si="48"/>
        <v>0</v>
      </c>
      <c r="AL48" s="13">
        <f t="shared" si="48"/>
        <v>0</v>
      </c>
      <c r="AM48" s="13">
        <f t="shared" si="48"/>
        <v>0</v>
      </c>
      <c r="AN48" s="13">
        <f t="shared" si="48"/>
        <v>0</v>
      </c>
      <c r="AO48" s="13">
        <f t="shared" si="48"/>
        <v>0</v>
      </c>
      <c r="AP48" s="13">
        <f t="shared" si="48"/>
        <v>0</v>
      </c>
      <c r="AQ48" s="13">
        <f t="shared" si="48"/>
        <v>0</v>
      </c>
      <c r="AR48" s="13">
        <f t="shared" si="48"/>
        <v>0</v>
      </c>
      <c r="AS48" s="13">
        <f t="shared" si="48"/>
        <v>1</v>
      </c>
      <c r="AT48" s="13">
        <f t="shared" si="48"/>
        <v>0</v>
      </c>
      <c r="AU48" s="13">
        <f t="shared" si="48"/>
        <v>0</v>
      </c>
      <c r="AV48" s="13">
        <f t="shared" si="48"/>
        <v>0</v>
      </c>
      <c r="AW48" s="13">
        <f t="shared" si="48"/>
        <v>0</v>
      </c>
      <c r="AX48" s="13">
        <f t="shared" ref="AX48:CC48" si="49">IF(AX$5=$L48,1,0)</f>
        <v>0</v>
      </c>
      <c r="AY48" s="13">
        <f t="shared" si="49"/>
        <v>0</v>
      </c>
      <c r="AZ48" s="13">
        <f t="shared" si="49"/>
        <v>0</v>
      </c>
      <c r="BA48" s="13">
        <f t="shared" si="49"/>
        <v>0</v>
      </c>
      <c r="BB48" s="13">
        <f t="shared" si="49"/>
        <v>0</v>
      </c>
      <c r="BC48" s="13">
        <f t="shared" si="49"/>
        <v>0</v>
      </c>
      <c r="BD48" s="13">
        <f t="shared" si="49"/>
        <v>0</v>
      </c>
      <c r="BE48" s="13">
        <f t="shared" si="49"/>
        <v>0</v>
      </c>
      <c r="BF48" s="13">
        <f t="shared" si="49"/>
        <v>0</v>
      </c>
      <c r="BG48" s="13">
        <f t="shared" si="49"/>
        <v>0</v>
      </c>
      <c r="BH48" s="13">
        <f t="shared" si="49"/>
        <v>0</v>
      </c>
      <c r="BI48" s="13">
        <f t="shared" si="49"/>
        <v>0</v>
      </c>
      <c r="BJ48" s="13">
        <f t="shared" si="49"/>
        <v>0</v>
      </c>
      <c r="BK48" s="13">
        <f t="shared" si="49"/>
        <v>0</v>
      </c>
      <c r="BL48" s="13">
        <f t="shared" si="49"/>
        <v>0</v>
      </c>
      <c r="BM48" s="13">
        <f t="shared" si="49"/>
        <v>0</v>
      </c>
      <c r="BN48" s="13">
        <f t="shared" si="49"/>
        <v>0</v>
      </c>
      <c r="BO48" s="13">
        <f t="shared" si="49"/>
        <v>0</v>
      </c>
      <c r="BP48" s="13">
        <f t="shared" si="49"/>
        <v>0</v>
      </c>
      <c r="BQ48" s="13">
        <f t="shared" si="49"/>
        <v>0</v>
      </c>
      <c r="BR48" s="13">
        <f t="shared" si="49"/>
        <v>0</v>
      </c>
      <c r="BS48" s="13">
        <f t="shared" si="49"/>
        <v>0</v>
      </c>
      <c r="BT48" s="13">
        <f t="shared" si="49"/>
        <v>0</v>
      </c>
      <c r="BU48" s="13">
        <f t="shared" si="49"/>
        <v>0</v>
      </c>
      <c r="BV48" s="13">
        <f t="shared" si="49"/>
        <v>0</v>
      </c>
      <c r="BW48" s="13">
        <f t="shared" si="49"/>
        <v>0</v>
      </c>
      <c r="BX48" s="13">
        <f t="shared" si="49"/>
        <v>0</v>
      </c>
      <c r="BY48" s="13">
        <f t="shared" si="49"/>
        <v>0</v>
      </c>
      <c r="BZ48" s="13">
        <f t="shared" si="49"/>
        <v>0</v>
      </c>
      <c r="CA48" s="13">
        <f t="shared" si="49"/>
        <v>0</v>
      </c>
      <c r="CB48" s="13">
        <f t="shared" si="49"/>
        <v>0</v>
      </c>
      <c r="CC48" s="13">
        <f t="shared" si="49"/>
        <v>0</v>
      </c>
      <c r="CD48" s="13">
        <f t="shared" ref="CD48:DF48" si="50">IF(CD$5=$L48,1,0)</f>
        <v>0</v>
      </c>
      <c r="CE48" s="13">
        <f t="shared" si="50"/>
        <v>0</v>
      </c>
      <c r="CF48" s="13">
        <f t="shared" si="50"/>
        <v>0</v>
      </c>
      <c r="CG48" s="13">
        <f t="shared" si="50"/>
        <v>0</v>
      </c>
      <c r="CH48" s="13">
        <f t="shared" si="50"/>
        <v>0</v>
      </c>
      <c r="CI48" s="13">
        <f t="shared" si="50"/>
        <v>0</v>
      </c>
      <c r="CJ48" s="13">
        <f t="shared" si="50"/>
        <v>0</v>
      </c>
      <c r="CK48" s="13">
        <f t="shared" si="50"/>
        <v>0</v>
      </c>
      <c r="CL48" s="13">
        <f t="shared" si="50"/>
        <v>0</v>
      </c>
      <c r="CM48" s="13">
        <f t="shared" si="50"/>
        <v>0</v>
      </c>
      <c r="CN48" s="13">
        <f t="shared" si="50"/>
        <v>0</v>
      </c>
      <c r="CO48" s="13">
        <f t="shared" si="50"/>
        <v>0</v>
      </c>
      <c r="CP48" s="13">
        <f t="shared" si="50"/>
        <v>0</v>
      </c>
      <c r="CQ48" s="13">
        <f t="shared" si="50"/>
        <v>0</v>
      </c>
      <c r="CR48" s="13">
        <f t="shared" si="50"/>
        <v>0</v>
      </c>
      <c r="CS48" s="13">
        <f t="shared" si="50"/>
        <v>0</v>
      </c>
      <c r="CT48" s="13">
        <f t="shared" si="50"/>
        <v>0</v>
      </c>
      <c r="CU48" s="13">
        <f t="shared" si="50"/>
        <v>0</v>
      </c>
      <c r="CV48" s="13">
        <f t="shared" si="50"/>
        <v>0</v>
      </c>
      <c r="CW48" s="13">
        <f t="shared" si="50"/>
        <v>0</v>
      </c>
      <c r="CX48" s="13">
        <f t="shared" si="50"/>
        <v>0</v>
      </c>
      <c r="CY48" s="13">
        <f t="shared" si="50"/>
        <v>0</v>
      </c>
      <c r="CZ48" s="13">
        <f t="shared" si="50"/>
        <v>0</v>
      </c>
      <c r="DA48" s="13">
        <f t="shared" si="50"/>
        <v>0</v>
      </c>
      <c r="DB48" s="13">
        <f t="shared" si="50"/>
        <v>0</v>
      </c>
      <c r="DC48" s="13">
        <f t="shared" si="50"/>
        <v>0</v>
      </c>
      <c r="DD48" s="13">
        <f t="shared" si="50"/>
        <v>0</v>
      </c>
      <c r="DE48" s="13">
        <f t="shared" si="50"/>
        <v>0</v>
      </c>
      <c r="DF48" s="13">
        <f t="shared" si="50"/>
        <v>0</v>
      </c>
    </row>
    <row r="49" spans="1:110" ht="12.75" customHeight="1" x14ac:dyDescent="0.25">
      <c r="J49" s="54"/>
      <c r="L49" s="102"/>
    </row>
    <row r="50" spans="1:110" ht="12.75" customHeight="1" x14ac:dyDescent="0.25">
      <c r="B50" s="21" t="s">
        <v>83</v>
      </c>
      <c r="J50" s="54"/>
      <c r="L50" s="102"/>
    </row>
    <row r="51" spans="1:110" ht="12.75" customHeight="1" x14ac:dyDescent="0.25">
      <c r="B51" s="65"/>
      <c r="J51" s="54"/>
      <c r="L51" s="102"/>
    </row>
    <row r="52" spans="1:110" ht="12.75" customHeight="1" x14ac:dyDescent="0.25">
      <c r="B52" t="s">
        <v>12</v>
      </c>
      <c r="J52" s="54" t="s">
        <v>13</v>
      </c>
      <c r="L52" s="15">
        <f>Buyout!J14</f>
        <v>2026</v>
      </c>
      <c r="P52" s="12">
        <f>SUM(R52:DF52)</f>
        <v>1</v>
      </c>
      <c r="R52" s="13">
        <f t="shared" ref="R52:AW52" si="51">IF(R$5=$L52,1,0)</f>
        <v>0</v>
      </c>
      <c r="S52" s="13">
        <f t="shared" si="51"/>
        <v>0</v>
      </c>
      <c r="T52" s="13">
        <f t="shared" si="51"/>
        <v>0</v>
      </c>
      <c r="U52" s="13">
        <f t="shared" si="51"/>
        <v>0</v>
      </c>
      <c r="V52" s="13">
        <f t="shared" si="51"/>
        <v>0</v>
      </c>
      <c r="W52" s="13">
        <f t="shared" si="51"/>
        <v>1</v>
      </c>
      <c r="X52" s="13">
        <f t="shared" si="51"/>
        <v>0</v>
      </c>
      <c r="Y52" s="13">
        <f t="shared" si="51"/>
        <v>0</v>
      </c>
      <c r="Z52" s="13">
        <f t="shared" si="51"/>
        <v>0</v>
      </c>
      <c r="AA52" s="13">
        <f t="shared" si="51"/>
        <v>0</v>
      </c>
      <c r="AB52" s="13">
        <f t="shared" si="51"/>
        <v>0</v>
      </c>
      <c r="AC52" s="13">
        <f t="shared" si="51"/>
        <v>0</v>
      </c>
      <c r="AD52" s="13">
        <f t="shared" si="51"/>
        <v>0</v>
      </c>
      <c r="AE52" s="13">
        <f t="shared" si="51"/>
        <v>0</v>
      </c>
      <c r="AF52" s="13">
        <f t="shared" si="51"/>
        <v>0</v>
      </c>
      <c r="AG52" s="13">
        <f t="shared" si="51"/>
        <v>0</v>
      </c>
      <c r="AH52" s="13">
        <f t="shared" si="51"/>
        <v>0</v>
      </c>
      <c r="AI52" s="13">
        <f t="shared" si="51"/>
        <v>0</v>
      </c>
      <c r="AJ52" s="13">
        <f t="shared" si="51"/>
        <v>0</v>
      </c>
      <c r="AK52" s="13">
        <f t="shared" si="51"/>
        <v>0</v>
      </c>
      <c r="AL52" s="13">
        <f t="shared" si="51"/>
        <v>0</v>
      </c>
      <c r="AM52" s="13">
        <f t="shared" si="51"/>
        <v>0</v>
      </c>
      <c r="AN52" s="13">
        <f t="shared" si="51"/>
        <v>0</v>
      </c>
      <c r="AO52" s="13">
        <f t="shared" si="51"/>
        <v>0</v>
      </c>
      <c r="AP52" s="13">
        <f t="shared" si="51"/>
        <v>0</v>
      </c>
      <c r="AQ52" s="13">
        <f t="shared" si="51"/>
        <v>0</v>
      </c>
      <c r="AR52" s="13">
        <f t="shared" si="51"/>
        <v>0</v>
      </c>
      <c r="AS52" s="13">
        <f t="shared" si="51"/>
        <v>0</v>
      </c>
      <c r="AT52" s="13">
        <f t="shared" si="51"/>
        <v>0</v>
      </c>
      <c r="AU52" s="13">
        <f t="shared" si="51"/>
        <v>0</v>
      </c>
      <c r="AV52" s="13">
        <f t="shared" si="51"/>
        <v>0</v>
      </c>
      <c r="AW52" s="13">
        <f t="shared" si="51"/>
        <v>0</v>
      </c>
      <c r="AX52" s="13">
        <f t="shared" ref="AX52:CC52" si="52">IF(AX$5=$L52,1,0)</f>
        <v>0</v>
      </c>
      <c r="AY52" s="13">
        <f t="shared" si="52"/>
        <v>0</v>
      </c>
      <c r="AZ52" s="13">
        <f t="shared" si="52"/>
        <v>0</v>
      </c>
      <c r="BA52" s="13">
        <f t="shared" si="52"/>
        <v>0</v>
      </c>
      <c r="BB52" s="13">
        <f t="shared" si="52"/>
        <v>0</v>
      </c>
      <c r="BC52" s="13">
        <f t="shared" si="52"/>
        <v>0</v>
      </c>
      <c r="BD52" s="13">
        <f t="shared" si="52"/>
        <v>0</v>
      </c>
      <c r="BE52" s="13">
        <f t="shared" si="52"/>
        <v>0</v>
      </c>
      <c r="BF52" s="13">
        <f t="shared" si="52"/>
        <v>0</v>
      </c>
      <c r="BG52" s="13">
        <f t="shared" si="52"/>
        <v>0</v>
      </c>
      <c r="BH52" s="13">
        <f t="shared" si="52"/>
        <v>0</v>
      </c>
      <c r="BI52" s="13">
        <f t="shared" si="52"/>
        <v>0</v>
      </c>
      <c r="BJ52" s="13">
        <f t="shared" si="52"/>
        <v>0</v>
      </c>
      <c r="BK52" s="13">
        <f t="shared" si="52"/>
        <v>0</v>
      </c>
      <c r="BL52" s="13">
        <f t="shared" si="52"/>
        <v>0</v>
      </c>
      <c r="BM52" s="13">
        <f t="shared" si="52"/>
        <v>0</v>
      </c>
      <c r="BN52" s="13">
        <f t="shared" si="52"/>
        <v>0</v>
      </c>
      <c r="BO52" s="13">
        <f t="shared" si="52"/>
        <v>0</v>
      </c>
      <c r="BP52" s="13">
        <f t="shared" si="52"/>
        <v>0</v>
      </c>
      <c r="BQ52" s="13">
        <f t="shared" si="52"/>
        <v>0</v>
      </c>
      <c r="BR52" s="13">
        <f t="shared" si="52"/>
        <v>0</v>
      </c>
      <c r="BS52" s="13">
        <f t="shared" si="52"/>
        <v>0</v>
      </c>
      <c r="BT52" s="13">
        <f t="shared" si="52"/>
        <v>0</v>
      </c>
      <c r="BU52" s="13">
        <f t="shared" si="52"/>
        <v>0</v>
      </c>
      <c r="BV52" s="13">
        <f t="shared" si="52"/>
        <v>0</v>
      </c>
      <c r="BW52" s="13">
        <f t="shared" si="52"/>
        <v>0</v>
      </c>
      <c r="BX52" s="13">
        <f t="shared" si="52"/>
        <v>0</v>
      </c>
      <c r="BY52" s="13">
        <f t="shared" si="52"/>
        <v>0</v>
      </c>
      <c r="BZ52" s="13">
        <f t="shared" si="52"/>
        <v>0</v>
      </c>
      <c r="CA52" s="13">
        <f t="shared" si="52"/>
        <v>0</v>
      </c>
      <c r="CB52" s="13">
        <f t="shared" si="52"/>
        <v>0</v>
      </c>
      <c r="CC52" s="13">
        <f t="shared" si="52"/>
        <v>0</v>
      </c>
      <c r="CD52" s="13">
        <f t="shared" ref="CD52:DF52" si="53">IF(CD$5=$L52,1,0)</f>
        <v>0</v>
      </c>
      <c r="CE52" s="13">
        <f t="shared" si="53"/>
        <v>0</v>
      </c>
      <c r="CF52" s="13">
        <f t="shared" si="53"/>
        <v>0</v>
      </c>
      <c r="CG52" s="13">
        <f t="shared" si="53"/>
        <v>0</v>
      </c>
      <c r="CH52" s="13">
        <f t="shared" si="53"/>
        <v>0</v>
      </c>
      <c r="CI52" s="13">
        <f t="shared" si="53"/>
        <v>0</v>
      </c>
      <c r="CJ52" s="13">
        <f t="shared" si="53"/>
        <v>0</v>
      </c>
      <c r="CK52" s="13">
        <f t="shared" si="53"/>
        <v>0</v>
      </c>
      <c r="CL52" s="13">
        <f t="shared" si="53"/>
        <v>0</v>
      </c>
      <c r="CM52" s="13">
        <f t="shared" si="53"/>
        <v>0</v>
      </c>
      <c r="CN52" s="13">
        <f t="shared" si="53"/>
        <v>0</v>
      </c>
      <c r="CO52" s="13">
        <f t="shared" si="53"/>
        <v>0</v>
      </c>
      <c r="CP52" s="13">
        <f t="shared" si="53"/>
        <v>0</v>
      </c>
      <c r="CQ52" s="13">
        <f t="shared" si="53"/>
        <v>0</v>
      </c>
      <c r="CR52" s="13">
        <f t="shared" si="53"/>
        <v>0</v>
      </c>
      <c r="CS52" s="13">
        <f t="shared" si="53"/>
        <v>0</v>
      </c>
      <c r="CT52" s="13">
        <f t="shared" si="53"/>
        <v>0</v>
      </c>
      <c r="CU52" s="13">
        <f t="shared" si="53"/>
        <v>0</v>
      </c>
      <c r="CV52" s="13">
        <f t="shared" si="53"/>
        <v>0</v>
      </c>
      <c r="CW52" s="13">
        <f t="shared" si="53"/>
        <v>0</v>
      </c>
      <c r="CX52" s="13">
        <f t="shared" si="53"/>
        <v>0</v>
      </c>
      <c r="CY52" s="13">
        <f t="shared" si="53"/>
        <v>0</v>
      </c>
      <c r="CZ52" s="13">
        <f t="shared" si="53"/>
        <v>0</v>
      </c>
      <c r="DA52" s="13">
        <f t="shared" si="53"/>
        <v>0</v>
      </c>
      <c r="DB52" s="13">
        <f t="shared" si="53"/>
        <v>0</v>
      </c>
      <c r="DC52" s="13">
        <f t="shared" si="53"/>
        <v>0</v>
      </c>
      <c r="DD52" s="13">
        <f t="shared" si="53"/>
        <v>0</v>
      </c>
      <c r="DE52" s="13">
        <f t="shared" si="53"/>
        <v>0</v>
      </c>
      <c r="DF52" s="13">
        <f t="shared" si="53"/>
        <v>0</v>
      </c>
    </row>
    <row r="53" spans="1:110" ht="12.75" customHeight="1" x14ac:dyDescent="0.25">
      <c r="B53" t="s">
        <v>14</v>
      </c>
      <c r="J53" s="54" t="s">
        <v>13</v>
      </c>
      <c r="L53" s="102"/>
      <c r="P53" s="12">
        <f>SUM(R53:DF53)</f>
        <v>11</v>
      </c>
      <c r="R53" s="104">
        <f t="shared" ref="R53:CC53" si="54">Q53+R52-Q54</f>
        <v>0</v>
      </c>
      <c r="S53" s="104">
        <f t="shared" si="54"/>
        <v>0</v>
      </c>
      <c r="T53" s="104">
        <f t="shared" si="54"/>
        <v>0</v>
      </c>
      <c r="U53" s="104">
        <f t="shared" si="54"/>
        <v>0</v>
      </c>
      <c r="V53" s="104">
        <f t="shared" si="54"/>
        <v>0</v>
      </c>
      <c r="W53" s="104">
        <f t="shared" si="54"/>
        <v>1</v>
      </c>
      <c r="X53" s="104">
        <f t="shared" si="54"/>
        <v>1</v>
      </c>
      <c r="Y53" s="104">
        <f t="shared" si="54"/>
        <v>1</v>
      </c>
      <c r="Z53" s="104">
        <f t="shared" si="54"/>
        <v>1</v>
      </c>
      <c r="AA53" s="104">
        <f t="shared" si="54"/>
        <v>1</v>
      </c>
      <c r="AB53" s="104">
        <f t="shared" si="54"/>
        <v>1</v>
      </c>
      <c r="AC53" s="104">
        <f t="shared" si="54"/>
        <v>1</v>
      </c>
      <c r="AD53" s="104">
        <f t="shared" si="54"/>
        <v>1</v>
      </c>
      <c r="AE53" s="104">
        <f t="shared" si="54"/>
        <v>1</v>
      </c>
      <c r="AF53" s="104">
        <f t="shared" si="54"/>
        <v>1</v>
      </c>
      <c r="AG53" s="104">
        <f t="shared" si="54"/>
        <v>1</v>
      </c>
      <c r="AH53" s="104">
        <f t="shared" si="54"/>
        <v>0</v>
      </c>
      <c r="AI53" s="104">
        <f t="shared" si="54"/>
        <v>0</v>
      </c>
      <c r="AJ53" s="104">
        <f t="shared" si="54"/>
        <v>0</v>
      </c>
      <c r="AK53" s="104">
        <f t="shared" si="54"/>
        <v>0</v>
      </c>
      <c r="AL53" s="104">
        <f t="shared" si="54"/>
        <v>0</v>
      </c>
      <c r="AM53" s="104">
        <f t="shared" si="54"/>
        <v>0</v>
      </c>
      <c r="AN53" s="104">
        <f t="shared" si="54"/>
        <v>0</v>
      </c>
      <c r="AO53" s="104">
        <f t="shared" si="54"/>
        <v>0</v>
      </c>
      <c r="AP53" s="104">
        <f t="shared" si="54"/>
        <v>0</v>
      </c>
      <c r="AQ53" s="104">
        <f t="shared" si="54"/>
        <v>0</v>
      </c>
      <c r="AR53" s="104">
        <f t="shared" si="54"/>
        <v>0</v>
      </c>
      <c r="AS53" s="104">
        <f t="shared" si="54"/>
        <v>0</v>
      </c>
      <c r="AT53" s="104">
        <f t="shared" si="54"/>
        <v>0</v>
      </c>
      <c r="AU53" s="104">
        <f t="shared" si="54"/>
        <v>0</v>
      </c>
      <c r="AV53" s="104">
        <f t="shared" si="54"/>
        <v>0</v>
      </c>
      <c r="AW53" s="104">
        <f t="shared" si="54"/>
        <v>0</v>
      </c>
      <c r="AX53" s="104">
        <f t="shared" si="54"/>
        <v>0</v>
      </c>
      <c r="AY53" s="104">
        <f t="shared" si="54"/>
        <v>0</v>
      </c>
      <c r="AZ53" s="104">
        <f t="shared" si="54"/>
        <v>0</v>
      </c>
      <c r="BA53" s="104">
        <f t="shared" si="54"/>
        <v>0</v>
      </c>
      <c r="BB53" s="104">
        <f t="shared" si="54"/>
        <v>0</v>
      </c>
      <c r="BC53" s="104">
        <f t="shared" si="54"/>
        <v>0</v>
      </c>
      <c r="BD53" s="104">
        <f t="shared" si="54"/>
        <v>0</v>
      </c>
      <c r="BE53" s="104">
        <f t="shared" si="54"/>
        <v>0</v>
      </c>
      <c r="BF53" s="104">
        <f t="shared" si="54"/>
        <v>0</v>
      </c>
      <c r="BG53" s="104">
        <f t="shared" si="54"/>
        <v>0</v>
      </c>
      <c r="BH53" s="104">
        <f t="shared" si="54"/>
        <v>0</v>
      </c>
      <c r="BI53" s="104">
        <f t="shared" si="54"/>
        <v>0</v>
      </c>
      <c r="BJ53" s="104">
        <f t="shared" si="54"/>
        <v>0</v>
      </c>
      <c r="BK53" s="104">
        <f t="shared" si="54"/>
        <v>0</v>
      </c>
      <c r="BL53" s="104">
        <f t="shared" si="54"/>
        <v>0</v>
      </c>
      <c r="BM53" s="104">
        <f t="shared" si="54"/>
        <v>0</v>
      </c>
      <c r="BN53" s="104">
        <f t="shared" si="54"/>
        <v>0</v>
      </c>
      <c r="BO53" s="104">
        <f t="shared" si="54"/>
        <v>0</v>
      </c>
      <c r="BP53" s="104">
        <f t="shared" si="54"/>
        <v>0</v>
      </c>
      <c r="BQ53" s="104">
        <f t="shared" si="54"/>
        <v>0</v>
      </c>
      <c r="BR53" s="104">
        <f t="shared" si="54"/>
        <v>0</v>
      </c>
      <c r="BS53" s="104">
        <f t="shared" si="54"/>
        <v>0</v>
      </c>
      <c r="BT53" s="104">
        <f t="shared" si="54"/>
        <v>0</v>
      </c>
      <c r="BU53" s="104">
        <f t="shared" si="54"/>
        <v>0</v>
      </c>
      <c r="BV53" s="104">
        <f t="shared" si="54"/>
        <v>0</v>
      </c>
      <c r="BW53" s="104">
        <f t="shared" si="54"/>
        <v>0</v>
      </c>
      <c r="BX53" s="104">
        <f t="shared" si="54"/>
        <v>0</v>
      </c>
      <c r="BY53" s="104">
        <f t="shared" si="54"/>
        <v>0</v>
      </c>
      <c r="BZ53" s="104">
        <f t="shared" si="54"/>
        <v>0</v>
      </c>
      <c r="CA53" s="104">
        <f t="shared" si="54"/>
        <v>0</v>
      </c>
      <c r="CB53" s="104">
        <f t="shared" si="54"/>
        <v>0</v>
      </c>
      <c r="CC53" s="104">
        <f t="shared" si="54"/>
        <v>0</v>
      </c>
      <c r="CD53" s="104">
        <f t="shared" ref="CD53:DF53" si="55">CC53+CD52-CC54</f>
        <v>0</v>
      </c>
      <c r="CE53" s="104">
        <f t="shared" si="55"/>
        <v>0</v>
      </c>
      <c r="CF53" s="104">
        <f t="shared" si="55"/>
        <v>0</v>
      </c>
      <c r="CG53" s="104">
        <f t="shared" si="55"/>
        <v>0</v>
      </c>
      <c r="CH53" s="104">
        <f t="shared" si="55"/>
        <v>0</v>
      </c>
      <c r="CI53" s="104">
        <f t="shared" si="55"/>
        <v>0</v>
      </c>
      <c r="CJ53" s="104">
        <f t="shared" si="55"/>
        <v>0</v>
      </c>
      <c r="CK53" s="104">
        <f t="shared" si="55"/>
        <v>0</v>
      </c>
      <c r="CL53" s="104">
        <f t="shared" si="55"/>
        <v>0</v>
      </c>
      <c r="CM53" s="104">
        <f t="shared" si="55"/>
        <v>0</v>
      </c>
      <c r="CN53" s="104">
        <f t="shared" si="55"/>
        <v>0</v>
      </c>
      <c r="CO53" s="104">
        <f t="shared" si="55"/>
        <v>0</v>
      </c>
      <c r="CP53" s="104">
        <f t="shared" si="55"/>
        <v>0</v>
      </c>
      <c r="CQ53" s="104">
        <f t="shared" si="55"/>
        <v>0</v>
      </c>
      <c r="CR53" s="104">
        <f t="shared" si="55"/>
        <v>0</v>
      </c>
      <c r="CS53" s="104">
        <f t="shared" si="55"/>
        <v>0</v>
      </c>
      <c r="CT53" s="104">
        <f t="shared" si="55"/>
        <v>0</v>
      </c>
      <c r="CU53" s="104">
        <f t="shared" si="55"/>
        <v>0</v>
      </c>
      <c r="CV53" s="104">
        <f t="shared" si="55"/>
        <v>0</v>
      </c>
      <c r="CW53" s="104">
        <f t="shared" si="55"/>
        <v>0</v>
      </c>
      <c r="CX53" s="104">
        <f t="shared" si="55"/>
        <v>0</v>
      </c>
      <c r="CY53" s="104">
        <f t="shared" si="55"/>
        <v>0</v>
      </c>
      <c r="CZ53" s="104">
        <f t="shared" si="55"/>
        <v>0</v>
      </c>
      <c r="DA53" s="104">
        <f t="shared" si="55"/>
        <v>0</v>
      </c>
      <c r="DB53" s="104">
        <f t="shared" si="55"/>
        <v>0</v>
      </c>
      <c r="DC53" s="104">
        <f t="shared" si="55"/>
        <v>0</v>
      </c>
      <c r="DD53" s="104">
        <f t="shared" si="55"/>
        <v>0</v>
      </c>
      <c r="DE53" s="104">
        <f t="shared" si="55"/>
        <v>0</v>
      </c>
      <c r="DF53" s="104">
        <f t="shared" si="55"/>
        <v>0</v>
      </c>
    </row>
    <row r="54" spans="1:110" ht="12.75" customHeight="1" x14ac:dyDescent="0.25">
      <c r="B54" t="s">
        <v>15</v>
      </c>
      <c r="J54" s="54" t="s">
        <v>13</v>
      </c>
      <c r="L54" s="15">
        <f>IF(Buyout!J12=InputC!B174,Timing!L30,Buyout!J16)</f>
        <v>2036</v>
      </c>
      <c r="P54" s="12">
        <f>SUM(R54:DF54)</f>
        <v>1</v>
      </c>
      <c r="R54" s="13">
        <f t="shared" ref="R54:AW54" si="56">IF(R$5=$L54,1,0)</f>
        <v>0</v>
      </c>
      <c r="S54" s="13">
        <f t="shared" si="56"/>
        <v>0</v>
      </c>
      <c r="T54" s="13">
        <f t="shared" si="56"/>
        <v>0</v>
      </c>
      <c r="U54" s="13">
        <f t="shared" si="56"/>
        <v>0</v>
      </c>
      <c r="V54" s="13">
        <f t="shared" si="56"/>
        <v>0</v>
      </c>
      <c r="W54" s="13">
        <f t="shared" si="56"/>
        <v>0</v>
      </c>
      <c r="X54" s="13">
        <f t="shared" si="56"/>
        <v>0</v>
      </c>
      <c r="Y54" s="13">
        <f t="shared" si="56"/>
        <v>0</v>
      </c>
      <c r="Z54" s="13">
        <f t="shared" si="56"/>
        <v>0</v>
      </c>
      <c r="AA54" s="13">
        <f t="shared" si="56"/>
        <v>0</v>
      </c>
      <c r="AB54" s="13">
        <f t="shared" si="56"/>
        <v>0</v>
      </c>
      <c r="AC54" s="13">
        <f t="shared" si="56"/>
        <v>0</v>
      </c>
      <c r="AD54" s="13">
        <f t="shared" si="56"/>
        <v>0</v>
      </c>
      <c r="AE54" s="13">
        <f t="shared" si="56"/>
        <v>0</v>
      </c>
      <c r="AF54" s="13">
        <f t="shared" si="56"/>
        <v>0</v>
      </c>
      <c r="AG54" s="13">
        <f t="shared" si="56"/>
        <v>1</v>
      </c>
      <c r="AH54" s="13">
        <f t="shared" si="56"/>
        <v>0</v>
      </c>
      <c r="AI54" s="13">
        <f t="shared" si="56"/>
        <v>0</v>
      </c>
      <c r="AJ54" s="13">
        <f t="shared" si="56"/>
        <v>0</v>
      </c>
      <c r="AK54" s="13">
        <f t="shared" si="56"/>
        <v>0</v>
      </c>
      <c r="AL54" s="13">
        <f t="shared" si="56"/>
        <v>0</v>
      </c>
      <c r="AM54" s="13">
        <f t="shared" si="56"/>
        <v>0</v>
      </c>
      <c r="AN54" s="13">
        <f t="shared" si="56"/>
        <v>0</v>
      </c>
      <c r="AO54" s="13">
        <f t="shared" si="56"/>
        <v>0</v>
      </c>
      <c r="AP54" s="13">
        <f t="shared" si="56"/>
        <v>0</v>
      </c>
      <c r="AQ54" s="13">
        <f t="shared" si="56"/>
        <v>0</v>
      </c>
      <c r="AR54" s="13">
        <f t="shared" si="56"/>
        <v>0</v>
      </c>
      <c r="AS54" s="13">
        <f t="shared" si="56"/>
        <v>0</v>
      </c>
      <c r="AT54" s="13">
        <f t="shared" si="56"/>
        <v>0</v>
      </c>
      <c r="AU54" s="13">
        <f t="shared" si="56"/>
        <v>0</v>
      </c>
      <c r="AV54" s="13">
        <f t="shared" si="56"/>
        <v>0</v>
      </c>
      <c r="AW54" s="13">
        <f t="shared" si="56"/>
        <v>0</v>
      </c>
      <c r="AX54" s="13">
        <f t="shared" ref="AX54:CC54" si="57">IF(AX$5=$L54,1,0)</f>
        <v>0</v>
      </c>
      <c r="AY54" s="13">
        <f t="shared" si="57"/>
        <v>0</v>
      </c>
      <c r="AZ54" s="13">
        <f t="shared" si="57"/>
        <v>0</v>
      </c>
      <c r="BA54" s="13">
        <f t="shared" si="57"/>
        <v>0</v>
      </c>
      <c r="BB54" s="13">
        <f t="shared" si="57"/>
        <v>0</v>
      </c>
      <c r="BC54" s="13">
        <f t="shared" si="57"/>
        <v>0</v>
      </c>
      <c r="BD54" s="13">
        <f t="shared" si="57"/>
        <v>0</v>
      </c>
      <c r="BE54" s="13">
        <f t="shared" si="57"/>
        <v>0</v>
      </c>
      <c r="BF54" s="13">
        <f t="shared" si="57"/>
        <v>0</v>
      </c>
      <c r="BG54" s="13">
        <f t="shared" si="57"/>
        <v>0</v>
      </c>
      <c r="BH54" s="13">
        <f t="shared" si="57"/>
        <v>0</v>
      </c>
      <c r="BI54" s="13">
        <f t="shared" si="57"/>
        <v>0</v>
      </c>
      <c r="BJ54" s="13">
        <f t="shared" si="57"/>
        <v>0</v>
      </c>
      <c r="BK54" s="13">
        <f t="shared" si="57"/>
        <v>0</v>
      </c>
      <c r="BL54" s="13">
        <f t="shared" si="57"/>
        <v>0</v>
      </c>
      <c r="BM54" s="13">
        <f t="shared" si="57"/>
        <v>0</v>
      </c>
      <c r="BN54" s="13">
        <f t="shared" si="57"/>
        <v>0</v>
      </c>
      <c r="BO54" s="13">
        <f t="shared" si="57"/>
        <v>0</v>
      </c>
      <c r="BP54" s="13">
        <f t="shared" si="57"/>
        <v>0</v>
      </c>
      <c r="BQ54" s="13">
        <f t="shared" si="57"/>
        <v>0</v>
      </c>
      <c r="BR54" s="13">
        <f t="shared" si="57"/>
        <v>0</v>
      </c>
      <c r="BS54" s="13">
        <f t="shared" si="57"/>
        <v>0</v>
      </c>
      <c r="BT54" s="13">
        <f t="shared" si="57"/>
        <v>0</v>
      </c>
      <c r="BU54" s="13">
        <f t="shared" si="57"/>
        <v>0</v>
      </c>
      <c r="BV54" s="13">
        <f t="shared" si="57"/>
        <v>0</v>
      </c>
      <c r="BW54" s="13">
        <f t="shared" si="57"/>
        <v>0</v>
      </c>
      <c r="BX54" s="13">
        <f t="shared" si="57"/>
        <v>0</v>
      </c>
      <c r="BY54" s="13">
        <f t="shared" si="57"/>
        <v>0</v>
      </c>
      <c r="BZ54" s="13">
        <f t="shared" si="57"/>
        <v>0</v>
      </c>
      <c r="CA54" s="13">
        <f t="shared" si="57"/>
        <v>0</v>
      </c>
      <c r="CB54" s="13">
        <f t="shared" si="57"/>
        <v>0</v>
      </c>
      <c r="CC54" s="13">
        <f t="shared" si="57"/>
        <v>0</v>
      </c>
      <c r="CD54" s="13">
        <f t="shared" ref="CD54:DF54" si="58">IF(CD$5=$L54,1,0)</f>
        <v>0</v>
      </c>
      <c r="CE54" s="13">
        <f t="shared" si="58"/>
        <v>0</v>
      </c>
      <c r="CF54" s="13">
        <f t="shared" si="58"/>
        <v>0</v>
      </c>
      <c r="CG54" s="13">
        <f t="shared" si="58"/>
        <v>0</v>
      </c>
      <c r="CH54" s="13">
        <f t="shared" si="58"/>
        <v>0</v>
      </c>
      <c r="CI54" s="13">
        <f t="shared" si="58"/>
        <v>0</v>
      </c>
      <c r="CJ54" s="13">
        <f t="shared" si="58"/>
        <v>0</v>
      </c>
      <c r="CK54" s="13">
        <f t="shared" si="58"/>
        <v>0</v>
      </c>
      <c r="CL54" s="13">
        <f t="shared" si="58"/>
        <v>0</v>
      </c>
      <c r="CM54" s="13">
        <f t="shared" si="58"/>
        <v>0</v>
      </c>
      <c r="CN54" s="13">
        <f t="shared" si="58"/>
        <v>0</v>
      </c>
      <c r="CO54" s="13">
        <f t="shared" si="58"/>
        <v>0</v>
      </c>
      <c r="CP54" s="13">
        <f t="shared" si="58"/>
        <v>0</v>
      </c>
      <c r="CQ54" s="13">
        <f t="shared" si="58"/>
        <v>0</v>
      </c>
      <c r="CR54" s="13">
        <f t="shared" si="58"/>
        <v>0</v>
      </c>
      <c r="CS54" s="13">
        <f t="shared" si="58"/>
        <v>0</v>
      </c>
      <c r="CT54" s="13">
        <f t="shared" si="58"/>
        <v>0</v>
      </c>
      <c r="CU54" s="13">
        <f t="shared" si="58"/>
        <v>0</v>
      </c>
      <c r="CV54" s="13">
        <f t="shared" si="58"/>
        <v>0</v>
      </c>
      <c r="CW54" s="13">
        <f t="shared" si="58"/>
        <v>0</v>
      </c>
      <c r="CX54" s="13">
        <f t="shared" si="58"/>
        <v>0</v>
      </c>
      <c r="CY54" s="13">
        <f t="shared" si="58"/>
        <v>0</v>
      </c>
      <c r="CZ54" s="13">
        <f t="shared" si="58"/>
        <v>0</v>
      </c>
      <c r="DA54" s="13">
        <f t="shared" si="58"/>
        <v>0</v>
      </c>
      <c r="DB54" s="13">
        <f t="shared" si="58"/>
        <v>0</v>
      </c>
      <c r="DC54" s="13">
        <f t="shared" si="58"/>
        <v>0</v>
      </c>
      <c r="DD54" s="13">
        <f t="shared" si="58"/>
        <v>0</v>
      </c>
      <c r="DE54" s="13">
        <f t="shared" si="58"/>
        <v>0</v>
      </c>
      <c r="DF54" s="13">
        <f t="shared" si="58"/>
        <v>0</v>
      </c>
    </row>
    <row r="55" spans="1:110" ht="12.75" customHeight="1" x14ac:dyDescent="0.25">
      <c r="J55" s="54"/>
      <c r="L55" s="102"/>
    </row>
    <row r="56" spans="1:110" ht="12.75" customHeight="1" x14ac:dyDescent="0.25">
      <c r="B56" t="s">
        <v>84</v>
      </c>
      <c r="J56" s="54" t="s">
        <v>58</v>
      </c>
      <c r="L56" s="102"/>
      <c r="R56" s="104">
        <f>(R53+Q56)*R53</f>
        <v>0</v>
      </c>
      <c r="S56" s="104">
        <f t="shared" ref="S56:CD56" si="59">(S53+R56)*S53</f>
        <v>0</v>
      </c>
      <c r="T56" s="104">
        <f t="shared" si="59"/>
        <v>0</v>
      </c>
      <c r="U56" s="104">
        <f t="shared" si="59"/>
        <v>0</v>
      </c>
      <c r="V56" s="104">
        <f t="shared" si="59"/>
        <v>0</v>
      </c>
      <c r="W56" s="104">
        <f t="shared" si="59"/>
        <v>1</v>
      </c>
      <c r="X56" s="104">
        <f t="shared" si="59"/>
        <v>2</v>
      </c>
      <c r="Y56" s="104">
        <f t="shared" si="59"/>
        <v>3</v>
      </c>
      <c r="Z56" s="104">
        <f t="shared" si="59"/>
        <v>4</v>
      </c>
      <c r="AA56" s="104">
        <f t="shared" si="59"/>
        <v>5</v>
      </c>
      <c r="AB56" s="104">
        <f t="shared" si="59"/>
        <v>6</v>
      </c>
      <c r="AC56" s="104">
        <f t="shared" si="59"/>
        <v>7</v>
      </c>
      <c r="AD56" s="104">
        <f t="shared" si="59"/>
        <v>8</v>
      </c>
      <c r="AE56" s="104">
        <f t="shared" si="59"/>
        <v>9</v>
      </c>
      <c r="AF56" s="104">
        <f t="shared" si="59"/>
        <v>10</v>
      </c>
      <c r="AG56" s="104">
        <f t="shared" si="59"/>
        <v>11</v>
      </c>
      <c r="AH56" s="104">
        <f t="shared" si="59"/>
        <v>0</v>
      </c>
      <c r="AI56" s="104">
        <f t="shared" si="59"/>
        <v>0</v>
      </c>
      <c r="AJ56" s="104">
        <f t="shared" si="59"/>
        <v>0</v>
      </c>
      <c r="AK56" s="104">
        <f t="shared" si="59"/>
        <v>0</v>
      </c>
      <c r="AL56" s="104">
        <f t="shared" si="59"/>
        <v>0</v>
      </c>
      <c r="AM56" s="104">
        <f t="shared" si="59"/>
        <v>0</v>
      </c>
      <c r="AN56" s="104">
        <f t="shared" si="59"/>
        <v>0</v>
      </c>
      <c r="AO56" s="104">
        <f t="shared" si="59"/>
        <v>0</v>
      </c>
      <c r="AP56" s="104">
        <f t="shared" si="59"/>
        <v>0</v>
      </c>
      <c r="AQ56" s="104">
        <f t="shared" si="59"/>
        <v>0</v>
      </c>
      <c r="AR56" s="104">
        <f t="shared" si="59"/>
        <v>0</v>
      </c>
      <c r="AS56" s="104">
        <f t="shared" si="59"/>
        <v>0</v>
      </c>
      <c r="AT56" s="104">
        <f t="shared" si="59"/>
        <v>0</v>
      </c>
      <c r="AU56" s="104">
        <f t="shared" si="59"/>
        <v>0</v>
      </c>
      <c r="AV56" s="104">
        <f t="shared" si="59"/>
        <v>0</v>
      </c>
      <c r="AW56" s="104">
        <f t="shared" si="59"/>
        <v>0</v>
      </c>
      <c r="AX56" s="104">
        <f t="shared" si="59"/>
        <v>0</v>
      </c>
      <c r="AY56" s="104">
        <f t="shared" si="59"/>
        <v>0</v>
      </c>
      <c r="AZ56" s="104">
        <f t="shared" si="59"/>
        <v>0</v>
      </c>
      <c r="BA56" s="104">
        <f t="shared" si="59"/>
        <v>0</v>
      </c>
      <c r="BB56" s="104">
        <f t="shared" si="59"/>
        <v>0</v>
      </c>
      <c r="BC56" s="104">
        <f t="shared" si="59"/>
        <v>0</v>
      </c>
      <c r="BD56" s="104">
        <f t="shared" si="59"/>
        <v>0</v>
      </c>
      <c r="BE56" s="104">
        <f t="shared" si="59"/>
        <v>0</v>
      </c>
      <c r="BF56" s="104">
        <f t="shared" si="59"/>
        <v>0</v>
      </c>
      <c r="BG56" s="104">
        <f t="shared" si="59"/>
        <v>0</v>
      </c>
      <c r="BH56" s="104">
        <f t="shared" si="59"/>
        <v>0</v>
      </c>
      <c r="BI56" s="104">
        <f t="shared" si="59"/>
        <v>0</v>
      </c>
      <c r="BJ56" s="104">
        <f t="shared" si="59"/>
        <v>0</v>
      </c>
      <c r="BK56" s="104">
        <f t="shared" si="59"/>
        <v>0</v>
      </c>
      <c r="BL56" s="104">
        <f t="shared" si="59"/>
        <v>0</v>
      </c>
      <c r="BM56" s="104">
        <f t="shared" si="59"/>
        <v>0</v>
      </c>
      <c r="BN56" s="104">
        <f t="shared" si="59"/>
        <v>0</v>
      </c>
      <c r="BO56" s="104">
        <f t="shared" si="59"/>
        <v>0</v>
      </c>
      <c r="BP56" s="104">
        <f t="shared" si="59"/>
        <v>0</v>
      </c>
      <c r="BQ56" s="104">
        <f t="shared" si="59"/>
        <v>0</v>
      </c>
      <c r="BR56" s="104">
        <f t="shared" si="59"/>
        <v>0</v>
      </c>
      <c r="BS56" s="104">
        <f t="shared" si="59"/>
        <v>0</v>
      </c>
      <c r="BT56" s="104">
        <f t="shared" si="59"/>
        <v>0</v>
      </c>
      <c r="BU56" s="104">
        <f t="shared" si="59"/>
        <v>0</v>
      </c>
      <c r="BV56" s="104">
        <f t="shared" si="59"/>
        <v>0</v>
      </c>
      <c r="BW56" s="104">
        <f t="shared" si="59"/>
        <v>0</v>
      </c>
      <c r="BX56" s="104">
        <f t="shared" si="59"/>
        <v>0</v>
      </c>
      <c r="BY56" s="104">
        <f t="shared" si="59"/>
        <v>0</v>
      </c>
      <c r="BZ56" s="104">
        <f t="shared" si="59"/>
        <v>0</v>
      </c>
      <c r="CA56" s="104">
        <f t="shared" si="59"/>
        <v>0</v>
      </c>
      <c r="CB56" s="104">
        <f t="shared" si="59"/>
        <v>0</v>
      </c>
      <c r="CC56" s="104">
        <f t="shared" si="59"/>
        <v>0</v>
      </c>
      <c r="CD56" s="104">
        <f t="shared" si="59"/>
        <v>0</v>
      </c>
      <c r="CE56" s="104">
        <f t="shared" ref="CE56:DF56" si="60">(CE53+CD56)*CE53</f>
        <v>0</v>
      </c>
      <c r="CF56" s="104">
        <f t="shared" si="60"/>
        <v>0</v>
      </c>
      <c r="CG56" s="104">
        <f t="shared" si="60"/>
        <v>0</v>
      </c>
      <c r="CH56" s="104">
        <f t="shared" si="60"/>
        <v>0</v>
      </c>
      <c r="CI56" s="104">
        <f t="shared" si="60"/>
        <v>0</v>
      </c>
      <c r="CJ56" s="104">
        <f t="shared" si="60"/>
        <v>0</v>
      </c>
      <c r="CK56" s="104">
        <f t="shared" si="60"/>
        <v>0</v>
      </c>
      <c r="CL56" s="104">
        <f t="shared" si="60"/>
        <v>0</v>
      </c>
      <c r="CM56" s="104">
        <f t="shared" si="60"/>
        <v>0</v>
      </c>
      <c r="CN56" s="104">
        <f t="shared" si="60"/>
        <v>0</v>
      </c>
      <c r="CO56" s="104">
        <f t="shared" si="60"/>
        <v>0</v>
      </c>
      <c r="CP56" s="104">
        <f t="shared" si="60"/>
        <v>0</v>
      </c>
      <c r="CQ56" s="104">
        <f t="shared" si="60"/>
        <v>0</v>
      </c>
      <c r="CR56" s="104">
        <f t="shared" si="60"/>
        <v>0</v>
      </c>
      <c r="CS56" s="104">
        <f t="shared" si="60"/>
        <v>0</v>
      </c>
      <c r="CT56" s="104">
        <f t="shared" si="60"/>
        <v>0</v>
      </c>
      <c r="CU56" s="104">
        <f t="shared" si="60"/>
        <v>0</v>
      </c>
      <c r="CV56" s="104">
        <f t="shared" si="60"/>
        <v>0</v>
      </c>
      <c r="CW56" s="104">
        <f t="shared" si="60"/>
        <v>0</v>
      </c>
      <c r="CX56" s="104">
        <f t="shared" si="60"/>
        <v>0</v>
      </c>
      <c r="CY56" s="104">
        <f t="shared" si="60"/>
        <v>0</v>
      </c>
      <c r="CZ56" s="104">
        <f t="shared" si="60"/>
        <v>0</v>
      </c>
      <c r="DA56" s="104">
        <f t="shared" si="60"/>
        <v>0</v>
      </c>
      <c r="DB56" s="104">
        <f t="shared" si="60"/>
        <v>0</v>
      </c>
      <c r="DC56" s="104">
        <f t="shared" si="60"/>
        <v>0</v>
      </c>
      <c r="DD56" s="104">
        <f t="shared" si="60"/>
        <v>0</v>
      </c>
      <c r="DE56" s="104">
        <f t="shared" si="60"/>
        <v>0</v>
      </c>
      <c r="DF56" s="104">
        <f t="shared" si="60"/>
        <v>0</v>
      </c>
    </row>
    <row r="57" spans="1:110" ht="12.75" customHeight="1" x14ac:dyDescent="0.25">
      <c r="B57" t="s">
        <v>61</v>
      </c>
      <c r="J57" s="54" t="s">
        <v>62</v>
      </c>
      <c r="L57" s="102"/>
      <c r="R57" s="103" t="str">
        <f t="shared" ref="R57:CC57" si="61">IF(R53=1,"Hold","")</f>
        <v/>
      </c>
      <c r="S57" s="103" t="str">
        <f t="shared" si="61"/>
        <v/>
      </c>
      <c r="T57" s="103" t="str">
        <f t="shared" si="61"/>
        <v/>
      </c>
      <c r="U57" s="103" t="str">
        <f t="shared" si="61"/>
        <v/>
      </c>
      <c r="V57" s="103" t="str">
        <f t="shared" si="61"/>
        <v/>
      </c>
      <c r="W57" s="103" t="str">
        <f t="shared" si="61"/>
        <v>Hold</v>
      </c>
      <c r="X57" s="103" t="str">
        <f t="shared" si="61"/>
        <v>Hold</v>
      </c>
      <c r="Y57" s="103" t="str">
        <f t="shared" si="61"/>
        <v>Hold</v>
      </c>
      <c r="Z57" s="103" t="str">
        <f t="shared" si="61"/>
        <v>Hold</v>
      </c>
      <c r="AA57" s="103" t="str">
        <f t="shared" si="61"/>
        <v>Hold</v>
      </c>
      <c r="AB57" s="103" t="str">
        <f t="shared" si="61"/>
        <v>Hold</v>
      </c>
      <c r="AC57" s="103" t="str">
        <f t="shared" si="61"/>
        <v>Hold</v>
      </c>
      <c r="AD57" s="103" t="str">
        <f t="shared" si="61"/>
        <v>Hold</v>
      </c>
      <c r="AE57" s="103" t="str">
        <f t="shared" si="61"/>
        <v>Hold</v>
      </c>
      <c r="AF57" s="103" t="str">
        <f t="shared" si="61"/>
        <v>Hold</v>
      </c>
      <c r="AG57" s="103" t="str">
        <f t="shared" si="61"/>
        <v>Hold</v>
      </c>
      <c r="AH57" s="103" t="str">
        <f t="shared" si="61"/>
        <v/>
      </c>
      <c r="AI57" s="103" t="str">
        <f t="shared" si="61"/>
        <v/>
      </c>
      <c r="AJ57" s="103" t="str">
        <f t="shared" si="61"/>
        <v/>
      </c>
      <c r="AK57" s="103" t="str">
        <f t="shared" si="61"/>
        <v/>
      </c>
      <c r="AL57" s="103" t="str">
        <f t="shared" si="61"/>
        <v/>
      </c>
      <c r="AM57" s="103" t="str">
        <f t="shared" si="61"/>
        <v/>
      </c>
      <c r="AN57" s="103" t="str">
        <f t="shared" si="61"/>
        <v/>
      </c>
      <c r="AO57" s="103" t="str">
        <f t="shared" si="61"/>
        <v/>
      </c>
      <c r="AP57" s="103" t="str">
        <f t="shared" si="61"/>
        <v/>
      </c>
      <c r="AQ57" s="103" t="str">
        <f t="shared" si="61"/>
        <v/>
      </c>
      <c r="AR57" s="103" t="str">
        <f t="shared" si="61"/>
        <v/>
      </c>
      <c r="AS57" s="103" t="str">
        <f t="shared" si="61"/>
        <v/>
      </c>
      <c r="AT57" s="103" t="str">
        <f t="shared" si="61"/>
        <v/>
      </c>
      <c r="AU57" s="103" t="str">
        <f t="shared" si="61"/>
        <v/>
      </c>
      <c r="AV57" s="103" t="str">
        <f t="shared" si="61"/>
        <v/>
      </c>
      <c r="AW57" s="103" t="str">
        <f t="shared" si="61"/>
        <v/>
      </c>
      <c r="AX57" s="103" t="str">
        <f t="shared" si="61"/>
        <v/>
      </c>
      <c r="AY57" s="103" t="str">
        <f t="shared" si="61"/>
        <v/>
      </c>
      <c r="AZ57" s="103" t="str">
        <f t="shared" si="61"/>
        <v/>
      </c>
      <c r="BA57" s="103" t="str">
        <f t="shared" si="61"/>
        <v/>
      </c>
      <c r="BB57" s="103" t="str">
        <f t="shared" si="61"/>
        <v/>
      </c>
      <c r="BC57" s="103" t="str">
        <f t="shared" si="61"/>
        <v/>
      </c>
      <c r="BD57" s="103" t="str">
        <f t="shared" si="61"/>
        <v/>
      </c>
      <c r="BE57" s="103" t="str">
        <f t="shared" si="61"/>
        <v/>
      </c>
      <c r="BF57" s="103" t="str">
        <f t="shared" si="61"/>
        <v/>
      </c>
      <c r="BG57" s="103" t="str">
        <f t="shared" si="61"/>
        <v/>
      </c>
      <c r="BH57" s="103" t="str">
        <f t="shared" si="61"/>
        <v/>
      </c>
      <c r="BI57" s="103" t="str">
        <f t="shared" si="61"/>
        <v/>
      </c>
      <c r="BJ57" s="103" t="str">
        <f t="shared" si="61"/>
        <v/>
      </c>
      <c r="BK57" s="103" t="str">
        <f t="shared" si="61"/>
        <v/>
      </c>
      <c r="BL57" s="103" t="str">
        <f t="shared" si="61"/>
        <v/>
      </c>
      <c r="BM57" s="103" t="str">
        <f t="shared" si="61"/>
        <v/>
      </c>
      <c r="BN57" s="103" t="str">
        <f t="shared" si="61"/>
        <v/>
      </c>
      <c r="BO57" s="103" t="str">
        <f t="shared" si="61"/>
        <v/>
      </c>
      <c r="BP57" s="103" t="str">
        <f t="shared" si="61"/>
        <v/>
      </c>
      <c r="BQ57" s="103" t="str">
        <f t="shared" si="61"/>
        <v/>
      </c>
      <c r="BR57" s="103" t="str">
        <f t="shared" si="61"/>
        <v/>
      </c>
      <c r="BS57" s="103" t="str">
        <f t="shared" si="61"/>
        <v/>
      </c>
      <c r="BT57" s="103" t="str">
        <f t="shared" si="61"/>
        <v/>
      </c>
      <c r="BU57" s="103" t="str">
        <f t="shared" si="61"/>
        <v/>
      </c>
      <c r="BV57" s="103" t="str">
        <f t="shared" si="61"/>
        <v/>
      </c>
      <c r="BW57" s="103" t="str">
        <f t="shared" si="61"/>
        <v/>
      </c>
      <c r="BX57" s="103" t="str">
        <f t="shared" si="61"/>
        <v/>
      </c>
      <c r="BY57" s="103" t="str">
        <f t="shared" si="61"/>
        <v/>
      </c>
      <c r="BZ57" s="103" t="str">
        <f t="shared" si="61"/>
        <v/>
      </c>
      <c r="CA57" s="103" t="str">
        <f t="shared" si="61"/>
        <v/>
      </c>
      <c r="CB57" s="103" t="str">
        <f t="shared" si="61"/>
        <v/>
      </c>
      <c r="CC57" s="103" t="str">
        <f t="shared" si="61"/>
        <v/>
      </c>
      <c r="CD57" s="103" t="str">
        <f t="shared" ref="CD57:DF57" si="62">IF(CD53=1,"Hold","")</f>
        <v/>
      </c>
      <c r="CE57" s="103" t="str">
        <f t="shared" si="62"/>
        <v/>
      </c>
      <c r="CF57" s="103" t="str">
        <f t="shared" si="62"/>
        <v/>
      </c>
      <c r="CG57" s="103" t="str">
        <f t="shared" si="62"/>
        <v/>
      </c>
      <c r="CH57" s="103" t="str">
        <f t="shared" si="62"/>
        <v/>
      </c>
      <c r="CI57" s="103" t="str">
        <f t="shared" si="62"/>
        <v/>
      </c>
      <c r="CJ57" s="103" t="str">
        <f t="shared" si="62"/>
        <v/>
      </c>
      <c r="CK57" s="103" t="str">
        <f t="shared" si="62"/>
        <v/>
      </c>
      <c r="CL57" s="103" t="str">
        <f t="shared" si="62"/>
        <v/>
      </c>
      <c r="CM57" s="103" t="str">
        <f t="shared" si="62"/>
        <v/>
      </c>
      <c r="CN57" s="103" t="str">
        <f t="shared" si="62"/>
        <v/>
      </c>
      <c r="CO57" s="103" t="str">
        <f t="shared" si="62"/>
        <v/>
      </c>
      <c r="CP57" s="103" t="str">
        <f t="shared" si="62"/>
        <v/>
      </c>
      <c r="CQ57" s="103" t="str">
        <f t="shared" si="62"/>
        <v/>
      </c>
      <c r="CR57" s="103" t="str">
        <f t="shared" si="62"/>
        <v/>
      </c>
      <c r="CS57" s="103" t="str">
        <f t="shared" si="62"/>
        <v/>
      </c>
      <c r="CT57" s="103" t="str">
        <f t="shared" si="62"/>
        <v/>
      </c>
      <c r="CU57" s="103" t="str">
        <f t="shared" si="62"/>
        <v/>
      </c>
      <c r="CV57" s="103" t="str">
        <f t="shared" si="62"/>
        <v/>
      </c>
      <c r="CW57" s="103" t="str">
        <f t="shared" si="62"/>
        <v/>
      </c>
      <c r="CX57" s="103" t="str">
        <f t="shared" si="62"/>
        <v/>
      </c>
      <c r="CY57" s="103" t="str">
        <f t="shared" si="62"/>
        <v/>
      </c>
      <c r="CZ57" s="103" t="str">
        <f t="shared" si="62"/>
        <v/>
      </c>
      <c r="DA57" s="103" t="str">
        <f t="shared" si="62"/>
        <v/>
      </c>
      <c r="DB57" s="103" t="str">
        <f t="shared" si="62"/>
        <v/>
      </c>
      <c r="DC57" s="103" t="str">
        <f t="shared" si="62"/>
        <v/>
      </c>
      <c r="DD57" s="103" t="str">
        <f t="shared" si="62"/>
        <v/>
      </c>
      <c r="DE57" s="103" t="str">
        <f t="shared" si="62"/>
        <v/>
      </c>
      <c r="DF57" s="103" t="str">
        <f t="shared" si="62"/>
        <v/>
      </c>
    </row>
    <row r="58" spans="1:110" ht="12.75" customHeight="1" x14ac:dyDescent="0.25">
      <c r="J58" s="54"/>
      <c r="L58" s="102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</row>
    <row r="59" spans="1:110" ht="12.75" customHeight="1" x14ac:dyDescent="0.25">
      <c r="B59" t="s">
        <v>85</v>
      </c>
      <c r="J59" s="54" t="s">
        <v>13</v>
      </c>
      <c r="L59" s="102"/>
      <c r="P59" s="12">
        <f>SUM(R59:DF59)</f>
        <v>49</v>
      </c>
      <c r="R59" s="106">
        <f t="shared" ref="R59:AW59" si="63">IF(AND(R$5&gt;=$L52,R$5&lt;=$L30),1,0)</f>
        <v>0</v>
      </c>
      <c r="S59" s="106">
        <f t="shared" si="63"/>
        <v>0</v>
      </c>
      <c r="T59" s="106">
        <f t="shared" si="63"/>
        <v>0</v>
      </c>
      <c r="U59" s="106">
        <f t="shared" si="63"/>
        <v>0</v>
      </c>
      <c r="V59" s="106">
        <f t="shared" si="63"/>
        <v>0</v>
      </c>
      <c r="W59" s="106">
        <f t="shared" si="63"/>
        <v>1</v>
      </c>
      <c r="X59" s="106">
        <f t="shared" si="63"/>
        <v>1</v>
      </c>
      <c r="Y59" s="106">
        <f t="shared" si="63"/>
        <v>1</v>
      </c>
      <c r="Z59" s="106">
        <f t="shared" si="63"/>
        <v>1</v>
      </c>
      <c r="AA59" s="106">
        <f t="shared" si="63"/>
        <v>1</v>
      </c>
      <c r="AB59" s="106">
        <f t="shared" si="63"/>
        <v>1</v>
      </c>
      <c r="AC59" s="106">
        <f t="shared" si="63"/>
        <v>1</v>
      </c>
      <c r="AD59" s="106">
        <f t="shared" si="63"/>
        <v>1</v>
      </c>
      <c r="AE59" s="106">
        <f t="shared" si="63"/>
        <v>1</v>
      </c>
      <c r="AF59" s="106">
        <f t="shared" si="63"/>
        <v>1</v>
      </c>
      <c r="AG59" s="106">
        <f t="shared" si="63"/>
        <v>1</v>
      </c>
      <c r="AH59" s="106">
        <f t="shared" si="63"/>
        <v>1</v>
      </c>
      <c r="AI59" s="106">
        <f t="shared" si="63"/>
        <v>1</v>
      </c>
      <c r="AJ59" s="106">
        <f t="shared" si="63"/>
        <v>1</v>
      </c>
      <c r="AK59" s="106">
        <f t="shared" si="63"/>
        <v>1</v>
      </c>
      <c r="AL59" s="106">
        <f t="shared" si="63"/>
        <v>1</v>
      </c>
      <c r="AM59" s="106">
        <f t="shared" si="63"/>
        <v>1</v>
      </c>
      <c r="AN59" s="106">
        <f t="shared" si="63"/>
        <v>1</v>
      </c>
      <c r="AO59" s="106">
        <f t="shared" si="63"/>
        <v>1</v>
      </c>
      <c r="AP59" s="106">
        <f t="shared" si="63"/>
        <v>1</v>
      </c>
      <c r="AQ59" s="106">
        <f t="shared" si="63"/>
        <v>1</v>
      </c>
      <c r="AR59" s="106">
        <f t="shared" si="63"/>
        <v>1</v>
      </c>
      <c r="AS59" s="106">
        <f t="shared" si="63"/>
        <v>1</v>
      </c>
      <c r="AT59" s="106">
        <f t="shared" si="63"/>
        <v>1</v>
      </c>
      <c r="AU59" s="106">
        <f t="shared" si="63"/>
        <v>1</v>
      </c>
      <c r="AV59" s="106">
        <f t="shared" si="63"/>
        <v>1</v>
      </c>
      <c r="AW59" s="106">
        <f t="shared" si="63"/>
        <v>1</v>
      </c>
      <c r="AX59" s="106">
        <f t="shared" ref="AX59:CC59" si="64">IF(AND(AX$5&gt;=$L52,AX$5&lt;=$L30),1,0)</f>
        <v>1</v>
      </c>
      <c r="AY59" s="106">
        <f t="shared" si="64"/>
        <v>1</v>
      </c>
      <c r="AZ59" s="106">
        <f t="shared" si="64"/>
        <v>1</v>
      </c>
      <c r="BA59" s="106">
        <f t="shared" si="64"/>
        <v>1</v>
      </c>
      <c r="BB59" s="106">
        <f t="shared" si="64"/>
        <v>1</v>
      </c>
      <c r="BC59" s="106">
        <f t="shared" si="64"/>
        <v>1</v>
      </c>
      <c r="BD59" s="106">
        <f t="shared" si="64"/>
        <v>1</v>
      </c>
      <c r="BE59" s="106">
        <f t="shared" si="64"/>
        <v>1</v>
      </c>
      <c r="BF59" s="106">
        <f t="shared" si="64"/>
        <v>1</v>
      </c>
      <c r="BG59" s="106">
        <f t="shared" si="64"/>
        <v>1</v>
      </c>
      <c r="BH59" s="106">
        <f t="shared" si="64"/>
        <v>1</v>
      </c>
      <c r="BI59" s="106">
        <f t="shared" si="64"/>
        <v>1</v>
      </c>
      <c r="BJ59" s="106">
        <f t="shared" si="64"/>
        <v>1</v>
      </c>
      <c r="BK59" s="106">
        <f t="shared" si="64"/>
        <v>1</v>
      </c>
      <c r="BL59" s="106">
        <f t="shared" si="64"/>
        <v>1</v>
      </c>
      <c r="BM59" s="106">
        <f t="shared" si="64"/>
        <v>1</v>
      </c>
      <c r="BN59" s="106">
        <f t="shared" si="64"/>
        <v>1</v>
      </c>
      <c r="BO59" s="106">
        <f t="shared" si="64"/>
        <v>1</v>
      </c>
      <c r="BP59" s="106">
        <f t="shared" si="64"/>
        <v>1</v>
      </c>
      <c r="BQ59" s="106">
        <f t="shared" si="64"/>
        <v>1</v>
      </c>
      <c r="BR59" s="106">
        <f t="shared" si="64"/>
        <v>1</v>
      </c>
      <c r="BS59" s="106">
        <f t="shared" si="64"/>
        <v>1</v>
      </c>
      <c r="BT59" s="106">
        <f t="shared" si="64"/>
        <v>0</v>
      </c>
      <c r="BU59" s="106">
        <f t="shared" si="64"/>
        <v>0</v>
      </c>
      <c r="BV59" s="106">
        <f t="shared" si="64"/>
        <v>0</v>
      </c>
      <c r="BW59" s="106">
        <f t="shared" si="64"/>
        <v>0</v>
      </c>
      <c r="BX59" s="106">
        <f t="shared" si="64"/>
        <v>0</v>
      </c>
      <c r="BY59" s="106">
        <f t="shared" si="64"/>
        <v>0</v>
      </c>
      <c r="BZ59" s="106">
        <f t="shared" si="64"/>
        <v>0</v>
      </c>
      <c r="CA59" s="106">
        <f t="shared" si="64"/>
        <v>0</v>
      </c>
      <c r="CB59" s="106">
        <f t="shared" si="64"/>
        <v>0</v>
      </c>
      <c r="CC59" s="106">
        <f t="shared" si="64"/>
        <v>0</v>
      </c>
      <c r="CD59" s="106">
        <f t="shared" ref="CD59:DF59" si="65">IF(AND(CD$5&gt;=$L52,CD$5&lt;=$L30),1,0)</f>
        <v>0</v>
      </c>
      <c r="CE59" s="106">
        <f t="shared" si="65"/>
        <v>0</v>
      </c>
      <c r="CF59" s="106">
        <f t="shared" si="65"/>
        <v>0</v>
      </c>
      <c r="CG59" s="106">
        <f t="shared" si="65"/>
        <v>0</v>
      </c>
      <c r="CH59" s="106">
        <f t="shared" si="65"/>
        <v>0</v>
      </c>
      <c r="CI59" s="106">
        <f t="shared" si="65"/>
        <v>0</v>
      </c>
      <c r="CJ59" s="106">
        <f t="shared" si="65"/>
        <v>0</v>
      </c>
      <c r="CK59" s="106">
        <f t="shared" si="65"/>
        <v>0</v>
      </c>
      <c r="CL59" s="106">
        <f t="shared" si="65"/>
        <v>0</v>
      </c>
      <c r="CM59" s="106">
        <f t="shared" si="65"/>
        <v>0</v>
      </c>
      <c r="CN59" s="106">
        <f t="shared" si="65"/>
        <v>0</v>
      </c>
      <c r="CO59" s="106">
        <f t="shared" si="65"/>
        <v>0</v>
      </c>
      <c r="CP59" s="106">
        <f t="shared" si="65"/>
        <v>0</v>
      </c>
      <c r="CQ59" s="106">
        <f t="shared" si="65"/>
        <v>0</v>
      </c>
      <c r="CR59" s="106">
        <f t="shared" si="65"/>
        <v>0</v>
      </c>
      <c r="CS59" s="106">
        <f t="shared" si="65"/>
        <v>0</v>
      </c>
      <c r="CT59" s="106">
        <f t="shared" si="65"/>
        <v>0</v>
      </c>
      <c r="CU59" s="106">
        <f t="shared" si="65"/>
        <v>0</v>
      </c>
      <c r="CV59" s="106">
        <f t="shared" si="65"/>
        <v>0</v>
      </c>
      <c r="CW59" s="106">
        <f t="shared" si="65"/>
        <v>0</v>
      </c>
      <c r="CX59" s="106">
        <f t="shared" si="65"/>
        <v>0</v>
      </c>
      <c r="CY59" s="106">
        <f t="shared" si="65"/>
        <v>0</v>
      </c>
      <c r="CZ59" s="106">
        <f t="shared" si="65"/>
        <v>0</v>
      </c>
      <c r="DA59" s="106">
        <f t="shared" si="65"/>
        <v>0</v>
      </c>
      <c r="DB59" s="106">
        <f t="shared" si="65"/>
        <v>0</v>
      </c>
      <c r="DC59" s="106">
        <f t="shared" si="65"/>
        <v>0</v>
      </c>
      <c r="DD59" s="106">
        <f t="shared" si="65"/>
        <v>0</v>
      </c>
      <c r="DE59" s="106">
        <f t="shared" si="65"/>
        <v>0</v>
      </c>
      <c r="DF59" s="106">
        <f t="shared" si="65"/>
        <v>0</v>
      </c>
    </row>
    <row r="60" spans="1:110" ht="12.75" customHeight="1" x14ac:dyDescent="0.25">
      <c r="B60" t="s">
        <v>86</v>
      </c>
      <c r="J60" s="54" t="s">
        <v>13</v>
      </c>
      <c r="L60" s="102"/>
      <c r="P60" s="12">
        <f>SUM(R60:DF60)</f>
        <v>39</v>
      </c>
      <c r="R60" s="106">
        <f t="shared" ref="R60:AW60" si="66">IF(AND(R$5&gt;=$L54,R$5&lt;=$L30),1,0)</f>
        <v>0</v>
      </c>
      <c r="S60" s="106">
        <f t="shared" si="66"/>
        <v>0</v>
      </c>
      <c r="T60" s="106">
        <f t="shared" si="66"/>
        <v>0</v>
      </c>
      <c r="U60" s="106">
        <f t="shared" si="66"/>
        <v>0</v>
      </c>
      <c r="V60" s="106">
        <f t="shared" si="66"/>
        <v>0</v>
      </c>
      <c r="W60" s="106">
        <f t="shared" si="66"/>
        <v>0</v>
      </c>
      <c r="X60" s="106">
        <f t="shared" si="66"/>
        <v>0</v>
      </c>
      <c r="Y60" s="106">
        <f t="shared" si="66"/>
        <v>0</v>
      </c>
      <c r="Z60" s="106">
        <f t="shared" si="66"/>
        <v>0</v>
      </c>
      <c r="AA60" s="106">
        <f t="shared" si="66"/>
        <v>0</v>
      </c>
      <c r="AB60" s="106">
        <f t="shared" si="66"/>
        <v>0</v>
      </c>
      <c r="AC60" s="106">
        <f t="shared" si="66"/>
        <v>0</v>
      </c>
      <c r="AD60" s="106">
        <f t="shared" si="66"/>
        <v>0</v>
      </c>
      <c r="AE60" s="106">
        <f t="shared" si="66"/>
        <v>0</v>
      </c>
      <c r="AF60" s="106">
        <f t="shared" si="66"/>
        <v>0</v>
      </c>
      <c r="AG60" s="106">
        <f t="shared" si="66"/>
        <v>1</v>
      </c>
      <c r="AH60" s="106">
        <f t="shared" si="66"/>
        <v>1</v>
      </c>
      <c r="AI60" s="106">
        <f t="shared" si="66"/>
        <v>1</v>
      </c>
      <c r="AJ60" s="106">
        <f t="shared" si="66"/>
        <v>1</v>
      </c>
      <c r="AK60" s="106">
        <f t="shared" si="66"/>
        <v>1</v>
      </c>
      <c r="AL60" s="106">
        <f t="shared" si="66"/>
        <v>1</v>
      </c>
      <c r="AM60" s="106">
        <f t="shared" si="66"/>
        <v>1</v>
      </c>
      <c r="AN60" s="106">
        <f t="shared" si="66"/>
        <v>1</v>
      </c>
      <c r="AO60" s="106">
        <f t="shared" si="66"/>
        <v>1</v>
      </c>
      <c r="AP60" s="106">
        <f t="shared" si="66"/>
        <v>1</v>
      </c>
      <c r="AQ60" s="106">
        <f t="shared" si="66"/>
        <v>1</v>
      </c>
      <c r="AR60" s="106">
        <f t="shared" si="66"/>
        <v>1</v>
      </c>
      <c r="AS60" s="106">
        <f t="shared" si="66"/>
        <v>1</v>
      </c>
      <c r="AT60" s="106">
        <f t="shared" si="66"/>
        <v>1</v>
      </c>
      <c r="AU60" s="106">
        <f t="shared" si="66"/>
        <v>1</v>
      </c>
      <c r="AV60" s="106">
        <f t="shared" si="66"/>
        <v>1</v>
      </c>
      <c r="AW60" s="106">
        <f t="shared" si="66"/>
        <v>1</v>
      </c>
      <c r="AX60" s="106">
        <f t="shared" ref="AX60:CC60" si="67">IF(AND(AX$5&gt;=$L54,AX$5&lt;=$L30),1,0)</f>
        <v>1</v>
      </c>
      <c r="AY60" s="106">
        <f t="shared" si="67"/>
        <v>1</v>
      </c>
      <c r="AZ60" s="106">
        <f t="shared" si="67"/>
        <v>1</v>
      </c>
      <c r="BA60" s="106">
        <f t="shared" si="67"/>
        <v>1</v>
      </c>
      <c r="BB60" s="106">
        <f t="shared" si="67"/>
        <v>1</v>
      </c>
      <c r="BC60" s="106">
        <f t="shared" si="67"/>
        <v>1</v>
      </c>
      <c r="BD60" s="106">
        <f t="shared" si="67"/>
        <v>1</v>
      </c>
      <c r="BE60" s="106">
        <f t="shared" si="67"/>
        <v>1</v>
      </c>
      <c r="BF60" s="106">
        <f t="shared" si="67"/>
        <v>1</v>
      </c>
      <c r="BG60" s="106">
        <f t="shared" si="67"/>
        <v>1</v>
      </c>
      <c r="BH60" s="106">
        <f t="shared" si="67"/>
        <v>1</v>
      </c>
      <c r="BI60" s="106">
        <f t="shared" si="67"/>
        <v>1</v>
      </c>
      <c r="BJ60" s="106">
        <f t="shared" si="67"/>
        <v>1</v>
      </c>
      <c r="BK60" s="106">
        <f t="shared" si="67"/>
        <v>1</v>
      </c>
      <c r="BL60" s="106">
        <f t="shared" si="67"/>
        <v>1</v>
      </c>
      <c r="BM60" s="106">
        <f t="shared" si="67"/>
        <v>1</v>
      </c>
      <c r="BN60" s="106">
        <f t="shared" si="67"/>
        <v>1</v>
      </c>
      <c r="BO60" s="106">
        <f t="shared" si="67"/>
        <v>1</v>
      </c>
      <c r="BP60" s="106">
        <f t="shared" si="67"/>
        <v>1</v>
      </c>
      <c r="BQ60" s="106">
        <f t="shared" si="67"/>
        <v>1</v>
      </c>
      <c r="BR60" s="106">
        <f t="shared" si="67"/>
        <v>1</v>
      </c>
      <c r="BS60" s="106">
        <f t="shared" si="67"/>
        <v>1</v>
      </c>
      <c r="BT60" s="106">
        <f t="shared" si="67"/>
        <v>0</v>
      </c>
      <c r="BU60" s="106">
        <f t="shared" si="67"/>
        <v>0</v>
      </c>
      <c r="BV60" s="106">
        <f t="shared" si="67"/>
        <v>0</v>
      </c>
      <c r="BW60" s="106">
        <f t="shared" si="67"/>
        <v>0</v>
      </c>
      <c r="BX60" s="106">
        <f t="shared" si="67"/>
        <v>0</v>
      </c>
      <c r="BY60" s="106">
        <f t="shared" si="67"/>
        <v>0</v>
      </c>
      <c r="BZ60" s="106">
        <f t="shared" si="67"/>
        <v>0</v>
      </c>
      <c r="CA60" s="106">
        <f t="shared" si="67"/>
        <v>0</v>
      </c>
      <c r="CB60" s="106">
        <f t="shared" si="67"/>
        <v>0</v>
      </c>
      <c r="CC60" s="106">
        <f t="shared" si="67"/>
        <v>0</v>
      </c>
      <c r="CD60" s="106">
        <f t="shared" ref="CD60:DF60" si="68">IF(AND(CD$5&gt;=$L54,CD$5&lt;=$L30),1,0)</f>
        <v>0</v>
      </c>
      <c r="CE60" s="106">
        <f t="shared" si="68"/>
        <v>0</v>
      </c>
      <c r="CF60" s="106">
        <f t="shared" si="68"/>
        <v>0</v>
      </c>
      <c r="CG60" s="106">
        <f t="shared" si="68"/>
        <v>0</v>
      </c>
      <c r="CH60" s="106">
        <f t="shared" si="68"/>
        <v>0</v>
      </c>
      <c r="CI60" s="106">
        <f t="shared" si="68"/>
        <v>0</v>
      </c>
      <c r="CJ60" s="106">
        <f t="shared" si="68"/>
        <v>0</v>
      </c>
      <c r="CK60" s="106">
        <f t="shared" si="68"/>
        <v>0</v>
      </c>
      <c r="CL60" s="106">
        <f t="shared" si="68"/>
        <v>0</v>
      </c>
      <c r="CM60" s="106">
        <f t="shared" si="68"/>
        <v>0</v>
      </c>
      <c r="CN60" s="106">
        <f t="shared" si="68"/>
        <v>0</v>
      </c>
      <c r="CO60" s="106">
        <f t="shared" si="68"/>
        <v>0</v>
      </c>
      <c r="CP60" s="106">
        <f t="shared" si="68"/>
        <v>0</v>
      </c>
      <c r="CQ60" s="106">
        <f t="shared" si="68"/>
        <v>0</v>
      </c>
      <c r="CR60" s="106">
        <f t="shared" si="68"/>
        <v>0</v>
      </c>
      <c r="CS60" s="106">
        <f t="shared" si="68"/>
        <v>0</v>
      </c>
      <c r="CT60" s="106">
        <f t="shared" si="68"/>
        <v>0</v>
      </c>
      <c r="CU60" s="106">
        <f t="shared" si="68"/>
        <v>0</v>
      </c>
      <c r="CV60" s="106">
        <f t="shared" si="68"/>
        <v>0</v>
      </c>
      <c r="CW60" s="106">
        <f t="shared" si="68"/>
        <v>0</v>
      </c>
      <c r="CX60" s="106">
        <f t="shared" si="68"/>
        <v>0</v>
      </c>
      <c r="CY60" s="106">
        <f t="shared" si="68"/>
        <v>0</v>
      </c>
      <c r="CZ60" s="106">
        <f t="shared" si="68"/>
        <v>0</v>
      </c>
      <c r="DA60" s="106">
        <f t="shared" si="68"/>
        <v>0</v>
      </c>
      <c r="DB60" s="106">
        <f t="shared" si="68"/>
        <v>0</v>
      </c>
      <c r="DC60" s="106">
        <f t="shared" si="68"/>
        <v>0</v>
      </c>
      <c r="DD60" s="106">
        <f t="shared" si="68"/>
        <v>0</v>
      </c>
      <c r="DE60" s="106">
        <f t="shared" si="68"/>
        <v>0</v>
      </c>
      <c r="DF60" s="106">
        <f t="shared" si="68"/>
        <v>0</v>
      </c>
    </row>
    <row r="61" spans="1:110" ht="12.75" customHeight="1" x14ac:dyDescent="0.25">
      <c r="H61" s="54"/>
      <c r="J61" s="102"/>
      <c r="K61" s="102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</row>
    <row r="62" spans="1:110" s="292" customFormat="1" ht="12.75" customHeight="1" x14ac:dyDescent="0.25">
      <c r="A62" s="299" t="s">
        <v>53</v>
      </c>
      <c r="I62" s="313"/>
      <c r="J62" s="284"/>
    </row>
    <row r="63" spans="1:110" ht="12.75" hidden="1" customHeight="1" x14ac:dyDescent="0.25">
      <c r="C63" s="73"/>
      <c r="D63" s="74"/>
      <c r="E63" s="70"/>
      <c r="F63" s="70"/>
      <c r="G63" s="19"/>
      <c r="H63" s="71"/>
      <c r="J63" s="74"/>
      <c r="K63" s="10"/>
      <c r="P63" s="10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</row>
    <row r="64" spans="1:110" ht="12.75" hidden="1" customHeight="1" x14ac:dyDescent="0.25">
      <c r="H64" s="9"/>
      <c r="J64" s="99"/>
      <c r="K64" s="10"/>
      <c r="P64" s="19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  <c r="CU64" s="47"/>
      <c r="CV64" s="47"/>
    </row>
    <row r="65" spans="1:100" ht="12.75" hidden="1" customHeight="1" x14ac:dyDescent="0.25">
      <c r="H65" s="9"/>
      <c r="P65" s="10"/>
    </row>
    <row r="66" spans="1:100" ht="12.75" hidden="1" customHeight="1" x14ac:dyDescent="0.25">
      <c r="B66" s="21"/>
      <c r="H66" s="9"/>
      <c r="P66" s="10"/>
    </row>
    <row r="67" spans="1:100" ht="12.75" hidden="1" customHeight="1" x14ac:dyDescent="0.25">
      <c r="B67" s="41"/>
      <c r="C67" s="77"/>
      <c r="D67" s="77"/>
      <c r="E67" s="77"/>
      <c r="F67" s="77"/>
      <c r="G67" s="77"/>
      <c r="H67" s="9"/>
      <c r="P67" s="10"/>
    </row>
    <row r="68" spans="1:100" ht="12.75" hidden="1" customHeight="1" x14ac:dyDescent="0.25">
      <c r="C68" s="54"/>
      <c r="E68" s="65"/>
      <c r="G68" s="78"/>
      <c r="H68" s="67"/>
      <c r="P68" s="19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  <c r="CT68" s="47"/>
      <c r="CU68" s="47"/>
      <c r="CV68" s="47"/>
    </row>
    <row r="69" spans="1:100" ht="12.75" hidden="1" customHeight="1" x14ac:dyDescent="0.25">
      <c r="C69" s="54"/>
      <c r="E69" s="70"/>
      <c r="F69" s="70"/>
      <c r="G69" s="82"/>
      <c r="H69" s="71"/>
      <c r="P69" s="19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</row>
    <row r="70" spans="1:100" ht="12.75" hidden="1" customHeight="1" x14ac:dyDescent="0.25">
      <c r="D70" s="73"/>
      <c r="E70" s="70"/>
      <c r="F70" s="70"/>
      <c r="G70" s="82"/>
      <c r="H70" s="71"/>
      <c r="P70" s="19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</row>
    <row r="71" spans="1:100" ht="12.75" hidden="1" customHeight="1" x14ac:dyDescent="0.25">
      <c r="C71" s="73"/>
      <c r="D71" s="83"/>
      <c r="E71" s="70"/>
      <c r="F71" s="70"/>
      <c r="G71" s="82"/>
      <c r="H71" s="71"/>
      <c r="P71" s="10"/>
    </row>
    <row r="72" spans="1:100" ht="12.75" hidden="1" customHeight="1" x14ac:dyDescent="0.25">
      <c r="H72" s="9"/>
      <c r="J72" s="64"/>
      <c r="P72" s="10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</row>
    <row r="73" spans="1:100" ht="12.75" hidden="1" customHeight="1" x14ac:dyDescent="0.25">
      <c r="H73" s="9"/>
      <c r="P73" s="10"/>
    </row>
    <row r="74" spans="1:100" ht="12.75" hidden="1" customHeight="1" x14ac:dyDescent="0.25">
      <c r="H74" s="9"/>
      <c r="P74" s="10"/>
    </row>
    <row r="75" spans="1:100" ht="12.75" hidden="1" customHeight="1" x14ac:dyDescent="0.25">
      <c r="A75" s="41"/>
      <c r="B75" s="41"/>
      <c r="C75" s="43"/>
      <c r="D75" s="41"/>
      <c r="E75" s="41"/>
      <c r="F75" s="41"/>
      <c r="G75" s="41"/>
      <c r="H75" s="9"/>
      <c r="I75" s="44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</row>
    <row r="76" spans="1:100" ht="12.75" hidden="1" customHeight="1" x14ac:dyDescent="0.25">
      <c r="H76" s="9"/>
      <c r="P76" s="10"/>
    </row>
    <row r="77" spans="1:100" ht="12.75" hidden="1" customHeight="1" x14ac:dyDescent="0.25">
      <c r="B77" s="23"/>
      <c r="H77" s="9"/>
      <c r="P77" s="10"/>
    </row>
    <row r="78" spans="1:100" ht="12.75" hidden="1" customHeight="1" x14ac:dyDescent="0.25">
      <c r="H78" s="9"/>
      <c r="J78" s="97"/>
      <c r="P78" s="10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</row>
    <row r="79" spans="1:100" ht="12.75" hidden="1" customHeight="1" x14ac:dyDescent="0.25">
      <c r="H79" s="9"/>
      <c r="J79" s="97"/>
      <c r="P79" s="10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  <c r="CM79" s="47"/>
      <c r="CN79" s="47"/>
      <c r="CO79" s="47"/>
      <c r="CP79" s="47"/>
      <c r="CQ79" s="47"/>
      <c r="CR79" s="47"/>
      <c r="CS79" s="47"/>
      <c r="CT79" s="47"/>
      <c r="CU79" s="47"/>
      <c r="CV79" s="47"/>
    </row>
    <row r="80" spans="1:100" ht="12.75" hidden="1" customHeight="1" x14ac:dyDescent="0.25">
      <c r="H80" s="9"/>
      <c r="P80" s="10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</row>
    <row r="81" spans="1:100" ht="12.75" hidden="1" customHeight="1" x14ac:dyDescent="0.25">
      <c r="B81" s="23"/>
      <c r="H81" s="9"/>
      <c r="P81" s="10"/>
    </row>
    <row r="82" spans="1:100" ht="12.75" hidden="1" customHeight="1" x14ac:dyDescent="0.25">
      <c r="H82" s="9"/>
      <c r="J82" s="97"/>
      <c r="P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</row>
    <row r="83" spans="1:100" ht="12.75" hidden="1" customHeight="1" x14ac:dyDescent="0.25">
      <c r="H83" s="9"/>
      <c r="J83" s="97"/>
      <c r="P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</row>
    <row r="84" spans="1:100" ht="12.75" hidden="1" customHeight="1" x14ac:dyDescent="0.25">
      <c r="H84" s="9"/>
      <c r="J84" s="100"/>
      <c r="P84" s="10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  <c r="AX84" s="87"/>
      <c r="AY84" s="87"/>
      <c r="AZ84" s="87"/>
      <c r="BA84" s="87"/>
      <c r="BB84" s="87"/>
      <c r="BC84" s="87"/>
      <c r="BD84" s="87"/>
      <c r="BE84" s="87"/>
      <c r="BF84" s="87"/>
      <c r="BG84" s="87"/>
      <c r="BH84" s="87"/>
      <c r="BI84" s="87"/>
      <c r="BJ84" s="87"/>
      <c r="BK84" s="87"/>
      <c r="BL84" s="87"/>
      <c r="BM84" s="87"/>
      <c r="BN84" s="87"/>
      <c r="BO84" s="87"/>
      <c r="BP84" s="87"/>
      <c r="BQ84" s="87"/>
      <c r="BR84" s="87"/>
      <c r="BS84" s="87"/>
      <c r="BT84" s="87"/>
      <c r="BU84" s="87"/>
      <c r="BV84" s="87"/>
      <c r="BW84" s="87"/>
      <c r="BX84" s="87"/>
      <c r="BY84" s="87"/>
      <c r="BZ84" s="87"/>
      <c r="CA84" s="87"/>
      <c r="CB84" s="87"/>
      <c r="CC84" s="87"/>
      <c r="CD84" s="87"/>
      <c r="CE84" s="87"/>
      <c r="CF84" s="87"/>
      <c r="CG84" s="87"/>
      <c r="CH84" s="87"/>
      <c r="CI84" s="87"/>
      <c r="CJ84" s="87"/>
      <c r="CK84" s="87"/>
      <c r="CL84" s="87"/>
      <c r="CM84" s="87"/>
      <c r="CN84" s="87"/>
      <c r="CO84" s="87"/>
      <c r="CP84" s="87"/>
      <c r="CQ84" s="87"/>
      <c r="CR84" s="87"/>
      <c r="CS84" s="87"/>
      <c r="CT84" s="87"/>
      <c r="CU84" s="87"/>
      <c r="CV84" s="87"/>
    </row>
    <row r="85" spans="1:100" ht="12.75" hidden="1" customHeight="1" x14ac:dyDescent="0.25">
      <c r="H85" s="9"/>
      <c r="P85" s="10"/>
    </row>
    <row r="86" spans="1:100" ht="12.75" hidden="1" customHeight="1" x14ac:dyDescent="0.25">
      <c r="H86" s="9"/>
      <c r="P86" s="10"/>
    </row>
    <row r="87" spans="1:100" ht="12.75" hidden="1" customHeight="1" x14ac:dyDescent="0.25">
      <c r="A87" s="41"/>
      <c r="B87" s="41"/>
      <c r="C87" s="43"/>
      <c r="D87" s="41"/>
      <c r="E87" s="41"/>
      <c r="F87" s="41"/>
      <c r="G87" s="41"/>
      <c r="H87" s="9"/>
      <c r="I87" s="44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</row>
    <row r="88" spans="1:100" ht="12.75" hidden="1" customHeight="1" x14ac:dyDescent="0.25">
      <c r="H88" s="9"/>
      <c r="P88" s="10"/>
    </row>
    <row r="89" spans="1:100" ht="12.75" hidden="1" customHeight="1" x14ac:dyDescent="0.25">
      <c r="D89" s="88"/>
      <c r="E89" s="51"/>
      <c r="H89" s="9"/>
      <c r="P89" s="10"/>
    </row>
    <row r="90" spans="1:100" ht="12.75" hidden="1" customHeight="1" x14ac:dyDescent="0.25">
      <c r="D90" s="89"/>
      <c r="H90" s="9"/>
      <c r="P90" s="10"/>
    </row>
    <row r="91" spans="1:100" ht="12.75" hidden="1" customHeight="1" x14ac:dyDescent="0.25">
      <c r="D91" s="89"/>
      <c r="H91" s="9"/>
      <c r="P91" s="10"/>
    </row>
    <row r="92" spans="1:100" ht="12.75" hidden="1" customHeight="1" x14ac:dyDescent="0.25">
      <c r="D92" s="89"/>
      <c r="H92" s="9"/>
      <c r="P92" s="10"/>
    </row>
    <row r="93" spans="1:100" ht="12.75" hidden="1" customHeight="1" x14ac:dyDescent="0.25">
      <c r="D93" s="89"/>
      <c r="H93" s="9"/>
      <c r="P93" s="10"/>
    </row>
    <row r="94" spans="1:100" ht="12.75" hidden="1" customHeight="1" x14ac:dyDescent="0.25">
      <c r="D94" s="89"/>
      <c r="H94" s="9"/>
      <c r="P94" s="10"/>
    </row>
    <row r="95" spans="1:100" ht="12.75" hidden="1" customHeight="1" x14ac:dyDescent="0.25">
      <c r="D95" s="89"/>
      <c r="H95" s="9"/>
      <c r="P95" s="10"/>
    </row>
    <row r="96" spans="1:100" ht="12.75" hidden="1" customHeight="1" x14ac:dyDescent="0.25">
      <c r="D96" s="89"/>
      <c r="H96" s="9"/>
      <c r="P96" s="10"/>
    </row>
    <row r="97" spans="4:16" ht="12.75" hidden="1" customHeight="1" x14ac:dyDescent="0.25">
      <c r="D97" s="89"/>
      <c r="H97" s="9"/>
      <c r="P97" s="10"/>
    </row>
    <row r="98" spans="4:16" ht="12.75" hidden="1" customHeight="1" x14ac:dyDescent="0.25">
      <c r="D98" s="89"/>
      <c r="H98" s="9"/>
      <c r="P98" s="10"/>
    </row>
    <row r="99" spans="4:16" ht="12.75" hidden="1" customHeight="1" x14ac:dyDescent="0.25">
      <c r="D99" s="89"/>
      <c r="H99" s="9"/>
      <c r="P99" s="10"/>
    </row>
    <row r="100" spans="4:16" ht="12.75" hidden="1" customHeight="1" x14ac:dyDescent="0.25">
      <c r="D100" s="89"/>
      <c r="H100" s="9"/>
      <c r="P100" s="10"/>
    </row>
    <row r="101" spans="4:16" ht="12.75" hidden="1" customHeight="1" x14ac:dyDescent="0.25">
      <c r="D101" s="89"/>
      <c r="H101" s="9"/>
      <c r="P101" s="10"/>
    </row>
    <row r="102" spans="4:16" ht="12.75" hidden="1" customHeight="1" x14ac:dyDescent="0.25">
      <c r="D102" s="89"/>
      <c r="H102" s="9"/>
      <c r="P102" s="10"/>
    </row>
    <row r="103" spans="4:16" ht="12.75" hidden="1" customHeight="1" x14ac:dyDescent="0.25">
      <c r="D103" s="89"/>
      <c r="H103" s="9"/>
      <c r="P103" s="10"/>
    </row>
    <row r="104" spans="4:16" ht="12.75" hidden="1" customHeight="1" x14ac:dyDescent="0.25">
      <c r="D104" s="89"/>
      <c r="H104" s="9"/>
      <c r="P104" s="10"/>
    </row>
    <row r="105" spans="4:16" ht="12.75" hidden="1" customHeight="1" x14ac:dyDescent="0.25">
      <c r="H105" s="9"/>
      <c r="P105" s="10"/>
    </row>
    <row r="106" spans="4:16" ht="12.75" hidden="1" customHeight="1" x14ac:dyDescent="0.25">
      <c r="D106" s="88"/>
      <c r="E106" s="49"/>
      <c r="H106" s="9"/>
      <c r="P106" s="10"/>
    </row>
    <row r="107" spans="4:16" ht="12.75" hidden="1" customHeight="1" x14ac:dyDescent="0.25">
      <c r="D107" s="89"/>
      <c r="E107" s="10"/>
      <c r="H107" s="9"/>
      <c r="P107" s="10"/>
    </row>
    <row r="108" spans="4:16" ht="12.75" hidden="1" customHeight="1" x14ac:dyDescent="0.25">
      <c r="D108" s="89"/>
      <c r="E108" s="10"/>
      <c r="H108" s="9"/>
      <c r="P108" s="10"/>
    </row>
    <row r="109" spans="4:16" ht="12.75" hidden="1" customHeight="1" x14ac:dyDescent="0.25">
      <c r="D109" s="89"/>
      <c r="E109" s="10"/>
      <c r="H109" s="9"/>
      <c r="P109" s="10"/>
    </row>
    <row r="110" spans="4:16" ht="12.75" hidden="1" customHeight="1" x14ac:dyDescent="0.25">
      <c r="D110" s="89"/>
      <c r="E110" s="10"/>
      <c r="H110" s="9"/>
      <c r="P110" s="10"/>
    </row>
    <row r="111" spans="4:16" ht="12.75" hidden="1" customHeight="1" x14ac:dyDescent="0.25">
      <c r="D111" s="89"/>
      <c r="E111" s="10"/>
      <c r="H111" s="9"/>
      <c r="P111" s="10"/>
    </row>
    <row r="112" spans="4:16" ht="12.75" hidden="1" customHeight="1" x14ac:dyDescent="0.25">
      <c r="D112" s="89"/>
      <c r="E112" s="10"/>
      <c r="H112" s="9"/>
      <c r="P112" s="10"/>
    </row>
    <row r="113" spans="4:16" ht="12.75" hidden="1" customHeight="1" x14ac:dyDescent="0.25">
      <c r="D113" s="89"/>
      <c r="E113" s="10"/>
      <c r="H113" s="9"/>
      <c r="P113" s="10"/>
    </row>
    <row r="114" spans="4:16" ht="12.75" hidden="1" customHeight="1" x14ac:dyDescent="0.25">
      <c r="D114" s="89"/>
      <c r="E114" s="10"/>
      <c r="H114" s="9"/>
      <c r="P114" s="10"/>
    </row>
    <row r="115" spans="4:16" ht="12.75" hidden="1" customHeight="1" x14ac:dyDescent="0.25">
      <c r="D115" s="89"/>
      <c r="E115" s="10"/>
      <c r="H115" s="9"/>
      <c r="P115" s="10"/>
    </row>
    <row r="116" spans="4:16" ht="12.75" hidden="1" customHeight="1" x14ac:dyDescent="0.25">
      <c r="D116" s="89"/>
      <c r="E116" s="10"/>
      <c r="H116" s="9"/>
      <c r="P116" s="10"/>
    </row>
    <row r="117" spans="4:16" ht="12.75" hidden="1" customHeight="1" x14ac:dyDescent="0.25">
      <c r="D117" s="89"/>
      <c r="E117" s="10"/>
      <c r="H117" s="9"/>
      <c r="P117" s="10"/>
    </row>
    <row r="118" spans="4:16" ht="12.75" hidden="1" customHeight="1" x14ac:dyDescent="0.25">
      <c r="D118" s="89"/>
      <c r="E118" s="10"/>
      <c r="H118" s="9"/>
      <c r="P118" s="10"/>
    </row>
    <row r="119" spans="4:16" ht="12.75" hidden="1" customHeight="1" x14ac:dyDescent="0.25">
      <c r="D119" s="89"/>
      <c r="E119" s="10"/>
      <c r="H119" s="9"/>
      <c r="P119" s="10"/>
    </row>
    <row r="120" spans="4:16" ht="12.75" hidden="1" customHeight="1" x14ac:dyDescent="0.25">
      <c r="D120" s="89"/>
      <c r="E120" s="10"/>
      <c r="H120" s="9"/>
      <c r="P120" s="10"/>
    </row>
    <row r="121" spans="4:16" ht="12.75" hidden="1" customHeight="1" x14ac:dyDescent="0.25">
      <c r="D121" s="89"/>
      <c r="E121" s="10"/>
      <c r="H121" s="9"/>
      <c r="P121" s="10"/>
    </row>
    <row r="122" spans="4:16" ht="12.75" hidden="1" customHeight="1" x14ac:dyDescent="0.25">
      <c r="H122" s="9"/>
      <c r="P122" s="10"/>
    </row>
    <row r="123" spans="4:16" ht="12.75" hidden="1" customHeight="1" x14ac:dyDescent="0.25">
      <c r="D123" s="88"/>
      <c r="E123" s="90"/>
      <c r="H123" s="9"/>
      <c r="P123" s="10"/>
    </row>
    <row r="124" spans="4:16" ht="12.75" hidden="1" customHeight="1" x14ac:dyDescent="0.25">
      <c r="D124" s="89"/>
      <c r="E124" s="87"/>
      <c r="H124" s="9"/>
      <c r="P124" s="10"/>
    </row>
    <row r="125" spans="4:16" ht="12.75" hidden="1" customHeight="1" x14ac:dyDescent="0.25">
      <c r="D125" s="89"/>
      <c r="E125" s="87"/>
      <c r="H125" s="9"/>
      <c r="P125" s="10"/>
    </row>
    <row r="126" spans="4:16" ht="12.75" hidden="1" customHeight="1" x14ac:dyDescent="0.25">
      <c r="D126" s="89"/>
      <c r="E126" s="87"/>
      <c r="H126" s="9"/>
      <c r="P126" s="10"/>
    </row>
    <row r="127" spans="4:16" ht="12.75" hidden="1" customHeight="1" x14ac:dyDescent="0.25">
      <c r="D127" s="89"/>
      <c r="E127" s="87"/>
      <c r="H127" s="9"/>
      <c r="P127" s="10"/>
    </row>
    <row r="128" spans="4:16" ht="12.75" hidden="1" customHeight="1" x14ac:dyDescent="0.25">
      <c r="D128" s="89"/>
      <c r="E128" s="87"/>
      <c r="H128" s="9"/>
      <c r="P128" s="10"/>
    </row>
    <row r="129" spans="1:100" ht="12.75" hidden="1" customHeight="1" x14ac:dyDescent="0.25">
      <c r="D129" s="89"/>
      <c r="E129" s="87"/>
      <c r="H129" s="9"/>
      <c r="P129" s="10"/>
    </row>
    <row r="130" spans="1:100" ht="12.75" hidden="1" customHeight="1" x14ac:dyDescent="0.25">
      <c r="D130" s="89"/>
      <c r="E130" s="87"/>
      <c r="H130" s="9"/>
      <c r="P130" s="10"/>
    </row>
    <row r="131" spans="1:100" ht="12.75" hidden="1" customHeight="1" x14ac:dyDescent="0.25">
      <c r="D131" s="89"/>
      <c r="E131" s="87"/>
      <c r="H131" s="9"/>
      <c r="P131" s="10"/>
    </row>
    <row r="132" spans="1:100" ht="12.75" hidden="1" customHeight="1" x14ac:dyDescent="0.25">
      <c r="D132" s="89"/>
      <c r="E132" s="87"/>
      <c r="H132" s="9"/>
      <c r="P132" s="10"/>
    </row>
    <row r="133" spans="1:100" ht="12.75" hidden="1" customHeight="1" x14ac:dyDescent="0.25">
      <c r="D133" s="89"/>
      <c r="E133" s="87"/>
      <c r="H133" s="9"/>
      <c r="P133" s="10"/>
    </row>
    <row r="134" spans="1:100" ht="12.75" hidden="1" customHeight="1" x14ac:dyDescent="0.25">
      <c r="D134" s="89"/>
      <c r="E134" s="87"/>
      <c r="H134" s="9"/>
      <c r="P134" s="10"/>
    </row>
    <row r="135" spans="1:100" ht="12.75" hidden="1" customHeight="1" x14ac:dyDescent="0.25">
      <c r="D135" s="89"/>
      <c r="E135" s="87"/>
      <c r="H135" s="9"/>
      <c r="P135" s="10"/>
    </row>
    <row r="136" spans="1:100" ht="12.75" hidden="1" customHeight="1" x14ac:dyDescent="0.25">
      <c r="A136" s="41"/>
      <c r="D136" s="89"/>
      <c r="E136" s="87"/>
      <c r="H136" s="9"/>
      <c r="I136" s="91"/>
      <c r="J136" s="54"/>
    </row>
    <row r="137" spans="1:100" ht="12.75" hidden="1" customHeight="1" x14ac:dyDescent="0.25">
      <c r="D137" s="89"/>
      <c r="E137" s="87"/>
      <c r="H137" s="9"/>
      <c r="J137" s="65"/>
      <c r="P137" s="89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C137" s="92"/>
      <c r="BD137" s="92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W137" s="92"/>
      <c r="BX137" s="92"/>
      <c r="BY137" s="92"/>
      <c r="BZ137" s="92"/>
      <c r="CA137" s="92"/>
      <c r="CB137" s="92"/>
      <c r="CC137" s="92"/>
      <c r="CD137" s="92"/>
      <c r="CE137" s="92"/>
      <c r="CF137" s="92"/>
      <c r="CG137" s="92"/>
      <c r="CH137" s="92"/>
      <c r="CI137" s="92"/>
      <c r="CJ137" s="92"/>
      <c r="CK137" s="92"/>
      <c r="CL137" s="92"/>
      <c r="CM137" s="92"/>
      <c r="CN137" s="92"/>
      <c r="CO137" s="92"/>
      <c r="CP137" s="92"/>
      <c r="CQ137" s="92"/>
      <c r="CR137" s="92"/>
      <c r="CS137" s="92"/>
      <c r="CT137" s="92"/>
      <c r="CU137" s="92"/>
      <c r="CV137" s="92"/>
    </row>
    <row r="138" spans="1:100" ht="12.75" hidden="1" customHeight="1" x14ac:dyDescent="0.25">
      <c r="D138" s="89"/>
      <c r="E138" s="87"/>
      <c r="H138" s="9"/>
      <c r="P138" s="10"/>
    </row>
    <row r="139" spans="1:100" ht="12.75" hidden="1" customHeight="1" x14ac:dyDescent="0.25">
      <c r="H139" s="9"/>
      <c r="P139" s="10"/>
    </row>
    <row r="140" spans="1:100" ht="12.75" hidden="1" customHeight="1" x14ac:dyDescent="0.25">
      <c r="A140" s="41"/>
      <c r="B140" s="21"/>
      <c r="H140" s="9"/>
      <c r="P140" s="10"/>
    </row>
  </sheetData>
  <conditionalFormatting sqref="R84:CV84">
    <cfRule type="expression" dxfId="119" priority="9">
      <formula>R$7="Actuals"</formula>
    </cfRule>
  </conditionalFormatting>
  <conditionalFormatting sqref="E123">
    <cfRule type="expression" dxfId="118" priority="8">
      <formula>E$7="Actuals"</formula>
    </cfRule>
  </conditionalFormatting>
  <conditionalFormatting sqref="E124:E136">
    <cfRule type="expression" dxfId="117" priority="7">
      <formula>E$7="Actuals"</formula>
    </cfRule>
  </conditionalFormatting>
  <conditionalFormatting sqref="E137:E138">
    <cfRule type="expression" dxfId="116" priority="6">
      <formula>E$7="Actuals"</formula>
    </cfRule>
  </conditionalFormatting>
  <conditionalFormatting sqref="R7:DF7">
    <cfRule type="expression" dxfId="115" priority="1">
      <formula>R7="Ops"</formula>
    </cfRule>
    <cfRule type="expression" dxfId="114" priority="2">
      <formula>R7="Const"</formula>
    </cfRule>
  </conditionalFormatting>
  <conditionalFormatting sqref="R8:DF8">
    <cfRule type="expression" dxfId="113" priority="3">
      <formula>R$8="Hold"</formula>
    </cfRule>
  </conditionalFormatting>
  <pageMargins left="0.7" right="0.7" top="0.75" bottom="0.75" header="0.3" footer="0.3"/>
  <ignoredErrors>
    <ignoredError sqref="O1:XFD12 O14:XFD1048576 O13:Q13 DG13:XFD13 A1:L12 A61:L1048576 A13:G6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33CD1-D6BB-4B1E-AD8F-95990B786B14}">
  <sheetPr codeName="Sheet5">
    <tabColor theme="3" tint="-0.499984740745262"/>
  </sheetPr>
  <dimension ref="A1:DD55"/>
  <sheetViews>
    <sheetView showGridLines="0" zoomScale="50" zoomScaleNormal="50" workbookViewId="0">
      <pane xSplit="14" ySplit="8" topLeftCell="O9" activePane="bottomRight" state="frozen"/>
      <selection activeCell="N43" sqref="N43"/>
      <selection pane="topRight" activeCell="N43" sqref="N43"/>
      <selection pane="bottomLeft" activeCell="N43" sqref="N43"/>
      <selection pane="bottomRight" activeCell="S34" sqref="S34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1.140625" customWidth="1"/>
    <col min="99" max="16384" width="9.140625" hidden="1"/>
  </cols>
  <sheetData>
    <row r="1" spans="1:108" s="282" customFormat="1" ht="12.75" customHeight="1" x14ac:dyDescent="0.2">
      <c r="H1" s="284"/>
    </row>
    <row r="2" spans="1:108" s="282" customFormat="1" ht="12.75" customHeight="1" x14ac:dyDescent="0.2">
      <c r="H2" s="284"/>
    </row>
    <row r="3" spans="1:108" s="282" customFormat="1" ht="12.75" customHeight="1" x14ac:dyDescent="0.2">
      <c r="H3" s="284"/>
    </row>
    <row r="4" spans="1:108" s="282" customFormat="1" ht="12.75" customHeight="1" x14ac:dyDescent="0.2">
      <c r="H4" s="284"/>
    </row>
    <row r="5" spans="1:108" s="282" customFormat="1" ht="12.75" customHeight="1" x14ac:dyDescent="0.2">
      <c r="H5" s="284"/>
      <c r="M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H6" s="284"/>
      <c r="M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H7" s="284"/>
      <c r="M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H8" s="284"/>
    </row>
    <row r="9" spans="1:108" s="5" customFormat="1" x14ac:dyDescent="0.2">
      <c r="A9" s="5" t="s">
        <v>156</v>
      </c>
      <c r="G9" s="8"/>
    </row>
    <row r="10" spans="1:108" ht="15" x14ac:dyDescent="0.25">
      <c r="L10" s="19"/>
    </row>
    <row r="11" spans="1:108" ht="15" x14ac:dyDescent="0.25">
      <c r="C11" t="s">
        <v>157</v>
      </c>
      <c r="H11" s="54" t="s">
        <v>13</v>
      </c>
      <c r="N11" s="19"/>
      <c r="O11" s="13"/>
      <c r="P11" s="13">
        <f>Timing!R24</f>
        <v>1</v>
      </c>
      <c r="Q11" s="13">
        <f>Timing!S24</f>
        <v>1</v>
      </c>
      <c r="R11" s="13">
        <f>Timing!T24</f>
        <v>1</v>
      </c>
      <c r="S11" s="13">
        <f>Timing!U24</f>
        <v>0</v>
      </c>
      <c r="T11" s="13">
        <f>Timing!V24</f>
        <v>0</v>
      </c>
      <c r="U11" s="13">
        <f>Timing!W24</f>
        <v>0</v>
      </c>
      <c r="V11" s="13">
        <f>Timing!X24</f>
        <v>0</v>
      </c>
      <c r="W11" s="13">
        <f>Timing!Y24</f>
        <v>0</v>
      </c>
      <c r="X11" s="13">
        <f>Timing!Z24</f>
        <v>0</v>
      </c>
      <c r="Y11" s="13">
        <f>Timing!AA24</f>
        <v>0</v>
      </c>
      <c r="Z11" s="13">
        <f>Timing!AB24</f>
        <v>0</v>
      </c>
      <c r="AA11" s="13">
        <f>Timing!AC24</f>
        <v>0</v>
      </c>
      <c r="AB11" s="13">
        <f>Timing!AD24</f>
        <v>0</v>
      </c>
      <c r="AC11" s="13">
        <f>Timing!AE24</f>
        <v>0</v>
      </c>
      <c r="AD11" s="13">
        <f>Timing!AF24</f>
        <v>0</v>
      </c>
      <c r="AE11" s="13">
        <f>Timing!AG24</f>
        <v>0</v>
      </c>
      <c r="AF11" s="13">
        <f>Timing!AH24</f>
        <v>0</v>
      </c>
      <c r="AG11" s="13">
        <f>Timing!AI24</f>
        <v>0</v>
      </c>
      <c r="AH11" s="13">
        <f>Timing!AJ24</f>
        <v>0</v>
      </c>
      <c r="AI11" s="13">
        <f>Timing!AK24</f>
        <v>0</v>
      </c>
      <c r="AJ11" s="13">
        <f>Timing!AL24</f>
        <v>0</v>
      </c>
      <c r="AK11" s="13">
        <f>Timing!AM24</f>
        <v>0</v>
      </c>
      <c r="AL11" s="13">
        <f>Timing!AN24</f>
        <v>0</v>
      </c>
      <c r="AM11" s="13">
        <f>Timing!AO24</f>
        <v>0</v>
      </c>
      <c r="AN11" s="13">
        <f>Timing!AP24</f>
        <v>0</v>
      </c>
      <c r="AO11" s="13">
        <f>Timing!AQ24</f>
        <v>0</v>
      </c>
      <c r="AP11" s="13">
        <f>Timing!AR24</f>
        <v>0</v>
      </c>
      <c r="AQ11" s="13">
        <f>Timing!AS24</f>
        <v>0</v>
      </c>
      <c r="AR11" s="13">
        <f>Timing!AT24</f>
        <v>0</v>
      </c>
      <c r="AS11" s="13">
        <f>Timing!AU24</f>
        <v>0</v>
      </c>
      <c r="AT11" s="13">
        <f>Timing!AV24</f>
        <v>0</v>
      </c>
      <c r="AU11" s="13">
        <f>Timing!AW24</f>
        <v>0</v>
      </c>
      <c r="AV11" s="13">
        <f>Timing!AX24</f>
        <v>0</v>
      </c>
      <c r="AW11" s="13">
        <f>Timing!AY24</f>
        <v>0</v>
      </c>
      <c r="AX11" s="13">
        <f>Timing!AZ24</f>
        <v>0</v>
      </c>
      <c r="AY11" s="13">
        <f>Timing!BA24</f>
        <v>0</v>
      </c>
      <c r="AZ11" s="13">
        <f>Timing!BB24</f>
        <v>0</v>
      </c>
      <c r="BA11" s="13">
        <f>Timing!BC24</f>
        <v>0</v>
      </c>
      <c r="BB11" s="13">
        <f>Timing!BD24</f>
        <v>0</v>
      </c>
      <c r="BC11" s="13">
        <f>Timing!BE24</f>
        <v>0</v>
      </c>
      <c r="BD11" s="13">
        <f>Timing!BF24</f>
        <v>0</v>
      </c>
      <c r="BE11" s="13">
        <f>Timing!BG24</f>
        <v>0</v>
      </c>
      <c r="BF11" s="13">
        <f>Timing!BH24</f>
        <v>0</v>
      </c>
      <c r="BG11" s="13">
        <f>Timing!BI24</f>
        <v>0</v>
      </c>
      <c r="BH11" s="13">
        <f>Timing!BJ24</f>
        <v>0</v>
      </c>
      <c r="BI11" s="13">
        <f>Timing!BK24</f>
        <v>0</v>
      </c>
      <c r="BJ11" s="13">
        <f>Timing!BL24</f>
        <v>0</v>
      </c>
      <c r="BK11" s="13">
        <f>Timing!BM24</f>
        <v>0</v>
      </c>
      <c r="BL11" s="13">
        <f>Timing!BN24</f>
        <v>0</v>
      </c>
      <c r="BM11" s="13">
        <f>Timing!BO24</f>
        <v>0</v>
      </c>
      <c r="BN11" s="13">
        <f>Timing!BP24</f>
        <v>0</v>
      </c>
      <c r="BO11" s="13">
        <f>Timing!BQ24</f>
        <v>0</v>
      </c>
      <c r="BP11" s="13">
        <f>Timing!BR24</f>
        <v>0</v>
      </c>
      <c r="BQ11" s="13">
        <f>Timing!BS24</f>
        <v>0</v>
      </c>
      <c r="BR11" s="13">
        <f>Timing!BT24</f>
        <v>0</v>
      </c>
      <c r="BS11" s="13">
        <f>Timing!BU24</f>
        <v>0</v>
      </c>
      <c r="BT11" s="13">
        <f>Timing!BV24</f>
        <v>0</v>
      </c>
      <c r="BU11" s="13">
        <f>Timing!BW24</f>
        <v>0</v>
      </c>
      <c r="BV11" s="13">
        <f>Timing!BX24</f>
        <v>0</v>
      </c>
      <c r="BW11" s="13">
        <f>Timing!BY24</f>
        <v>0</v>
      </c>
      <c r="BX11" s="13">
        <f>Timing!BZ24</f>
        <v>0</v>
      </c>
      <c r="BY11" s="13">
        <f>Timing!CA24</f>
        <v>0</v>
      </c>
      <c r="BZ11" s="13">
        <f>Timing!CB24</f>
        <v>0</v>
      </c>
      <c r="CA11" s="13">
        <f>Timing!CC24</f>
        <v>0</v>
      </c>
      <c r="CB11" s="13">
        <f>Timing!CD24</f>
        <v>0</v>
      </c>
      <c r="CC11" s="13">
        <f>Timing!CE24</f>
        <v>0</v>
      </c>
      <c r="CD11" s="13">
        <f>Timing!CF24</f>
        <v>0</v>
      </c>
      <c r="CE11" s="13">
        <f>Timing!CG24</f>
        <v>0</v>
      </c>
      <c r="CF11" s="13">
        <f>Timing!CH24</f>
        <v>0</v>
      </c>
      <c r="CG11" s="13">
        <f>Timing!CI24</f>
        <v>0</v>
      </c>
      <c r="CH11" s="13">
        <f>Timing!CJ24</f>
        <v>0</v>
      </c>
      <c r="CI11" s="13">
        <f>Timing!CK24</f>
        <v>0</v>
      </c>
      <c r="CJ11" s="13">
        <f>Timing!CL24</f>
        <v>0</v>
      </c>
      <c r="CK11" s="13">
        <f>Timing!CM24</f>
        <v>0</v>
      </c>
      <c r="CL11" s="13">
        <f>Timing!CN24</f>
        <v>0</v>
      </c>
      <c r="CM11" s="13">
        <f>Timing!CO24</f>
        <v>0</v>
      </c>
      <c r="CN11" s="13">
        <f>Timing!CP24</f>
        <v>0</v>
      </c>
      <c r="CO11" s="13">
        <f>Timing!CQ24</f>
        <v>0</v>
      </c>
      <c r="CP11" s="13">
        <f>Timing!CR24</f>
        <v>0</v>
      </c>
      <c r="CQ11" s="13">
        <f>Timing!CS24</f>
        <v>0</v>
      </c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</row>
    <row r="12" spans="1:108" ht="15" x14ac:dyDescent="0.25">
      <c r="C12" t="s">
        <v>158</v>
      </c>
      <c r="H12" s="54" t="s">
        <v>13</v>
      </c>
      <c r="N12" s="19"/>
      <c r="O12" s="13"/>
      <c r="P12" s="13">
        <f>Timing!R29</f>
        <v>0</v>
      </c>
      <c r="Q12" s="13">
        <f>Timing!S29</f>
        <v>0</v>
      </c>
      <c r="R12" s="13">
        <f>Timing!T29</f>
        <v>0</v>
      </c>
      <c r="S12" s="13">
        <f>Timing!U29</f>
        <v>1</v>
      </c>
      <c r="T12" s="13">
        <f>Timing!V29</f>
        <v>1</v>
      </c>
      <c r="U12" s="13">
        <f>Timing!W29</f>
        <v>1</v>
      </c>
      <c r="V12" s="13">
        <f>Timing!X29</f>
        <v>1</v>
      </c>
      <c r="W12" s="13">
        <f>Timing!Y29</f>
        <v>1</v>
      </c>
      <c r="X12" s="13">
        <f>Timing!Z29</f>
        <v>1</v>
      </c>
      <c r="Y12" s="13">
        <f>Timing!AA29</f>
        <v>1</v>
      </c>
      <c r="Z12" s="13">
        <f>Timing!AB29</f>
        <v>1</v>
      </c>
      <c r="AA12" s="13">
        <f>Timing!AC29</f>
        <v>1</v>
      </c>
      <c r="AB12" s="13">
        <f>Timing!AD29</f>
        <v>1</v>
      </c>
      <c r="AC12" s="13">
        <f>Timing!AE29</f>
        <v>1</v>
      </c>
      <c r="AD12" s="13">
        <f>Timing!AF29</f>
        <v>1</v>
      </c>
      <c r="AE12" s="13">
        <f>Timing!AG29</f>
        <v>1</v>
      </c>
      <c r="AF12" s="13">
        <f>Timing!AH29</f>
        <v>1</v>
      </c>
      <c r="AG12" s="13">
        <f>Timing!AI29</f>
        <v>1</v>
      </c>
      <c r="AH12" s="13">
        <f>Timing!AJ29</f>
        <v>1</v>
      </c>
      <c r="AI12" s="13">
        <f>Timing!AK29</f>
        <v>1</v>
      </c>
      <c r="AJ12" s="13">
        <f>Timing!AL29</f>
        <v>1</v>
      </c>
      <c r="AK12" s="13">
        <f>Timing!AM29</f>
        <v>1</v>
      </c>
      <c r="AL12" s="13">
        <f>Timing!AN29</f>
        <v>1</v>
      </c>
      <c r="AM12" s="13">
        <f>Timing!AO29</f>
        <v>1</v>
      </c>
      <c r="AN12" s="13">
        <f>Timing!AP29</f>
        <v>1</v>
      </c>
      <c r="AO12" s="13">
        <f>Timing!AQ29</f>
        <v>1</v>
      </c>
      <c r="AP12" s="13">
        <f>Timing!AR29</f>
        <v>1</v>
      </c>
      <c r="AQ12" s="13">
        <f>Timing!AS29</f>
        <v>1</v>
      </c>
      <c r="AR12" s="13">
        <f>Timing!AT29</f>
        <v>1</v>
      </c>
      <c r="AS12" s="13">
        <f>Timing!AU29</f>
        <v>1</v>
      </c>
      <c r="AT12" s="13">
        <f>Timing!AV29</f>
        <v>1</v>
      </c>
      <c r="AU12" s="13">
        <f>Timing!AW29</f>
        <v>1</v>
      </c>
      <c r="AV12" s="13">
        <f>Timing!AX29</f>
        <v>1</v>
      </c>
      <c r="AW12" s="13">
        <f>Timing!AY29</f>
        <v>1</v>
      </c>
      <c r="AX12" s="13">
        <f>Timing!AZ29</f>
        <v>1</v>
      </c>
      <c r="AY12" s="13">
        <f>Timing!BA29</f>
        <v>1</v>
      </c>
      <c r="AZ12" s="13">
        <f>Timing!BB29</f>
        <v>1</v>
      </c>
      <c r="BA12" s="13">
        <f>Timing!BC29</f>
        <v>1</v>
      </c>
      <c r="BB12" s="13">
        <f>Timing!BD29</f>
        <v>1</v>
      </c>
      <c r="BC12" s="13">
        <f>Timing!BE29</f>
        <v>1</v>
      </c>
      <c r="BD12" s="13">
        <f>Timing!BF29</f>
        <v>1</v>
      </c>
      <c r="BE12" s="13">
        <f>Timing!BG29</f>
        <v>1</v>
      </c>
      <c r="BF12" s="13">
        <f>Timing!BH29</f>
        <v>1</v>
      </c>
      <c r="BG12" s="13">
        <f>Timing!BI29</f>
        <v>1</v>
      </c>
      <c r="BH12" s="13">
        <f>Timing!BJ29</f>
        <v>1</v>
      </c>
      <c r="BI12" s="13">
        <f>Timing!BK29</f>
        <v>1</v>
      </c>
      <c r="BJ12" s="13">
        <f>Timing!BL29</f>
        <v>1</v>
      </c>
      <c r="BK12" s="13">
        <f>Timing!BM29</f>
        <v>1</v>
      </c>
      <c r="BL12" s="13">
        <f>Timing!BN29</f>
        <v>1</v>
      </c>
      <c r="BM12" s="13">
        <f>Timing!BO29</f>
        <v>1</v>
      </c>
      <c r="BN12" s="13">
        <f>Timing!BP29</f>
        <v>1</v>
      </c>
      <c r="BO12" s="13">
        <f>Timing!BQ29</f>
        <v>1</v>
      </c>
      <c r="BP12" s="13">
        <f>Timing!BR29</f>
        <v>1</v>
      </c>
      <c r="BQ12" s="13">
        <f>Timing!BS29</f>
        <v>1</v>
      </c>
      <c r="BR12" s="13">
        <f>Timing!BT29</f>
        <v>0</v>
      </c>
      <c r="BS12" s="13">
        <f>Timing!BU29</f>
        <v>0</v>
      </c>
      <c r="BT12" s="13">
        <f>Timing!BV29</f>
        <v>0</v>
      </c>
      <c r="BU12" s="13">
        <f>Timing!BW29</f>
        <v>0</v>
      </c>
      <c r="BV12" s="13">
        <f>Timing!BX29</f>
        <v>0</v>
      </c>
      <c r="BW12" s="13">
        <f>Timing!BY29</f>
        <v>0</v>
      </c>
      <c r="BX12" s="13">
        <f>Timing!BZ29</f>
        <v>0</v>
      </c>
      <c r="BY12" s="13">
        <f>Timing!CA29</f>
        <v>0</v>
      </c>
      <c r="BZ12" s="13">
        <f>Timing!CB29</f>
        <v>0</v>
      </c>
      <c r="CA12" s="13">
        <f>Timing!CC29</f>
        <v>0</v>
      </c>
      <c r="CB12" s="13">
        <f>Timing!CD29</f>
        <v>0</v>
      </c>
      <c r="CC12" s="13">
        <f>Timing!CE29</f>
        <v>0</v>
      </c>
      <c r="CD12" s="13">
        <f>Timing!CF29</f>
        <v>0</v>
      </c>
      <c r="CE12" s="13">
        <f>Timing!CG29</f>
        <v>0</v>
      </c>
      <c r="CF12" s="13">
        <f>Timing!CH29</f>
        <v>0</v>
      </c>
      <c r="CG12" s="13">
        <f>Timing!CI29</f>
        <v>0</v>
      </c>
      <c r="CH12" s="13">
        <f>Timing!CJ29</f>
        <v>0</v>
      </c>
      <c r="CI12" s="13">
        <f>Timing!CK29</f>
        <v>0</v>
      </c>
      <c r="CJ12" s="13">
        <f>Timing!CL29</f>
        <v>0</v>
      </c>
      <c r="CK12" s="13">
        <f>Timing!CM29</f>
        <v>0</v>
      </c>
      <c r="CL12" s="13">
        <f>Timing!CN29</f>
        <v>0</v>
      </c>
      <c r="CM12" s="13">
        <f>Timing!CO29</f>
        <v>0</v>
      </c>
      <c r="CN12" s="13">
        <f>Timing!CP29</f>
        <v>0</v>
      </c>
      <c r="CO12" s="13">
        <f>Timing!CQ29</f>
        <v>0</v>
      </c>
      <c r="CP12" s="13">
        <f>Timing!CR29</f>
        <v>0</v>
      </c>
      <c r="CQ12" s="13">
        <f>Timing!CS29</f>
        <v>0</v>
      </c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</row>
    <row r="13" spans="1:108" ht="15" x14ac:dyDescent="0.25">
      <c r="H13" s="54"/>
      <c r="N13" s="19"/>
    </row>
    <row r="14" spans="1:108" ht="15" x14ac:dyDescent="0.25">
      <c r="C14" t="s">
        <v>56</v>
      </c>
      <c r="H14" s="54" t="s">
        <v>6</v>
      </c>
      <c r="N14" s="19"/>
      <c r="O14" s="158"/>
      <c r="P14" s="158">
        <f>InputT!R14</f>
        <v>0.01</v>
      </c>
      <c r="Q14" s="158">
        <f>InputT!S14</f>
        <v>0.01</v>
      </c>
      <c r="R14" s="158">
        <f>InputT!T14</f>
        <v>0.01</v>
      </c>
      <c r="S14" s="158">
        <f>InputT!U14</f>
        <v>0.01</v>
      </c>
      <c r="T14" s="158">
        <f>InputT!V14</f>
        <v>0.01</v>
      </c>
      <c r="U14" s="158">
        <f>InputT!W14</f>
        <v>0.01</v>
      </c>
      <c r="V14" s="158">
        <f>InputT!X14</f>
        <v>0.01</v>
      </c>
      <c r="W14" s="158">
        <f>InputT!Y14</f>
        <v>0.01</v>
      </c>
      <c r="X14" s="158">
        <f>InputT!Z14</f>
        <v>0.01</v>
      </c>
      <c r="Y14" s="158">
        <f>InputT!AA14</f>
        <v>0.01</v>
      </c>
      <c r="Z14" s="158">
        <f>InputT!AB14</f>
        <v>0.01</v>
      </c>
      <c r="AA14" s="158">
        <f>InputT!AC14</f>
        <v>0.01</v>
      </c>
      <c r="AB14" s="158">
        <f>InputT!AD14</f>
        <v>0.01</v>
      </c>
      <c r="AC14" s="158">
        <f>InputT!AE14</f>
        <v>0.01</v>
      </c>
      <c r="AD14" s="158">
        <f>InputT!AF14</f>
        <v>0.01</v>
      </c>
      <c r="AE14" s="158">
        <f>InputT!AG14</f>
        <v>0.01</v>
      </c>
      <c r="AF14" s="158">
        <f>InputT!AH14</f>
        <v>0.01</v>
      </c>
      <c r="AG14" s="158">
        <f>InputT!AI14</f>
        <v>0.01</v>
      </c>
      <c r="AH14" s="158">
        <f>InputT!AJ14</f>
        <v>0.01</v>
      </c>
      <c r="AI14" s="158">
        <f>InputT!AK14</f>
        <v>0.01</v>
      </c>
      <c r="AJ14" s="158">
        <f>InputT!AL14</f>
        <v>0.01</v>
      </c>
      <c r="AK14" s="158">
        <f>InputT!AM14</f>
        <v>0.01</v>
      </c>
      <c r="AL14" s="158">
        <f>InputT!AN14</f>
        <v>0.01</v>
      </c>
      <c r="AM14" s="158">
        <f>InputT!AO14</f>
        <v>0.01</v>
      </c>
      <c r="AN14" s="158">
        <f>InputT!AP14</f>
        <v>0.01</v>
      </c>
      <c r="AO14" s="158">
        <f>InputT!AQ14</f>
        <v>0.01</v>
      </c>
      <c r="AP14" s="158">
        <f>InputT!AR14</f>
        <v>0.01</v>
      </c>
      <c r="AQ14" s="158">
        <f>InputT!AS14</f>
        <v>0.01</v>
      </c>
      <c r="AR14" s="158">
        <f>InputT!AT14</f>
        <v>0.01</v>
      </c>
      <c r="AS14" s="158">
        <f>InputT!AU14</f>
        <v>0.01</v>
      </c>
      <c r="AT14" s="158">
        <f>InputT!AV14</f>
        <v>0.01</v>
      </c>
      <c r="AU14" s="158">
        <f>InputT!AW14</f>
        <v>0.01</v>
      </c>
      <c r="AV14" s="158">
        <f>InputT!AX14</f>
        <v>0.01</v>
      </c>
      <c r="AW14" s="158">
        <f>InputT!AY14</f>
        <v>0.01</v>
      </c>
      <c r="AX14" s="158">
        <f>InputT!AZ14</f>
        <v>0.01</v>
      </c>
      <c r="AY14" s="158">
        <f>InputT!BA14</f>
        <v>0.01</v>
      </c>
      <c r="AZ14" s="158">
        <f>InputT!BB14</f>
        <v>0.01</v>
      </c>
      <c r="BA14" s="158">
        <f>InputT!BC14</f>
        <v>0.01</v>
      </c>
      <c r="BB14" s="158">
        <f>InputT!BD14</f>
        <v>0.01</v>
      </c>
      <c r="BC14" s="158">
        <f>InputT!BE14</f>
        <v>0.01</v>
      </c>
      <c r="BD14" s="158">
        <f>InputT!BF14</f>
        <v>0.01</v>
      </c>
      <c r="BE14" s="158">
        <f>InputT!BG14</f>
        <v>0.01</v>
      </c>
      <c r="BF14" s="158">
        <f>InputT!BH14</f>
        <v>0.01</v>
      </c>
      <c r="BG14" s="158">
        <f>InputT!BI14</f>
        <v>0.01</v>
      </c>
      <c r="BH14" s="158">
        <f>InputT!BJ14</f>
        <v>0.01</v>
      </c>
      <c r="BI14" s="158">
        <f>InputT!BK14</f>
        <v>0.01</v>
      </c>
      <c r="BJ14" s="158">
        <f>InputT!BL14</f>
        <v>0.01</v>
      </c>
      <c r="BK14" s="158">
        <f>InputT!BM14</f>
        <v>0.01</v>
      </c>
      <c r="BL14" s="158">
        <f>InputT!BN14</f>
        <v>0.01</v>
      </c>
      <c r="BM14" s="158">
        <f>InputT!BO14</f>
        <v>0.01</v>
      </c>
      <c r="BN14" s="158">
        <f>InputT!BP14</f>
        <v>0.01</v>
      </c>
      <c r="BO14" s="158">
        <f>InputT!BQ14</f>
        <v>0.01</v>
      </c>
      <c r="BP14" s="158">
        <f>InputT!BR14</f>
        <v>0.01</v>
      </c>
      <c r="BQ14" s="158">
        <f>InputT!BS14</f>
        <v>0.01</v>
      </c>
      <c r="BR14" s="158">
        <f>InputT!BT14</f>
        <v>0.01</v>
      </c>
      <c r="BS14" s="158">
        <f>InputT!BU14</f>
        <v>0.01</v>
      </c>
      <c r="BT14" s="158">
        <f>InputT!BV14</f>
        <v>0.01</v>
      </c>
      <c r="BU14" s="158">
        <f>InputT!BW14</f>
        <v>0.01</v>
      </c>
      <c r="BV14" s="158">
        <f>InputT!BX14</f>
        <v>0.01</v>
      </c>
      <c r="BW14" s="158">
        <f>InputT!BY14</f>
        <v>0.01</v>
      </c>
      <c r="BX14" s="158">
        <f>InputT!BZ14</f>
        <v>0.01</v>
      </c>
      <c r="BY14" s="158">
        <f>InputT!CA14</f>
        <v>0.01</v>
      </c>
      <c r="BZ14" s="158">
        <f>InputT!CB14</f>
        <v>0.01</v>
      </c>
      <c r="CA14" s="158">
        <f>InputT!CC14</f>
        <v>0.01</v>
      </c>
      <c r="CB14" s="158">
        <f>InputT!CD14</f>
        <v>0.01</v>
      </c>
      <c r="CC14" s="158">
        <f>InputT!CE14</f>
        <v>0.01</v>
      </c>
      <c r="CD14" s="158">
        <f>InputT!CF14</f>
        <v>0.01</v>
      </c>
      <c r="CE14" s="158">
        <f>InputT!CG14</f>
        <v>0</v>
      </c>
      <c r="CF14" s="158">
        <f>InputT!CH14</f>
        <v>0</v>
      </c>
      <c r="CG14" s="158">
        <f>InputT!CI14</f>
        <v>0</v>
      </c>
      <c r="CH14" s="158">
        <f>InputT!CJ14</f>
        <v>0</v>
      </c>
      <c r="CI14" s="158">
        <f>InputT!CK14</f>
        <v>0</v>
      </c>
      <c r="CJ14" s="158">
        <f>InputT!CL14</f>
        <v>0</v>
      </c>
      <c r="CK14" s="158">
        <f>InputT!CM14</f>
        <v>0</v>
      </c>
      <c r="CL14" s="158">
        <f>InputT!CN14</f>
        <v>0</v>
      </c>
      <c r="CM14" s="158">
        <f>InputT!CO14</f>
        <v>0</v>
      </c>
      <c r="CN14" s="158">
        <f>InputT!CP14</f>
        <v>0</v>
      </c>
      <c r="CO14" s="158">
        <f>InputT!CQ14</f>
        <v>0</v>
      </c>
      <c r="CP14" s="158">
        <f>InputT!CR14</f>
        <v>0</v>
      </c>
      <c r="CQ14" s="158">
        <f>InputT!CS14</f>
        <v>0</v>
      </c>
      <c r="CR14" s="158"/>
      <c r="CS14" s="158"/>
      <c r="CT14" s="158"/>
      <c r="CU14" s="158"/>
      <c r="CV14" s="158"/>
      <c r="CW14" s="158"/>
      <c r="CX14" s="158"/>
      <c r="CY14" s="158"/>
      <c r="CZ14" s="158"/>
      <c r="DA14" s="158"/>
      <c r="DB14" s="158"/>
    </row>
    <row r="15" spans="1:108" ht="15" x14ac:dyDescent="0.25">
      <c r="C15" t="s">
        <v>57</v>
      </c>
      <c r="H15" s="54" t="s">
        <v>58</v>
      </c>
      <c r="N15" s="19"/>
      <c r="O15" s="159"/>
      <c r="P15" s="159">
        <v>1</v>
      </c>
      <c r="Q15" s="159">
        <f t="shared" ref="Q15:CB15" si="1">P15*(Q14+1)</f>
        <v>1.01</v>
      </c>
      <c r="R15" s="159">
        <f>Q15*(R14+1)</f>
        <v>1.0201</v>
      </c>
      <c r="S15" s="159">
        <f>R15*(S14+1)</f>
        <v>1.0303009999999999</v>
      </c>
      <c r="T15" s="159">
        <f t="shared" si="1"/>
        <v>1.04060401</v>
      </c>
      <c r="U15" s="159">
        <f t="shared" si="1"/>
        <v>1.0510100500999999</v>
      </c>
      <c r="V15" s="159">
        <f t="shared" si="1"/>
        <v>1.0615201506009999</v>
      </c>
      <c r="W15" s="159">
        <f t="shared" si="1"/>
        <v>1.0721353521070098</v>
      </c>
      <c r="X15" s="159">
        <f t="shared" si="1"/>
        <v>1.08285670562808</v>
      </c>
      <c r="Y15" s="159">
        <f t="shared" si="1"/>
        <v>1.0936852726843609</v>
      </c>
      <c r="Z15" s="159">
        <f t="shared" si="1"/>
        <v>1.1046221254112045</v>
      </c>
      <c r="AA15" s="159">
        <f t="shared" si="1"/>
        <v>1.1156683466653166</v>
      </c>
      <c r="AB15" s="159">
        <f t="shared" si="1"/>
        <v>1.1268250301319698</v>
      </c>
      <c r="AC15" s="159">
        <f t="shared" si="1"/>
        <v>1.1380932804332895</v>
      </c>
      <c r="AD15" s="159">
        <f t="shared" si="1"/>
        <v>1.1494742132376223</v>
      </c>
      <c r="AE15" s="159">
        <f t="shared" si="1"/>
        <v>1.1609689553699987</v>
      </c>
      <c r="AF15" s="159">
        <f t="shared" si="1"/>
        <v>1.1725786449236986</v>
      </c>
      <c r="AG15" s="159">
        <f t="shared" si="1"/>
        <v>1.1843044313729356</v>
      </c>
      <c r="AH15" s="159">
        <f t="shared" si="1"/>
        <v>1.196147475686665</v>
      </c>
      <c r="AI15" s="159">
        <f t="shared" si="1"/>
        <v>1.2081089504435316</v>
      </c>
      <c r="AJ15" s="159">
        <f t="shared" si="1"/>
        <v>1.220190039947967</v>
      </c>
      <c r="AK15" s="159">
        <f t="shared" si="1"/>
        <v>1.2323919403474468</v>
      </c>
      <c r="AL15" s="159">
        <f t="shared" si="1"/>
        <v>1.2447158597509214</v>
      </c>
      <c r="AM15" s="159">
        <f t="shared" si="1"/>
        <v>1.2571630183484306</v>
      </c>
      <c r="AN15" s="159">
        <f t="shared" si="1"/>
        <v>1.269734648531915</v>
      </c>
      <c r="AO15" s="159">
        <f t="shared" si="1"/>
        <v>1.282431995017234</v>
      </c>
      <c r="AP15" s="159">
        <f t="shared" si="1"/>
        <v>1.2952563149674063</v>
      </c>
      <c r="AQ15" s="159">
        <f t="shared" si="1"/>
        <v>1.3082088781170804</v>
      </c>
      <c r="AR15" s="159">
        <f t="shared" si="1"/>
        <v>1.3212909668982513</v>
      </c>
      <c r="AS15" s="159">
        <f t="shared" si="1"/>
        <v>1.3345038765672339</v>
      </c>
      <c r="AT15" s="159">
        <f t="shared" si="1"/>
        <v>1.3478489153329063</v>
      </c>
      <c r="AU15" s="159">
        <f t="shared" si="1"/>
        <v>1.3613274044862353</v>
      </c>
      <c r="AV15" s="159">
        <f t="shared" si="1"/>
        <v>1.3749406785310978</v>
      </c>
      <c r="AW15" s="159">
        <f t="shared" si="1"/>
        <v>1.3886900853164088</v>
      </c>
      <c r="AX15" s="159">
        <f t="shared" si="1"/>
        <v>1.4025769861695729</v>
      </c>
      <c r="AY15" s="159">
        <f t="shared" si="1"/>
        <v>1.4166027560312686</v>
      </c>
      <c r="AZ15" s="159">
        <f t="shared" si="1"/>
        <v>1.4307687835915812</v>
      </c>
      <c r="BA15" s="159">
        <f t="shared" si="1"/>
        <v>1.4450764714274971</v>
      </c>
      <c r="BB15" s="159">
        <f t="shared" si="1"/>
        <v>1.4595272361417722</v>
      </c>
      <c r="BC15" s="159">
        <f t="shared" si="1"/>
        <v>1.4741225085031899</v>
      </c>
      <c r="BD15" s="159">
        <f t="shared" si="1"/>
        <v>1.4888637335882218</v>
      </c>
      <c r="BE15" s="159">
        <f t="shared" si="1"/>
        <v>1.5037523709241041</v>
      </c>
      <c r="BF15" s="159">
        <f t="shared" si="1"/>
        <v>1.5187898946333451</v>
      </c>
      <c r="BG15" s="159">
        <f t="shared" si="1"/>
        <v>1.5339777935796786</v>
      </c>
      <c r="BH15" s="159">
        <f t="shared" si="1"/>
        <v>1.5493175715154754</v>
      </c>
      <c r="BI15" s="159">
        <f t="shared" si="1"/>
        <v>1.5648107472306303</v>
      </c>
      <c r="BJ15" s="159">
        <f t="shared" si="1"/>
        <v>1.5804588547029366</v>
      </c>
      <c r="BK15" s="159">
        <f t="shared" si="1"/>
        <v>1.5962634432499661</v>
      </c>
      <c r="BL15" s="159">
        <f t="shared" si="1"/>
        <v>1.6122260776824657</v>
      </c>
      <c r="BM15" s="159">
        <f t="shared" si="1"/>
        <v>1.6283483384592905</v>
      </c>
      <c r="BN15" s="159">
        <f t="shared" si="1"/>
        <v>1.6446318218438833</v>
      </c>
      <c r="BO15" s="159">
        <f t="shared" si="1"/>
        <v>1.6610781400623222</v>
      </c>
      <c r="BP15" s="159">
        <f t="shared" si="1"/>
        <v>1.6776889214629456</v>
      </c>
      <c r="BQ15" s="159">
        <f t="shared" si="1"/>
        <v>1.694465810677575</v>
      </c>
      <c r="BR15" s="159">
        <f t="shared" si="1"/>
        <v>1.7114104687843508</v>
      </c>
      <c r="BS15" s="159">
        <f t="shared" si="1"/>
        <v>1.7285245734721943</v>
      </c>
      <c r="BT15" s="159">
        <f t="shared" si="1"/>
        <v>1.7458098192069162</v>
      </c>
      <c r="BU15" s="159">
        <f t="shared" si="1"/>
        <v>1.7632679173989854</v>
      </c>
      <c r="BV15" s="159">
        <f t="shared" si="1"/>
        <v>1.7809005965729752</v>
      </c>
      <c r="BW15" s="159">
        <f t="shared" si="1"/>
        <v>1.798709602538705</v>
      </c>
      <c r="BX15" s="159">
        <f t="shared" si="1"/>
        <v>1.8166966985640922</v>
      </c>
      <c r="BY15" s="159">
        <f t="shared" si="1"/>
        <v>1.8348636655497332</v>
      </c>
      <c r="BZ15" s="159">
        <f t="shared" si="1"/>
        <v>1.8532123022052305</v>
      </c>
      <c r="CA15" s="159">
        <f t="shared" si="1"/>
        <v>1.8717444252272828</v>
      </c>
      <c r="CB15" s="159">
        <f t="shared" si="1"/>
        <v>1.8904618694795556</v>
      </c>
      <c r="CC15" s="159">
        <f t="shared" ref="CC15:CQ15" si="2">CB15*(CC14+1)</f>
        <v>1.9093664881743513</v>
      </c>
      <c r="CD15" s="159">
        <f t="shared" si="2"/>
        <v>1.9284601530560948</v>
      </c>
      <c r="CE15" s="159">
        <f t="shared" si="2"/>
        <v>1.9284601530560948</v>
      </c>
      <c r="CF15" s="159">
        <f t="shared" si="2"/>
        <v>1.9284601530560948</v>
      </c>
      <c r="CG15" s="159">
        <f t="shared" si="2"/>
        <v>1.9284601530560948</v>
      </c>
      <c r="CH15" s="159">
        <f t="shared" si="2"/>
        <v>1.9284601530560948</v>
      </c>
      <c r="CI15" s="159">
        <f t="shared" si="2"/>
        <v>1.9284601530560948</v>
      </c>
      <c r="CJ15" s="159">
        <f t="shared" si="2"/>
        <v>1.9284601530560948</v>
      </c>
      <c r="CK15" s="159">
        <f t="shared" si="2"/>
        <v>1.9284601530560948</v>
      </c>
      <c r="CL15" s="159">
        <f t="shared" si="2"/>
        <v>1.9284601530560948</v>
      </c>
      <c r="CM15" s="159">
        <f t="shared" si="2"/>
        <v>1.9284601530560948</v>
      </c>
      <c r="CN15" s="159">
        <f t="shared" si="2"/>
        <v>1.9284601530560948</v>
      </c>
      <c r="CO15" s="159">
        <f t="shared" si="2"/>
        <v>1.9284601530560948</v>
      </c>
      <c r="CP15" s="159">
        <f t="shared" si="2"/>
        <v>1.9284601530560948</v>
      </c>
      <c r="CQ15" s="159">
        <f t="shared" si="2"/>
        <v>1.9284601530560948</v>
      </c>
      <c r="CR15" s="159"/>
      <c r="CS15" s="159"/>
      <c r="CT15" s="159"/>
      <c r="CU15" s="159"/>
      <c r="CV15" s="159"/>
      <c r="CW15" s="159"/>
      <c r="CX15" s="159"/>
      <c r="CY15" s="159"/>
      <c r="CZ15" s="159"/>
      <c r="DA15" s="159"/>
      <c r="DB15" s="159"/>
    </row>
    <row r="16" spans="1:108" ht="15" x14ac:dyDescent="0.25">
      <c r="H16" s="54"/>
      <c r="J16" s="16"/>
      <c r="N16" s="19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</row>
    <row r="17" spans="1:106" s="5" customFormat="1" x14ac:dyDescent="0.2">
      <c r="A17" s="5" t="s">
        <v>160</v>
      </c>
      <c r="H17" s="137"/>
      <c r="I17" s="8"/>
    </row>
    <row r="18" spans="1:106" s="125" customFormat="1" ht="15" x14ac:dyDescent="0.25">
      <c r="A18" s="124" t="s">
        <v>161</v>
      </c>
      <c r="H18" s="126"/>
      <c r="J18" s="127"/>
      <c r="N18" s="128"/>
    </row>
    <row r="19" spans="1:106" ht="15" x14ac:dyDescent="0.25">
      <c r="H19" s="54"/>
      <c r="N19" s="19"/>
    </row>
    <row r="20" spans="1:106" ht="15" x14ac:dyDescent="0.25">
      <c r="H20" s="54"/>
      <c r="J20" s="38" t="s">
        <v>161</v>
      </c>
      <c r="N20" s="19"/>
    </row>
    <row r="21" spans="1:106" ht="15" x14ac:dyDescent="0.25">
      <c r="C21" t="str">
        <f>InputC!C28</f>
        <v>Total Project Costs</v>
      </c>
      <c r="H21" s="54" t="s">
        <v>3</v>
      </c>
      <c r="J21" s="85">
        <f>InputC!K28</f>
        <v>120</v>
      </c>
      <c r="N21" s="25">
        <f t="shared" ref="N21:N25" si="3">SUM(P21:DB21)</f>
        <v>120</v>
      </c>
      <c r="O21" s="10"/>
      <c r="P21" s="68">
        <f>$J21*InputT!R24</f>
        <v>61.2</v>
      </c>
      <c r="Q21" s="68">
        <f>$J21*InputT!S24</f>
        <v>34.799999999999997</v>
      </c>
      <c r="R21" s="68">
        <f>$J21*InputT!T24</f>
        <v>23.999999999999993</v>
      </c>
      <c r="S21" s="68">
        <f>$J21*InputT!U24</f>
        <v>0</v>
      </c>
      <c r="T21" s="68">
        <f>$J21*InputT!V24</f>
        <v>0</v>
      </c>
      <c r="U21" s="68">
        <f>$J21*InputT!W24</f>
        <v>0</v>
      </c>
      <c r="V21" s="68">
        <f>$J21*InputT!X24</f>
        <v>0</v>
      </c>
      <c r="W21" s="68">
        <f>$J21*InputT!Y24</f>
        <v>0</v>
      </c>
      <c r="X21" s="68">
        <f>$J21*InputT!Z24</f>
        <v>0</v>
      </c>
      <c r="Y21" s="68">
        <f>$J21*InputT!AA24</f>
        <v>0</v>
      </c>
      <c r="Z21" s="68">
        <f>$J21*InputT!AB24</f>
        <v>0</v>
      </c>
      <c r="AA21" s="68">
        <f>$J21*InputT!AC24</f>
        <v>0</v>
      </c>
      <c r="AB21" s="68">
        <f>$J21*InputT!AD24</f>
        <v>0</v>
      </c>
      <c r="AC21" s="68">
        <f>$J21*InputT!AE24</f>
        <v>0</v>
      </c>
      <c r="AD21" s="68">
        <f>$J21*InputT!AF24</f>
        <v>0</v>
      </c>
      <c r="AE21" s="68">
        <f>$J21*InputT!AG24</f>
        <v>0</v>
      </c>
      <c r="AF21" s="68">
        <f>$J21*InputT!AH24</f>
        <v>0</v>
      </c>
      <c r="AG21" s="68">
        <f>$J21*InputT!AI24</f>
        <v>0</v>
      </c>
      <c r="AH21" s="68">
        <f>$J21*InputT!AJ24</f>
        <v>0</v>
      </c>
      <c r="AI21" s="68">
        <f>$J21*InputT!AK24</f>
        <v>0</v>
      </c>
      <c r="AJ21" s="68">
        <f>$J21*InputT!AL24</f>
        <v>0</v>
      </c>
      <c r="AK21" s="68">
        <f>$J21*InputT!AM24</f>
        <v>0</v>
      </c>
      <c r="AL21" s="68">
        <f>$J21*InputT!AN24</f>
        <v>0</v>
      </c>
      <c r="AM21" s="68">
        <f>$J21*InputT!AO24</f>
        <v>0</v>
      </c>
      <c r="AN21" s="68">
        <f>$J21*InputT!AP24</f>
        <v>0</v>
      </c>
      <c r="AO21" s="68">
        <f>$J21*InputT!AQ24</f>
        <v>0</v>
      </c>
      <c r="AP21" s="68">
        <f>$J21*InputT!AR24</f>
        <v>0</v>
      </c>
      <c r="AQ21" s="68">
        <f>$J21*InputT!AS24</f>
        <v>0</v>
      </c>
      <c r="AR21" s="68">
        <f>$J21*InputT!AT24</f>
        <v>0</v>
      </c>
      <c r="AS21" s="68">
        <f>$J21*InputT!AU24</f>
        <v>0</v>
      </c>
      <c r="AT21" s="68">
        <f>$J21*InputT!AV24</f>
        <v>0</v>
      </c>
      <c r="AU21" s="68">
        <f>$J21*InputT!AW24</f>
        <v>0</v>
      </c>
      <c r="AV21" s="68">
        <f>$J21*InputT!AX24</f>
        <v>0</v>
      </c>
      <c r="AW21" s="68">
        <f>$J21*InputT!AY24</f>
        <v>0</v>
      </c>
      <c r="AX21" s="68">
        <f>$J21*InputT!AZ24</f>
        <v>0</v>
      </c>
      <c r="AY21" s="68">
        <f>$J21*InputT!BA24</f>
        <v>0</v>
      </c>
      <c r="AZ21" s="68">
        <f>$J21*InputT!BB24</f>
        <v>0</v>
      </c>
      <c r="BA21" s="68">
        <f>$J21*InputT!BC24</f>
        <v>0</v>
      </c>
      <c r="BB21" s="68">
        <f>$J21*InputT!BD24</f>
        <v>0</v>
      </c>
      <c r="BC21" s="68">
        <f>$J21*InputT!BE24</f>
        <v>0</v>
      </c>
      <c r="BD21" s="68">
        <f>$J21*InputT!BF24</f>
        <v>0</v>
      </c>
      <c r="BE21" s="68">
        <f>$J21*InputT!BG24</f>
        <v>0</v>
      </c>
      <c r="BF21" s="68">
        <f>$J21*InputT!BH24</f>
        <v>0</v>
      </c>
      <c r="BG21" s="68">
        <f>$J21*InputT!BI24</f>
        <v>0</v>
      </c>
      <c r="BH21" s="68">
        <f>$J21*InputT!BJ24</f>
        <v>0</v>
      </c>
      <c r="BI21" s="68">
        <f>$J21*InputT!BK24</f>
        <v>0</v>
      </c>
      <c r="BJ21" s="68">
        <f>$J21*InputT!BL24</f>
        <v>0</v>
      </c>
      <c r="BK21" s="68">
        <f>$J21*InputT!BM24</f>
        <v>0</v>
      </c>
      <c r="BL21" s="68">
        <f>$J21*InputT!BN24</f>
        <v>0</v>
      </c>
      <c r="BM21" s="68">
        <f>$J21*InputT!BO24</f>
        <v>0</v>
      </c>
      <c r="BN21" s="68">
        <f>$J21*InputT!BP24</f>
        <v>0</v>
      </c>
      <c r="BO21" s="68">
        <f>$J21*InputT!BQ24</f>
        <v>0</v>
      </c>
      <c r="BP21" s="68">
        <f>$J21*InputT!BR24</f>
        <v>0</v>
      </c>
      <c r="BQ21" s="68">
        <f>$J21*InputT!BS24</f>
        <v>0</v>
      </c>
      <c r="BR21" s="68">
        <f>$J21*InputT!BT24</f>
        <v>0</v>
      </c>
      <c r="BS21" s="68">
        <f>$J21*InputT!BU24</f>
        <v>0</v>
      </c>
      <c r="BT21" s="68">
        <f>$J21*InputT!BV24</f>
        <v>0</v>
      </c>
      <c r="BU21" s="68">
        <f>$J21*InputT!BW24</f>
        <v>0</v>
      </c>
      <c r="BV21" s="68">
        <f>$J21*InputT!BX24</f>
        <v>0</v>
      </c>
      <c r="BW21" s="68">
        <f>$J21*InputT!BY24</f>
        <v>0</v>
      </c>
      <c r="BX21" s="68">
        <f>$J21*InputT!BZ24</f>
        <v>0</v>
      </c>
      <c r="BY21" s="68">
        <f>$J21*InputT!CA24</f>
        <v>0</v>
      </c>
      <c r="BZ21" s="68">
        <f>$J21*InputT!CB24</f>
        <v>0</v>
      </c>
      <c r="CA21" s="68">
        <f>$J21*InputT!CC24</f>
        <v>0</v>
      </c>
      <c r="CB21" s="68">
        <f>$J21*InputT!CD24</f>
        <v>0</v>
      </c>
      <c r="CC21" s="68">
        <f>$J21*InputT!CE24</f>
        <v>0</v>
      </c>
      <c r="CD21" s="68">
        <f>$J21*InputT!CF24</f>
        <v>0</v>
      </c>
      <c r="CE21" s="68">
        <f>$J21*InputT!CG24</f>
        <v>0</v>
      </c>
      <c r="CF21" s="68">
        <f>$J21*InputT!CH24</f>
        <v>0</v>
      </c>
      <c r="CG21" s="68">
        <f>$J21*InputT!CI24</f>
        <v>0</v>
      </c>
      <c r="CH21" s="68">
        <f>$J21*InputT!CJ24</f>
        <v>0</v>
      </c>
      <c r="CI21" s="68">
        <f>$J21*InputT!CK24</f>
        <v>0</v>
      </c>
      <c r="CJ21" s="68">
        <f>$J21*InputT!CL24</f>
        <v>0</v>
      </c>
      <c r="CK21" s="68">
        <f>$J21*InputT!CM24</f>
        <v>0</v>
      </c>
      <c r="CL21" s="68">
        <f>$J21*InputT!CN24</f>
        <v>0</v>
      </c>
      <c r="CM21" s="68">
        <f>$J21*InputT!CO24</f>
        <v>0</v>
      </c>
      <c r="CN21" s="68">
        <f>$J21*InputT!CP24</f>
        <v>0</v>
      </c>
      <c r="CO21" s="68">
        <f>$J21*InputT!CQ24</f>
        <v>0</v>
      </c>
      <c r="CP21" s="68">
        <f>$J21*InputT!CR24</f>
        <v>0</v>
      </c>
      <c r="CQ21" s="68">
        <f>$J21*InputT!CS24</f>
        <v>0</v>
      </c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</row>
    <row r="22" spans="1:106" ht="15" x14ac:dyDescent="0.25">
      <c r="C22" t="str">
        <f>InputC!C29</f>
        <v>[Spare]</v>
      </c>
      <c r="H22" s="54" t="s">
        <v>3</v>
      </c>
      <c r="J22" s="85">
        <f>InputC!K29</f>
        <v>0</v>
      </c>
      <c r="N22" s="25">
        <f t="shared" si="3"/>
        <v>0</v>
      </c>
      <c r="O22" s="10"/>
      <c r="P22" s="68">
        <f>$J22*InputT!R25</f>
        <v>0</v>
      </c>
      <c r="Q22" s="68">
        <f>$J22*InputT!S25</f>
        <v>0</v>
      </c>
      <c r="R22" s="68">
        <f>$J22*InputT!T25</f>
        <v>0</v>
      </c>
      <c r="S22" s="68">
        <f>$J22*InputT!U25</f>
        <v>0</v>
      </c>
      <c r="T22" s="68">
        <f>$J22*InputT!V25</f>
        <v>0</v>
      </c>
      <c r="U22" s="68">
        <f>$J22*InputT!W25</f>
        <v>0</v>
      </c>
      <c r="V22" s="68">
        <f>$J22*InputT!X25</f>
        <v>0</v>
      </c>
      <c r="W22" s="68">
        <f>$J22*InputT!Y25</f>
        <v>0</v>
      </c>
      <c r="X22" s="68">
        <f>$J22*InputT!Z25</f>
        <v>0</v>
      </c>
      <c r="Y22" s="68">
        <f>$J22*InputT!AA25</f>
        <v>0</v>
      </c>
      <c r="Z22" s="68">
        <f>$J22*InputT!AB25</f>
        <v>0</v>
      </c>
      <c r="AA22" s="68">
        <f>$J22*InputT!AC25</f>
        <v>0</v>
      </c>
      <c r="AB22" s="68">
        <f>$J22*InputT!AD25</f>
        <v>0</v>
      </c>
      <c r="AC22" s="68">
        <f>$J22*InputT!AE25</f>
        <v>0</v>
      </c>
      <c r="AD22" s="68">
        <f>$J22*InputT!AF25</f>
        <v>0</v>
      </c>
      <c r="AE22" s="68">
        <f>$J22*InputT!AG25</f>
        <v>0</v>
      </c>
      <c r="AF22" s="68">
        <f>$J22*InputT!AH25</f>
        <v>0</v>
      </c>
      <c r="AG22" s="68">
        <f>$J22*InputT!AI25</f>
        <v>0</v>
      </c>
      <c r="AH22" s="68">
        <f>$J22*InputT!AJ25</f>
        <v>0</v>
      </c>
      <c r="AI22" s="68">
        <f>$J22*InputT!AK25</f>
        <v>0</v>
      </c>
      <c r="AJ22" s="68">
        <f>$J22*InputT!AL25</f>
        <v>0</v>
      </c>
      <c r="AK22" s="68">
        <f>$J22*InputT!AM25</f>
        <v>0</v>
      </c>
      <c r="AL22" s="68">
        <f>$J22*InputT!AN25</f>
        <v>0</v>
      </c>
      <c r="AM22" s="68">
        <f>$J22*InputT!AO25</f>
        <v>0</v>
      </c>
      <c r="AN22" s="68">
        <f>$J22*InputT!AP25</f>
        <v>0</v>
      </c>
      <c r="AO22" s="68">
        <f>$J22*InputT!AQ25</f>
        <v>0</v>
      </c>
      <c r="AP22" s="68">
        <f>$J22*InputT!AR25</f>
        <v>0</v>
      </c>
      <c r="AQ22" s="68">
        <f>$J22*InputT!AS25</f>
        <v>0</v>
      </c>
      <c r="AR22" s="68">
        <f>$J22*InputT!AT25</f>
        <v>0</v>
      </c>
      <c r="AS22" s="68">
        <f>$J22*InputT!AU25</f>
        <v>0</v>
      </c>
      <c r="AT22" s="68">
        <f>$J22*InputT!AV25</f>
        <v>0</v>
      </c>
      <c r="AU22" s="68">
        <f>$J22*InputT!AW25</f>
        <v>0</v>
      </c>
      <c r="AV22" s="68">
        <f>$J22*InputT!AX25</f>
        <v>0</v>
      </c>
      <c r="AW22" s="68">
        <f>$J22*InputT!AY25</f>
        <v>0</v>
      </c>
      <c r="AX22" s="68">
        <f>$J22*InputT!AZ25</f>
        <v>0</v>
      </c>
      <c r="AY22" s="68">
        <f>$J22*InputT!BA25</f>
        <v>0</v>
      </c>
      <c r="AZ22" s="68">
        <f>$J22*InputT!BB25</f>
        <v>0</v>
      </c>
      <c r="BA22" s="68">
        <f>$J22*InputT!BC25</f>
        <v>0</v>
      </c>
      <c r="BB22" s="68">
        <f>$J22*InputT!BD25</f>
        <v>0</v>
      </c>
      <c r="BC22" s="68">
        <f>$J22*InputT!BE25</f>
        <v>0</v>
      </c>
      <c r="BD22" s="68">
        <f>$J22*InputT!BF25</f>
        <v>0</v>
      </c>
      <c r="BE22" s="68">
        <f>$J22*InputT!BG25</f>
        <v>0</v>
      </c>
      <c r="BF22" s="68">
        <f>$J22*InputT!BH25</f>
        <v>0</v>
      </c>
      <c r="BG22" s="68">
        <f>$J22*InputT!BI25</f>
        <v>0</v>
      </c>
      <c r="BH22" s="68">
        <f>$J22*InputT!BJ25</f>
        <v>0</v>
      </c>
      <c r="BI22" s="68">
        <f>$J22*InputT!BK25</f>
        <v>0</v>
      </c>
      <c r="BJ22" s="68">
        <f>$J22*InputT!BL25</f>
        <v>0</v>
      </c>
      <c r="BK22" s="68">
        <f>$J22*InputT!BM25</f>
        <v>0</v>
      </c>
      <c r="BL22" s="68">
        <f>$J22*InputT!BN25</f>
        <v>0</v>
      </c>
      <c r="BM22" s="68">
        <f>$J22*InputT!BO25</f>
        <v>0</v>
      </c>
      <c r="BN22" s="68">
        <f>$J22*InputT!BP25</f>
        <v>0</v>
      </c>
      <c r="BO22" s="68">
        <f>$J22*InputT!BQ25</f>
        <v>0</v>
      </c>
      <c r="BP22" s="68">
        <f>$J22*InputT!BR25</f>
        <v>0</v>
      </c>
      <c r="BQ22" s="68">
        <f>$J22*InputT!BS25</f>
        <v>0</v>
      </c>
      <c r="BR22" s="68">
        <f>$J22*InputT!BT25</f>
        <v>0</v>
      </c>
      <c r="BS22" s="68">
        <f>$J22*InputT!BU25</f>
        <v>0</v>
      </c>
      <c r="BT22" s="68">
        <f>$J22*InputT!BV25</f>
        <v>0</v>
      </c>
      <c r="BU22" s="68">
        <f>$J22*InputT!BW25</f>
        <v>0</v>
      </c>
      <c r="BV22" s="68">
        <f>$J22*InputT!BX25</f>
        <v>0</v>
      </c>
      <c r="BW22" s="68">
        <f>$J22*InputT!BY25</f>
        <v>0</v>
      </c>
      <c r="BX22" s="68">
        <f>$J22*InputT!BZ25</f>
        <v>0</v>
      </c>
      <c r="BY22" s="68">
        <f>$J22*InputT!CA25</f>
        <v>0</v>
      </c>
      <c r="BZ22" s="68">
        <f>$J22*InputT!CB25</f>
        <v>0</v>
      </c>
      <c r="CA22" s="68">
        <f>$J22*InputT!CC25</f>
        <v>0</v>
      </c>
      <c r="CB22" s="68">
        <f>$J22*InputT!CD25</f>
        <v>0</v>
      </c>
      <c r="CC22" s="68">
        <f>$J22*InputT!CE25</f>
        <v>0</v>
      </c>
      <c r="CD22" s="68">
        <f>$J22*InputT!CF25</f>
        <v>0</v>
      </c>
      <c r="CE22" s="68">
        <f>$J22*InputT!CG25</f>
        <v>0</v>
      </c>
      <c r="CF22" s="68">
        <f>$J22*InputT!CH25</f>
        <v>0</v>
      </c>
      <c r="CG22" s="68">
        <f>$J22*InputT!CI25</f>
        <v>0</v>
      </c>
      <c r="CH22" s="68">
        <f>$J22*InputT!CJ25</f>
        <v>0</v>
      </c>
      <c r="CI22" s="68">
        <f>$J22*InputT!CK25</f>
        <v>0</v>
      </c>
      <c r="CJ22" s="68">
        <f>$J22*InputT!CL25</f>
        <v>0</v>
      </c>
      <c r="CK22" s="68">
        <f>$J22*InputT!CM25</f>
        <v>0</v>
      </c>
      <c r="CL22" s="68">
        <f>$J22*InputT!CN25</f>
        <v>0</v>
      </c>
      <c r="CM22" s="68">
        <f>$J22*InputT!CO25</f>
        <v>0</v>
      </c>
      <c r="CN22" s="68">
        <f>$J22*InputT!CP25</f>
        <v>0</v>
      </c>
      <c r="CO22" s="68">
        <f>$J22*InputT!CQ25</f>
        <v>0</v>
      </c>
      <c r="CP22" s="68">
        <f>$J22*InputT!CR25</f>
        <v>0</v>
      </c>
      <c r="CQ22" s="68">
        <f>$J22*InputT!CS25</f>
        <v>0</v>
      </c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</row>
    <row r="23" spans="1:106" ht="15" x14ac:dyDescent="0.25">
      <c r="C23" t="str">
        <f>InputC!C30</f>
        <v>[Spare]</v>
      </c>
      <c r="H23" s="54" t="s">
        <v>3</v>
      </c>
      <c r="J23" s="85">
        <f>InputC!K30</f>
        <v>0</v>
      </c>
      <c r="N23" s="25">
        <f t="shared" si="3"/>
        <v>0</v>
      </c>
      <c r="O23" s="10"/>
      <c r="P23" s="68">
        <f>$J23*InputT!R40</f>
        <v>0</v>
      </c>
      <c r="Q23" s="68">
        <f>$J23*InputT!S40</f>
        <v>0</v>
      </c>
      <c r="R23" s="68">
        <f>$J23*InputT!T40</f>
        <v>0</v>
      </c>
      <c r="S23" s="68">
        <f>$J23*InputT!U40</f>
        <v>0</v>
      </c>
      <c r="T23" s="68">
        <f>$J23*InputT!V40</f>
        <v>0</v>
      </c>
      <c r="U23" s="68">
        <f>$J23*InputT!W40</f>
        <v>0</v>
      </c>
      <c r="V23" s="68">
        <f>$J23*InputT!X40</f>
        <v>0</v>
      </c>
      <c r="W23" s="68">
        <f>$J23*InputT!Y40</f>
        <v>0</v>
      </c>
      <c r="X23" s="68">
        <f>$J23*InputT!Z40</f>
        <v>0</v>
      </c>
      <c r="Y23" s="68">
        <f>$J23*InputT!AA40</f>
        <v>0</v>
      </c>
      <c r="Z23" s="68">
        <f>$J23*InputT!AB40</f>
        <v>0</v>
      </c>
      <c r="AA23" s="68">
        <f>$J23*InputT!AC40</f>
        <v>0</v>
      </c>
      <c r="AB23" s="68">
        <f>$J23*InputT!AD40</f>
        <v>0</v>
      </c>
      <c r="AC23" s="68">
        <f>$J23*InputT!AE40</f>
        <v>0</v>
      </c>
      <c r="AD23" s="68">
        <f>$J23*InputT!AF40</f>
        <v>0</v>
      </c>
      <c r="AE23" s="68">
        <f>$J23*InputT!AG40</f>
        <v>0</v>
      </c>
      <c r="AF23" s="68">
        <f>$J23*InputT!AH40</f>
        <v>0</v>
      </c>
      <c r="AG23" s="68">
        <f>$J23*InputT!AI40</f>
        <v>0</v>
      </c>
      <c r="AH23" s="68">
        <f>$J23*InputT!AJ40</f>
        <v>0</v>
      </c>
      <c r="AI23" s="68">
        <f>$J23*InputT!AK40</f>
        <v>0</v>
      </c>
      <c r="AJ23" s="68">
        <f>$J23*InputT!AL40</f>
        <v>0</v>
      </c>
      <c r="AK23" s="68">
        <f>$J23*InputT!AM40</f>
        <v>0</v>
      </c>
      <c r="AL23" s="68">
        <f>$J23*InputT!AN40</f>
        <v>0</v>
      </c>
      <c r="AM23" s="68">
        <f>$J23*InputT!AO40</f>
        <v>0</v>
      </c>
      <c r="AN23" s="68">
        <f>$J23*InputT!AP40</f>
        <v>0</v>
      </c>
      <c r="AO23" s="68">
        <f>$J23*InputT!AQ40</f>
        <v>0</v>
      </c>
      <c r="AP23" s="68">
        <f>$J23*InputT!AR40</f>
        <v>0</v>
      </c>
      <c r="AQ23" s="68">
        <f>$J23*InputT!AS40</f>
        <v>0</v>
      </c>
      <c r="AR23" s="68">
        <f>$J23*InputT!AT40</f>
        <v>0</v>
      </c>
      <c r="AS23" s="68">
        <f>$J23*InputT!AU40</f>
        <v>0</v>
      </c>
      <c r="AT23" s="68">
        <f>$J23*InputT!AV40</f>
        <v>0</v>
      </c>
      <c r="AU23" s="68">
        <f>$J23*InputT!AW40</f>
        <v>0</v>
      </c>
      <c r="AV23" s="68">
        <f>$J23*InputT!AX40</f>
        <v>0</v>
      </c>
      <c r="AW23" s="68">
        <f>$J23*InputT!AY40</f>
        <v>0</v>
      </c>
      <c r="AX23" s="68">
        <f>$J23*InputT!AZ40</f>
        <v>0</v>
      </c>
      <c r="AY23" s="68">
        <f>$J23*InputT!BA40</f>
        <v>0</v>
      </c>
      <c r="AZ23" s="68">
        <f>$J23*InputT!BB40</f>
        <v>0</v>
      </c>
      <c r="BA23" s="68">
        <f>$J23*InputT!BC40</f>
        <v>0</v>
      </c>
      <c r="BB23" s="68">
        <f>$J23*InputT!BD40</f>
        <v>0</v>
      </c>
      <c r="BC23" s="68">
        <f>$J23*InputT!BE40</f>
        <v>0</v>
      </c>
      <c r="BD23" s="68">
        <f>$J23*InputT!BF40</f>
        <v>0</v>
      </c>
      <c r="BE23" s="68">
        <f>$J23*InputT!BG40</f>
        <v>0</v>
      </c>
      <c r="BF23" s="68">
        <f>$J23*InputT!BH40</f>
        <v>0</v>
      </c>
      <c r="BG23" s="68">
        <f>$J23*InputT!BI40</f>
        <v>0</v>
      </c>
      <c r="BH23" s="68">
        <f>$J23*InputT!BJ40</f>
        <v>0</v>
      </c>
      <c r="BI23" s="68">
        <f>$J23*InputT!BK40</f>
        <v>0</v>
      </c>
      <c r="BJ23" s="68">
        <f>$J23*InputT!BL40</f>
        <v>0</v>
      </c>
      <c r="BK23" s="68">
        <f>$J23*InputT!BM40</f>
        <v>0</v>
      </c>
      <c r="BL23" s="68">
        <f>$J23*InputT!BN40</f>
        <v>0</v>
      </c>
      <c r="BM23" s="68">
        <f>$J23*InputT!BO40</f>
        <v>0</v>
      </c>
      <c r="BN23" s="68">
        <f>$J23*InputT!BP40</f>
        <v>0</v>
      </c>
      <c r="BO23" s="68">
        <f>$J23*InputT!BQ40</f>
        <v>0</v>
      </c>
      <c r="BP23" s="68">
        <f>$J23*InputT!BR40</f>
        <v>0</v>
      </c>
      <c r="BQ23" s="68">
        <f>$J23*InputT!BS40</f>
        <v>0</v>
      </c>
      <c r="BR23" s="68">
        <f>$J23*InputT!BT40</f>
        <v>0</v>
      </c>
      <c r="BS23" s="68">
        <f>$J23*InputT!BU40</f>
        <v>0</v>
      </c>
      <c r="BT23" s="68">
        <f>$J23*InputT!BV40</f>
        <v>0</v>
      </c>
      <c r="BU23" s="68">
        <f>$J23*InputT!BW40</f>
        <v>0</v>
      </c>
      <c r="BV23" s="68">
        <f>$J23*InputT!BX40</f>
        <v>0</v>
      </c>
      <c r="BW23" s="68">
        <f>$J23*InputT!BY40</f>
        <v>0</v>
      </c>
      <c r="BX23" s="68">
        <f>$J23*InputT!BZ40</f>
        <v>0</v>
      </c>
      <c r="BY23" s="68">
        <f>$J23*InputT!CA40</f>
        <v>0</v>
      </c>
      <c r="BZ23" s="68">
        <f>$J23*InputT!CB40</f>
        <v>0</v>
      </c>
      <c r="CA23" s="68">
        <f>$J23*InputT!CC40</f>
        <v>0</v>
      </c>
      <c r="CB23" s="68">
        <f>$J23*InputT!CD40</f>
        <v>0</v>
      </c>
      <c r="CC23" s="68">
        <f>$J23*InputT!CE40</f>
        <v>0</v>
      </c>
      <c r="CD23" s="68">
        <f>$J23*InputT!CF40</f>
        <v>0</v>
      </c>
      <c r="CE23" s="68">
        <f>$J23*InputT!CG40</f>
        <v>0</v>
      </c>
      <c r="CF23" s="68">
        <f>$J23*InputT!CH40</f>
        <v>0</v>
      </c>
      <c r="CG23" s="68">
        <f>$J23*InputT!CI40</f>
        <v>0</v>
      </c>
      <c r="CH23" s="68">
        <f>$J23*InputT!CJ40</f>
        <v>0</v>
      </c>
      <c r="CI23" s="68">
        <f>$J23*InputT!CK40</f>
        <v>0</v>
      </c>
      <c r="CJ23" s="68">
        <f>$J23*InputT!CL40</f>
        <v>0</v>
      </c>
      <c r="CK23" s="68">
        <f>$J23*InputT!CM40</f>
        <v>0</v>
      </c>
      <c r="CL23" s="68">
        <f>$J23*InputT!CN40</f>
        <v>0</v>
      </c>
      <c r="CM23" s="68">
        <f>$J23*InputT!CO40</f>
        <v>0</v>
      </c>
      <c r="CN23" s="68">
        <f>$J23*InputT!CP40</f>
        <v>0</v>
      </c>
      <c r="CO23" s="68">
        <f>$J23*InputT!CQ40</f>
        <v>0</v>
      </c>
      <c r="CP23" s="68">
        <f>$J23*InputT!CR40</f>
        <v>0</v>
      </c>
      <c r="CQ23" s="68">
        <f>$J23*InputT!CS40</f>
        <v>0</v>
      </c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</row>
    <row r="24" spans="1:106" ht="15" x14ac:dyDescent="0.25">
      <c r="C24" s="27" t="str">
        <f>InputC!C31</f>
        <v>[Spare]</v>
      </c>
      <c r="D24" s="27"/>
      <c r="E24" s="27"/>
      <c r="F24" s="27"/>
      <c r="G24" s="27"/>
      <c r="H24" s="160" t="s">
        <v>3</v>
      </c>
      <c r="I24" s="27"/>
      <c r="J24" s="39">
        <f>InputC!K31</f>
        <v>0</v>
      </c>
      <c r="K24" s="27"/>
      <c r="L24" s="27"/>
      <c r="M24" s="27"/>
      <c r="N24" s="32">
        <f t="shared" si="3"/>
        <v>0</v>
      </c>
      <c r="O24" s="161"/>
      <c r="P24" s="170">
        <f>$J24*InputT!R41</f>
        <v>0</v>
      </c>
      <c r="Q24" s="170">
        <f>$J24*InputT!S41</f>
        <v>0</v>
      </c>
      <c r="R24" s="170">
        <f>$J24*InputT!T41</f>
        <v>0</v>
      </c>
      <c r="S24" s="170">
        <f>$J24*InputT!U41</f>
        <v>0</v>
      </c>
      <c r="T24" s="170">
        <f>$J24*InputT!V41</f>
        <v>0</v>
      </c>
      <c r="U24" s="170">
        <f>$J24*InputT!W41</f>
        <v>0</v>
      </c>
      <c r="V24" s="170">
        <f>$J24*InputT!X41</f>
        <v>0</v>
      </c>
      <c r="W24" s="170">
        <f>$J24*InputT!Y41</f>
        <v>0</v>
      </c>
      <c r="X24" s="170">
        <f>$J24*InputT!Z41</f>
        <v>0</v>
      </c>
      <c r="Y24" s="170">
        <f>$J24*InputT!AA41</f>
        <v>0</v>
      </c>
      <c r="Z24" s="170">
        <f>$J24*InputT!AB41</f>
        <v>0</v>
      </c>
      <c r="AA24" s="170">
        <f>$J24*InputT!AC41</f>
        <v>0</v>
      </c>
      <c r="AB24" s="170">
        <f>$J24*InputT!AD41</f>
        <v>0</v>
      </c>
      <c r="AC24" s="170">
        <f>$J24*InputT!AE41</f>
        <v>0</v>
      </c>
      <c r="AD24" s="170">
        <f>$J24*InputT!AF41</f>
        <v>0</v>
      </c>
      <c r="AE24" s="170">
        <f>$J24*InputT!AG41</f>
        <v>0</v>
      </c>
      <c r="AF24" s="170">
        <f>$J24*InputT!AH41</f>
        <v>0</v>
      </c>
      <c r="AG24" s="170">
        <f>$J24*InputT!AI41</f>
        <v>0</v>
      </c>
      <c r="AH24" s="170">
        <f>$J24*InputT!AJ41</f>
        <v>0</v>
      </c>
      <c r="AI24" s="170">
        <f>$J24*InputT!AK41</f>
        <v>0</v>
      </c>
      <c r="AJ24" s="170">
        <f>$J24*InputT!AL41</f>
        <v>0</v>
      </c>
      <c r="AK24" s="170">
        <f>$J24*InputT!AM41</f>
        <v>0</v>
      </c>
      <c r="AL24" s="170">
        <f>$J24*InputT!AN41</f>
        <v>0</v>
      </c>
      <c r="AM24" s="170">
        <f>$J24*InputT!AO41</f>
        <v>0</v>
      </c>
      <c r="AN24" s="170">
        <f>$J24*InputT!AP41</f>
        <v>0</v>
      </c>
      <c r="AO24" s="170">
        <f>$J24*InputT!AQ41</f>
        <v>0</v>
      </c>
      <c r="AP24" s="170">
        <f>$J24*InputT!AR41</f>
        <v>0</v>
      </c>
      <c r="AQ24" s="170">
        <f>$J24*InputT!AS41</f>
        <v>0</v>
      </c>
      <c r="AR24" s="170">
        <f>$J24*InputT!AT41</f>
        <v>0</v>
      </c>
      <c r="AS24" s="170">
        <f>$J24*InputT!AU41</f>
        <v>0</v>
      </c>
      <c r="AT24" s="170">
        <f>$J24*InputT!AV41</f>
        <v>0</v>
      </c>
      <c r="AU24" s="170">
        <f>$J24*InputT!AW41</f>
        <v>0</v>
      </c>
      <c r="AV24" s="170">
        <f>$J24*InputT!AX41</f>
        <v>0</v>
      </c>
      <c r="AW24" s="170">
        <f>$J24*InputT!AY41</f>
        <v>0</v>
      </c>
      <c r="AX24" s="170">
        <f>$J24*InputT!AZ41</f>
        <v>0</v>
      </c>
      <c r="AY24" s="170">
        <f>$J24*InputT!BA41</f>
        <v>0</v>
      </c>
      <c r="AZ24" s="170">
        <f>$J24*InputT!BB41</f>
        <v>0</v>
      </c>
      <c r="BA24" s="170">
        <f>$J24*InputT!BC41</f>
        <v>0</v>
      </c>
      <c r="BB24" s="170">
        <f>$J24*InputT!BD41</f>
        <v>0</v>
      </c>
      <c r="BC24" s="170">
        <f>$J24*InputT!BE41</f>
        <v>0</v>
      </c>
      <c r="BD24" s="170">
        <f>$J24*InputT!BF41</f>
        <v>0</v>
      </c>
      <c r="BE24" s="170">
        <f>$J24*InputT!BG41</f>
        <v>0</v>
      </c>
      <c r="BF24" s="170">
        <f>$J24*InputT!BH41</f>
        <v>0</v>
      </c>
      <c r="BG24" s="170">
        <f>$J24*InputT!BI41</f>
        <v>0</v>
      </c>
      <c r="BH24" s="170">
        <f>$J24*InputT!BJ41</f>
        <v>0</v>
      </c>
      <c r="BI24" s="170">
        <f>$J24*InputT!BK41</f>
        <v>0</v>
      </c>
      <c r="BJ24" s="170">
        <f>$J24*InputT!BL41</f>
        <v>0</v>
      </c>
      <c r="BK24" s="170">
        <f>$J24*InputT!BM41</f>
        <v>0</v>
      </c>
      <c r="BL24" s="170">
        <f>$J24*InputT!BN41</f>
        <v>0</v>
      </c>
      <c r="BM24" s="170">
        <f>$J24*InputT!BO41</f>
        <v>0</v>
      </c>
      <c r="BN24" s="170">
        <f>$J24*InputT!BP41</f>
        <v>0</v>
      </c>
      <c r="BO24" s="170">
        <f>$J24*InputT!BQ41</f>
        <v>0</v>
      </c>
      <c r="BP24" s="170">
        <f>$J24*InputT!BR41</f>
        <v>0</v>
      </c>
      <c r="BQ24" s="170">
        <f>$J24*InputT!BS41</f>
        <v>0</v>
      </c>
      <c r="BR24" s="170">
        <f>$J24*InputT!BT41</f>
        <v>0</v>
      </c>
      <c r="BS24" s="170">
        <f>$J24*InputT!BU41</f>
        <v>0</v>
      </c>
      <c r="BT24" s="170">
        <f>$J24*InputT!BV41</f>
        <v>0</v>
      </c>
      <c r="BU24" s="170">
        <f>$J24*InputT!BW41</f>
        <v>0</v>
      </c>
      <c r="BV24" s="170">
        <f>$J24*InputT!BX41</f>
        <v>0</v>
      </c>
      <c r="BW24" s="170">
        <f>$J24*InputT!BY41</f>
        <v>0</v>
      </c>
      <c r="BX24" s="170">
        <f>$J24*InputT!BZ41</f>
        <v>0</v>
      </c>
      <c r="BY24" s="170">
        <f>$J24*InputT!CA41</f>
        <v>0</v>
      </c>
      <c r="BZ24" s="170">
        <f>$J24*InputT!CB41</f>
        <v>0</v>
      </c>
      <c r="CA24" s="170">
        <f>$J24*InputT!CC41</f>
        <v>0</v>
      </c>
      <c r="CB24" s="170">
        <f>$J24*InputT!CD41</f>
        <v>0</v>
      </c>
      <c r="CC24" s="170">
        <f>$J24*InputT!CE41</f>
        <v>0</v>
      </c>
      <c r="CD24" s="170">
        <f>$J24*InputT!CF41</f>
        <v>0</v>
      </c>
      <c r="CE24" s="170">
        <f>$J24*InputT!CG41</f>
        <v>0</v>
      </c>
      <c r="CF24" s="170">
        <f>$J24*InputT!CH41</f>
        <v>0</v>
      </c>
      <c r="CG24" s="170">
        <f>$J24*InputT!CI41</f>
        <v>0</v>
      </c>
      <c r="CH24" s="170">
        <f>$J24*InputT!CJ41</f>
        <v>0</v>
      </c>
      <c r="CI24" s="170">
        <f>$J24*InputT!CK41</f>
        <v>0</v>
      </c>
      <c r="CJ24" s="170">
        <f>$J24*InputT!CL41</f>
        <v>0</v>
      </c>
      <c r="CK24" s="170">
        <f>$J24*InputT!CM41</f>
        <v>0</v>
      </c>
      <c r="CL24" s="170">
        <f>$J24*InputT!CN41</f>
        <v>0</v>
      </c>
      <c r="CM24" s="170">
        <f>$J24*InputT!CO41</f>
        <v>0</v>
      </c>
      <c r="CN24" s="170">
        <f>$J24*InputT!CP41</f>
        <v>0</v>
      </c>
      <c r="CO24" s="170">
        <f>$J24*InputT!CQ41</f>
        <v>0</v>
      </c>
      <c r="CP24" s="170">
        <f>$J24*InputT!CR41</f>
        <v>0</v>
      </c>
      <c r="CQ24" s="170">
        <f>$J24*InputT!CS41</f>
        <v>0</v>
      </c>
      <c r="CR24" s="161"/>
      <c r="CS24" s="161"/>
      <c r="CT24" s="161"/>
      <c r="CU24" s="161"/>
      <c r="CV24" s="161"/>
      <c r="CW24" s="161"/>
      <c r="CX24" s="161"/>
      <c r="CY24" s="161"/>
      <c r="CZ24" s="161"/>
      <c r="DA24" s="161"/>
      <c r="DB24" s="161"/>
    </row>
    <row r="25" spans="1:106" ht="15" x14ac:dyDescent="0.25">
      <c r="H25" s="54" t="s">
        <v>3</v>
      </c>
      <c r="N25" s="35">
        <f t="shared" si="3"/>
        <v>120</v>
      </c>
      <c r="O25" s="51"/>
      <c r="P25" s="171">
        <f t="shared" ref="P25:AU25" si="4">SUM(P21:P24)</f>
        <v>61.2</v>
      </c>
      <c r="Q25" s="171">
        <f t="shared" si="4"/>
        <v>34.799999999999997</v>
      </c>
      <c r="R25" s="171">
        <f t="shared" si="4"/>
        <v>23.999999999999993</v>
      </c>
      <c r="S25" s="171">
        <f t="shared" si="4"/>
        <v>0</v>
      </c>
      <c r="T25" s="171">
        <f t="shared" si="4"/>
        <v>0</v>
      </c>
      <c r="U25" s="171">
        <f t="shared" si="4"/>
        <v>0</v>
      </c>
      <c r="V25" s="171">
        <f t="shared" si="4"/>
        <v>0</v>
      </c>
      <c r="W25" s="171">
        <f t="shared" si="4"/>
        <v>0</v>
      </c>
      <c r="X25" s="171">
        <f t="shared" si="4"/>
        <v>0</v>
      </c>
      <c r="Y25" s="171">
        <f t="shared" si="4"/>
        <v>0</v>
      </c>
      <c r="Z25" s="171">
        <f t="shared" si="4"/>
        <v>0</v>
      </c>
      <c r="AA25" s="171">
        <f t="shared" si="4"/>
        <v>0</v>
      </c>
      <c r="AB25" s="171">
        <f t="shared" si="4"/>
        <v>0</v>
      </c>
      <c r="AC25" s="171">
        <f t="shared" si="4"/>
        <v>0</v>
      </c>
      <c r="AD25" s="171">
        <f t="shared" si="4"/>
        <v>0</v>
      </c>
      <c r="AE25" s="171">
        <f t="shared" si="4"/>
        <v>0</v>
      </c>
      <c r="AF25" s="171">
        <f t="shared" si="4"/>
        <v>0</v>
      </c>
      <c r="AG25" s="171">
        <f t="shared" si="4"/>
        <v>0</v>
      </c>
      <c r="AH25" s="171">
        <f t="shared" si="4"/>
        <v>0</v>
      </c>
      <c r="AI25" s="171">
        <f t="shared" si="4"/>
        <v>0</v>
      </c>
      <c r="AJ25" s="171">
        <f t="shared" si="4"/>
        <v>0</v>
      </c>
      <c r="AK25" s="171">
        <f t="shared" si="4"/>
        <v>0</v>
      </c>
      <c r="AL25" s="171">
        <f t="shared" si="4"/>
        <v>0</v>
      </c>
      <c r="AM25" s="171">
        <f t="shared" si="4"/>
        <v>0</v>
      </c>
      <c r="AN25" s="171">
        <f t="shared" si="4"/>
        <v>0</v>
      </c>
      <c r="AO25" s="171">
        <f t="shared" si="4"/>
        <v>0</v>
      </c>
      <c r="AP25" s="171">
        <f t="shared" si="4"/>
        <v>0</v>
      </c>
      <c r="AQ25" s="171">
        <f t="shared" si="4"/>
        <v>0</v>
      </c>
      <c r="AR25" s="171">
        <f t="shared" si="4"/>
        <v>0</v>
      </c>
      <c r="AS25" s="171">
        <f t="shared" si="4"/>
        <v>0</v>
      </c>
      <c r="AT25" s="171">
        <f t="shared" si="4"/>
        <v>0</v>
      </c>
      <c r="AU25" s="171">
        <f t="shared" si="4"/>
        <v>0</v>
      </c>
      <c r="AV25" s="171">
        <f t="shared" ref="AV25:CA25" si="5">SUM(AV21:AV24)</f>
        <v>0</v>
      </c>
      <c r="AW25" s="171">
        <f t="shared" si="5"/>
        <v>0</v>
      </c>
      <c r="AX25" s="171">
        <f t="shared" si="5"/>
        <v>0</v>
      </c>
      <c r="AY25" s="171">
        <f t="shared" si="5"/>
        <v>0</v>
      </c>
      <c r="AZ25" s="171">
        <f t="shared" si="5"/>
        <v>0</v>
      </c>
      <c r="BA25" s="171">
        <f t="shared" si="5"/>
        <v>0</v>
      </c>
      <c r="BB25" s="171">
        <f t="shared" si="5"/>
        <v>0</v>
      </c>
      <c r="BC25" s="171">
        <f t="shared" si="5"/>
        <v>0</v>
      </c>
      <c r="BD25" s="171">
        <f t="shared" si="5"/>
        <v>0</v>
      </c>
      <c r="BE25" s="171">
        <f t="shared" si="5"/>
        <v>0</v>
      </c>
      <c r="BF25" s="171">
        <f t="shared" si="5"/>
        <v>0</v>
      </c>
      <c r="BG25" s="171">
        <f t="shared" si="5"/>
        <v>0</v>
      </c>
      <c r="BH25" s="171">
        <f t="shared" si="5"/>
        <v>0</v>
      </c>
      <c r="BI25" s="171">
        <f t="shared" si="5"/>
        <v>0</v>
      </c>
      <c r="BJ25" s="171">
        <f t="shared" si="5"/>
        <v>0</v>
      </c>
      <c r="BK25" s="171">
        <f t="shared" si="5"/>
        <v>0</v>
      </c>
      <c r="BL25" s="171">
        <f t="shared" si="5"/>
        <v>0</v>
      </c>
      <c r="BM25" s="171">
        <f t="shared" si="5"/>
        <v>0</v>
      </c>
      <c r="BN25" s="171">
        <f t="shared" si="5"/>
        <v>0</v>
      </c>
      <c r="BO25" s="171">
        <f t="shared" si="5"/>
        <v>0</v>
      </c>
      <c r="BP25" s="171">
        <f t="shared" si="5"/>
        <v>0</v>
      </c>
      <c r="BQ25" s="171">
        <f t="shared" si="5"/>
        <v>0</v>
      </c>
      <c r="BR25" s="171">
        <f t="shared" si="5"/>
        <v>0</v>
      </c>
      <c r="BS25" s="171">
        <f t="shared" si="5"/>
        <v>0</v>
      </c>
      <c r="BT25" s="171">
        <f t="shared" si="5"/>
        <v>0</v>
      </c>
      <c r="BU25" s="171">
        <f t="shared" si="5"/>
        <v>0</v>
      </c>
      <c r="BV25" s="171">
        <f t="shared" si="5"/>
        <v>0</v>
      </c>
      <c r="BW25" s="171">
        <f t="shared" si="5"/>
        <v>0</v>
      </c>
      <c r="BX25" s="171">
        <f t="shared" si="5"/>
        <v>0</v>
      </c>
      <c r="BY25" s="171">
        <f t="shared" si="5"/>
        <v>0</v>
      </c>
      <c r="BZ25" s="171">
        <f t="shared" si="5"/>
        <v>0</v>
      </c>
      <c r="CA25" s="171">
        <f t="shared" si="5"/>
        <v>0</v>
      </c>
      <c r="CB25" s="171">
        <f t="shared" ref="CB25:CQ25" si="6">SUM(CB21:CB24)</f>
        <v>0</v>
      </c>
      <c r="CC25" s="171">
        <f t="shared" si="6"/>
        <v>0</v>
      </c>
      <c r="CD25" s="171">
        <f t="shared" si="6"/>
        <v>0</v>
      </c>
      <c r="CE25" s="171">
        <f t="shared" si="6"/>
        <v>0</v>
      </c>
      <c r="CF25" s="171">
        <f t="shared" si="6"/>
        <v>0</v>
      </c>
      <c r="CG25" s="171">
        <f t="shared" si="6"/>
        <v>0</v>
      </c>
      <c r="CH25" s="171">
        <f t="shared" si="6"/>
        <v>0</v>
      </c>
      <c r="CI25" s="171">
        <f t="shared" si="6"/>
        <v>0</v>
      </c>
      <c r="CJ25" s="171">
        <f t="shared" si="6"/>
        <v>0</v>
      </c>
      <c r="CK25" s="171">
        <f t="shared" si="6"/>
        <v>0</v>
      </c>
      <c r="CL25" s="171">
        <f t="shared" si="6"/>
        <v>0</v>
      </c>
      <c r="CM25" s="171">
        <f t="shared" si="6"/>
        <v>0</v>
      </c>
      <c r="CN25" s="171">
        <f t="shared" si="6"/>
        <v>0</v>
      </c>
      <c r="CO25" s="171">
        <f t="shared" si="6"/>
        <v>0</v>
      </c>
      <c r="CP25" s="171">
        <f t="shared" si="6"/>
        <v>0</v>
      </c>
      <c r="CQ25" s="171">
        <f t="shared" si="6"/>
        <v>0</v>
      </c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</row>
    <row r="26" spans="1:106" ht="15" x14ac:dyDescent="0.25">
      <c r="H26" s="54"/>
      <c r="J26" s="38" t="s">
        <v>6</v>
      </c>
      <c r="N26" s="19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8"/>
      <c r="BO26" s="68"/>
      <c r="BP26" s="68"/>
      <c r="BQ26" s="68"/>
      <c r="BR26" s="68"/>
      <c r="BS26" s="68"/>
      <c r="BT26" s="68"/>
      <c r="BU26" s="68"/>
      <c r="BV26" s="68"/>
      <c r="BW26" s="68"/>
      <c r="BX26" s="68"/>
      <c r="BY26" s="68"/>
      <c r="BZ26" s="68"/>
      <c r="CA26" s="68"/>
      <c r="CB26" s="68"/>
      <c r="CC26" s="68"/>
      <c r="CD26" s="68"/>
      <c r="CE26" s="68"/>
      <c r="CF26" s="68"/>
      <c r="CG26" s="68"/>
      <c r="CH26" s="68"/>
      <c r="CI26" s="68"/>
      <c r="CJ26" s="68"/>
      <c r="CK26" s="68"/>
      <c r="CL26" s="68"/>
      <c r="CM26" s="68"/>
      <c r="CN26" s="68"/>
      <c r="CO26" s="68"/>
      <c r="CP26" s="68"/>
      <c r="CQ26" s="68"/>
    </row>
    <row r="27" spans="1:106" ht="15" x14ac:dyDescent="0.25">
      <c r="C27" t="s">
        <v>100</v>
      </c>
      <c r="H27" s="54" t="s">
        <v>3</v>
      </c>
      <c r="J27" s="84" t="e">
        <f>InputC!#REF!</f>
        <v>#REF!</v>
      </c>
      <c r="N27" s="25" t="e">
        <f>SUM(P27:DB27)</f>
        <v>#REF!</v>
      </c>
      <c r="O27" s="10"/>
      <c r="P27" s="68" t="e">
        <f t="shared" ref="P27:AU27" si="7">P25*$J27</f>
        <v>#REF!</v>
      </c>
      <c r="Q27" s="68" t="e">
        <f t="shared" si="7"/>
        <v>#REF!</v>
      </c>
      <c r="R27" s="68" t="e">
        <f t="shared" si="7"/>
        <v>#REF!</v>
      </c>
      <c r="S27" s="68" t="e">
        <f t="shared" si="7"/>
        <v>#REF!</v>
      </c>
      <c r="T27" s="68" t="e">
        <f t="shared" si="7"/>
        <v>#REF!</v>
      </c>
      <c r="U27" s="68" t="e">
        <f t="shared" si="7"/>
        <v>#REF!</v>
      </c>
      <c r="V27" s="68" t="e">
        <f t="shared" si="7"/>
        <v>#REF!</v>
      </c>
      <c r="W27" s="68" t="e">
        <f t="shared" si="7"/>
        <v>#REF!</v>
      </c>
      <c r="X27" s="68" t="e">
        <f t="shared" si="7"/>
        <v>#REF!</v>
      </c>
      <c r="Y27" s="68" t="e">
        <f t="shared" si="7"/>
        <v>#REF!</v>
      </c>
      <c r="Z27" s="68" t="e">
        <f t="shared" si="7"/>
        <v>#REF!</v>
      </c>
      <c r="AA27" s="68" t="e">
        <f t="shared" si="7"/>
        <v>#REF!</v>
      </c>
      <c r="AB27" s="68" t="e">
        <f t="shared" si="7"/>
        <v>#REF!</v>
      </c>
      <c r="AC27" s="68" t="e">
        <f t="shared" si="7"/>
        <v>#REF!</v>
      </c>
      <c r="AD27" s="68" t="e">
        <f t="shared" si="7"/>
        <v>#REF!</v>
      </c>
      <c r="AE27" s="68" t="e">
        <f t="shared" si="7"/>
        <v>#REF!</v>
      </c>
      <c r="AF27" s="68" t="e">
        <f t="shared" si="7"/>
        <v>#REF!</v>
      </c>
      <c r="AG27" s="68" t="e">
        <f t="shared" si="7"/>
        <v>#REF!</v>
      </c>
      <c r="AH27" s="68" t="e">
        <f t="shared" si="7"/>
        <v>#REF!</v>
      </c>
      <c r="AI27" s="68" t="e">
        <f t="shared" si="7"/>
        <v>#REF!</v>
      </c>
      <c r="AJ27" s="68" t="e">
        <f t="shared" si="7"/>
        <v>#REF!</v>
      </c>
      <c r="AK27" s="68" t="e">
        <f t="shared" si="7"/>
        <v>#REF!</v>
      </c>
      <c r="AL27" s="68" t="e">
        <f t="shared" si="7"/>
        <v>#REF!</v>
      </c>
      <c r="AM27" s="68" t="e">
        <f t="shared" si="7"/>
        <v>#REF!</v>
      </c>
      <c r="AN27" s="68" t="e">
        <f t="shared" si="7"/>
        <v>#REF!</v>
      </c>
      <c r="AO27" s="68" t="e">
        <f t="shared" si="7"/>
        <v>#REF!</v>
      </c>
      <c r="AP27" s="68" t="e">
        <f t="shared" si="7"/>
        <v>#REF!</v>
      </c>
      <c r="AQ27" s="68" t="e">
        <f t="shared" si="7"/>
        <v>#REF!</v>
      </c>
      <c r="AR27" s="68" t="e">
        <f t="shared" si="7"/>
        <v>#REF!</v>
      </c>
      <c r="AS27" s="68" t="e">
        <f t="shared" si="7"/>
        <v>#REF!</v>
      </c>
      <c r="AT27" s="68" t="e">
        <f t="shared" si="7"/>
        <v>#REF!</v>
      </c>
      <c r="AU27" s="68" t="e">
        <f t="shared" si="7"/>
        <v>#REF!</v>
      </c>
      <c r="AV27" s="68" t="e">
        <f t="shared" ref="AV27:CA27" si="8">AV25*$J27</f>
        <v>#REF!</v>
      </c>
      <c r="AW27" s="68" t="e">
        <f t="shared" si="8"/>
        <v>#REF!</v>
      </c>
      <c r="AX27" s="68" t="e">
        <f t="shared" si="8"/>
        <v>#REF!</v>
      </c>
      <c r="AY27" s="68" t="e">
        <f t="shared" si="8"/>
        <v>#REF!</v>
      </c>
      <c r="AZ27" s="68" t="e">
        <f t="shared" si="8"/>
        <v>#REF!</v>
      </c>
      <c r="BA27" s="68" t="e">
        <f t="shared" si="8"/>
        <v>#REF!</v>
      </c>
      <c r="BB27" s="68" t="e">
        <f t="shared" si="8"/>
        <v>#REF!</v>
      </c>
      <c r="BC27" s="68" t="e">
        <f t="shared" si="8"/>
        <v>#REF!</v>
      </c>
      <c r="BD27" s="68" t="e">
        <f t="shared" si="8"/>
        <v>#REF!</v>
      </c>
      <c r="BE27" s="68" t="e">
        <f t="shared" si="8"/>
        <v>#REF!</v>
      </c>
      <c r="BF27" s="68" t="e">
        <f t="shared" si="8"/>
        <v>#REF!</v>
      </c>
      <c r="BG27" s="68" t="e">
        <f t="shared" si="8"/>
        <v>#REF!</v>
      </c>
      <c r="BH27" s="68" t="e">
        <f t="shared" si="8"/>
        <v>#REF!</v>
      </c>
      <c r="BI27" s="68" t="e">
        <f t="shared" si="8"/>
        <v>#REF!</v>
      </c>
      <c r="BJ27" s="68" t="e">
        <f t="shared" si="8"/>
        <v>#REF!</v>
      </c>
      <c r="BK27" s="68" t="e">
        <f t="shared" si="8"/>
        <v>#REF!</v>
      </c>
      <c r="BL27" s="68" t="e">
        <f t="shared" si="8"/>
        <v>#REF!</v>
      </c>
      <c r="BM27" s="68" t="e">
        <f t="shared" si="8"/>
        <v>#REF!</v>
      </c>
      <c r="BN27" s="68" t="e">
        <f t="shared" si="8"/>
        <v>#REF!</v>
      </c>
      <c r="BO27" s="68" t="e">
        <f t="shared" si="8"/>
        <v>#REF!</v>
      </c>
      <c r="BP27" s="68" t="e">
        <f t="shared" si="8"/>
        <v>#REF!</v>
      </c>
      <c r="BQ27" s="68" t="e">
        <f t="shared" si="8"/>
        <v>#REF!</v>
      </c>
      <c r="BR27" s="68" t="e">
        <f t="shared" si="8"/>
        <v>#REF!</v>
      </c>
      <c r="BS27" s="68" t="e">
        <f t="shared" si="8"/>
        <v>#REF!</v>
      </c>
      <c r="BT27" s="68" t="e">
        <f t="shared" si="8"/>
        <v>#REF!</v>
      </c>
      <c r="BU27" s="68" t="e">
        <f t="shared" si="8"/>
        <v>#REF!</v>
      </c>
      <c r="BV27" s="68" t="e">
        <f t="shared" si="8"/>
        <v>#REF!</v>
      </c>
      <c r="BW27" s="68" t="e">
        <f t="shared" si="8"/>
        <v>#REF!</v>
      </c>
      <c r="BX27" s="68" t="e">
        <f t="shared" si="8"/>
        <v>#REF!</v>
      </c>
      <c r="BY27" s="68" t="e">
        <f t="shared" si="8"/>
        <v>#REF!</v>
      </c>
      <c r="BZ27" s="68" t="e">
        <f t="shared" si="8"/>
        <v>#REF!</v>
      </c>
      <c r="CA27" s="68" t="e">
        <f t="shared" si="8"/>
        <v>#REF!</v>
      </c>
      <c r="CB27" s="68" t="e">
        <f t="shared" ref="CB27:CQ27" si="9">CB25*$J27</f>
        <v>#REF!</v>
      </c>
      <c r="CC27" s="68" t="e">
        <f t="shared" si="9"/>
        <v>#REF!</v>
      </c>
      <c r="CD27" s="68" t="e">
        <f t="shared" si="9"/>
        <v>#REF!</v>
      </c>
      <c r="CE27" s="68" t="e">
        <f t="shared" si="9"/>
        <v>#REF!</v>
      </c>
      <c r="CF27" s="68" t="e">
        <f t="shared" si="9"/>
        <v>#REF!</v>
      </c>
      <c r="CG27" s="68" t="e">
        <f t="shared" si="9"/>
        <v>#REF!</v>
      </c>
      <c r="CH27" s="68" t="e">
        <f t="shared" si="9"/>
        <v>#REF!</v>
      </c>
      <c r="CI27" s="68" t="e">
        <f t="shared" si="9"/>
        <v>#REF!</v>
      </c>
      <c r="CJ27" s="68" t="e">
        <f t="shared" si="9"/>
        <v>#REF!</v>
      </c>
      <c r="CK27" s="68" t="e">
        <f t="shared" si="9"/>
        <v>#REF!</v>
      </c>
      <c r="CL27" s="68" t="e">
        <f t="shared" si="9"/>
        <v>#REF!</v>
      </c>
      <c r="CM27" s="68" t="e">
        <f t="shared" si="9"/>
        <v>#REF!</v>
      </c>
      <c r="CN27" s="68" t="e">
        <f t="shared" si="9"/>
        <v>#REF!</v>
      </c>
      <c r="CO27" s="68" t="e">
        <f t="shared" si="9"/>
        <v>#REF!</v>
      </c>
      <c r="CP27" s="68" t="e">
        <f t="shared" si="9"/>
        <v>#REF!</v>
      </c>
      <c r="CQ27" s="68" t="e">
        <f t="shared" si="9"/>
        <v>#REF!</v>
      </c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</row>
    <row r="28" spans="1:106" ht="15" x14ac:dyDescent="0.25">
      <c r="H28" s="54"/>
      <c r="N28" s="19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</row>
    <row r="29" spans="1:106" ht="15" x14ac:dyDescent="0.25">
      <c r="C29" s="162" t="s">
        <v>162</v>
      </c>
      <c r="D29" s="163"/>
      <c r="E29" s="163"/>
      <c r="F29" s="163"/>
      <c r="G29" s="163"/>
      <c r="H29" s="164" t="s">
        <v>3</v>
      </c>
      <c r="I29" s="163"/>
      <c r="J29" s="163"/>
      <c r="K29" s="163"/>
      <c r="L29" s="163"/>
      <c r="M29" s="163"/>
      <c r="N29" s="165" t="e">
        <f>SUM(P29:DB29)</f>
        <v>#REF!</v>
      </c>
      <c r="O29" s="166"/>
      <c r="P29" s="172" t="e">
        <f t="shared" ref="P29:CA29" si="10">P25+P27</f>
        <v>#REF!</v>
      </c>
      <c r="Q29" s="172" t="e">
        <f t="shared" si="10"/>
        <v>#REF!</v>
      </c>
      <c r="R29" s="172" t="e">
        <f t="shared" si="10"/>
        <v>#REF!</v>
      </c>
      <c r="S29" s="172" t="e">
        <f t="shared" si="10"/>
        <v>#REF!</v>
      </c>
      <c r="T29" s="172" t="e">
        <f t="shared" si="10"/>
        <v>#REF!</v>
      </c>
      <c r="U29" s="172" t="e">
        <f t="shared" si="10"/>
        <v>#REF!</v>
      </c>
      <c r="V29" s="172" t="e">
        <f t="shared" si="10"/>
        <v>#REF!</v>
      </c>
      <c r="W29" s="172" t="e">
        <f t="shared" si="10"/>
        <v>#REF!</v>
      </c>
      <c r="X29" s="172" t="e">
        <f t="shared" si="10"/>
        <v>#REF!</v>
      </c>
      <c r="Y29" s="172" t="e">
        <f t="shared" si="10"/>
        <v>#REF!</v>
      </c>
      <c r="Z29" s="172" t="e">
        <f t="shared" si="10"/>
        <v>#REF!</v>
      </c>
      <c r="AA29" s="172" t="e">
        <f t="shared" si="10"/>
        <v>#REF!</v>
      </c>
      <c r="AB29" s="172" t="e">
        <f t="shared" si="10"/>
        <v>#REF!</v>
      </c>
      <c r="AC29" s="172" t="e">
        <f t="shared" si="10"/>
        <v>#REF!</v>
      </c>
      <c r="AD29" s="172" t="e">
        <f t="shared" si="10"/>
        <v>#REF!</v>
      </c>
      <c r="AE29" s="172" t="e">
        <f t="shared" si="10"/>
        <v>#REF!</v>
      </c>
      <c r="AF29" s="172" t="e">
        <f t="shared" si="10"/>
        <v>#REF!</v>
      </c>
      <c r="AG29" s="172" t="e">
        <f t="shared" si="10"/>
        <v>#REF!</v>
      </c>
      <c r="AH29" s="172" t="e">
        <f t="shared" si="10"/>
        <v>#REF!</v>
      </c>
      <c r="AI29" s="172" t="e">
        <f t="shared" si="10"/>
        <v>#REF!</v>
      </c>
      <c r="AJ29" s="172" t="e">
        <f t="shared" si="10"/>
        <v>#REF!</v>
      </c>
      <c r="AK29" s="172" t="e">
        <f t="shared" si="10"/>
        <v>#REF!</v>
      </c>
      <c r="AL29" s="172" t="e">
        <f t="shared" si="10"/>
        <v>#REF!</v>
      </c>
      <c r="AM29" s="172" t="e">
        <f t="shared" si="10"/>
        <v>#REF!</v>
      </c>
      <c r="AN29" s="172" t="e">
        <f t="shared" si="10"/>
        <v>#REF!</v>
      </c>
      <c r="AO29" s="172" t="e">
        <f t="shared" si="10"/>
        <v>#REF!</v>
      </c>
      <c r="AP29" s="172" t="e">
        <f t="shared" si="10"/>
        <v>#REF!</v>
      </c>
      <c r="AQ29" s="172" t="e">
        <f t="shared" si="10"/>
        <v>#REF!</v>
      </c>
      <c r="AR29" s="172" t="e">
        <f t="shared" si="10"/>
        <v>#REF!</v>
      </c>
      <c r="AS29" s="172" t="e">
        <f t="shared" si="10"/>
        <v>#REF!</v>
      </c>
      <c r="AT29" s="172" t="e">
        <f t="shared" si="10"/>
        <v>#REF!</v>
      </c>
      <c r="AU29" s="172" t="e">
        <f t="shared" si="10"/>
        <v>#REF!</v>
      </c>
      <c r="AV29" s="172" t="e">
        <f t="shared" si="10"/>
        <v>#REF!</v>
      </c>
      <c r="AW29" s="172" t="e">
        <f t="shared" si="10"/>
        <v>#REF!</v>
      </c>
      <c r="AX29" s="172" t="e">
        <f t="shared" si="10"/>
        <v>#REF!</v>
      </c>
      <c r="AY29" s="172" t="e">
        <f t="shared" si="10"/>
        <v>#REF!</v>
      </c>
      <c r="AZ29" s="172" t="e">
        <f t="shared" si="10"/>
        <v>#REF!</v>
      </c>
      <c r="BA29" s="172" t="e">
        <f t="shared" si="10"/>
        <v>#REF!</v>
      </c>
      <c r="BB29" s="172" t="e">
        <f t="shared" si="10"/>
        <v>#REF!</v>
      </c>
      <c r="BC29" s="172" t="e">
        <f t="shared" si="10"/>
        <v>#REF!</v>
      </c>
      <c r="BD29" s="172" t="e">
        <f t="shared" si="10"/>
        <v>#REF!</v>
      </c>
      <c r="BE29" s="172" t="e">
        <f t="shared" si="10"/>
        <v>#REF!</v>
      </c>
      <c r="BF29" s="172" t="e">
        <f t="shared" si="10"/>
        <v>#REF!</v>
      </c>
      <c r="BG29" s="172" t="e">
        <f t="shared" si="10"/>
        <v>#REF!</v>
      </c>
      <c r="BH29" s="172" t="e">
        <f t="shared" si="10"/>
        <v>#REF!</v>
      </c>
      <c r="BI29" s="172" t="e">
        <f t="shared" si="10"/>
        <v>#REF!</v>
      </c>
      <c r="BJ29" s="172" t="e">
        <f t="shared" si="10"/>
        <v>#REF!</v>
      </c>
      <c r="BK29" s="172" t="e">
        <f t="shared" si="10"/>
        <v>#REF!</v>
      </c>
      <c r="BL29" s="172" t="e">
        <f t="shared" si="10"/>
        <v>#REF!</v>
      </c>
      <c r="BM29" s="172" t="e">
        <f t="shared" si="10"/>
        <v>#REF!</v>
      </c>
      <c r="BN29" s="172" t="e">
        <f t="shared" si="10"/>
        <v>#REF!</v>
      </c>
      <c r="BO29" s="172" t="e">
        <f t="shared" si="10"/>
        <v>#REF!</v>
      </c>
      <c r="BP29" s="172" t="e">
        <f t="shared" si="10"/>
        <v>#REF!</v>
      </c>
      <c r="BQ29" s="172" t="e">
        <f t="shared" si="10"/>
        <v>#REF!</v>
      </c>
      <c r="BR29" s="172" t="e">
        <f t="shared" si="10"/>
        <v>#REF!</v>
      </c>
      <c r="BS29" s="172" t="e">
        <f t="shared" si="10"/>
        <v>#REF!</v>
      </c>
      <c r="BT29" s="172" t="e">
        <f t="shared" si="10"/>
        <v>#REF!</v>
      </c>
      <c r="BU29" s="172" t="e">
        <f t="shared" si="10"/>
        <v>#REF!</v>
      </c>
      <c r="BV29" s="172" t="e">
        <f t="shared" si="10"/>
        <v>#REF!</v>
      </c>
      <c r="BW29" s="172" t="e">
        <f t="shared" si="10"/>
        <v>#REF!</v>
      </c>
      <c r="BX29" s="172" t="e">
        <f t="shared" si="10"/>
        <v>#REF!</v>
      </c>
      <c r="BY29" s="172" t="e">
        <f t="shared" si="10"/>
        <v>#REF!</v>
      </c>
      <c r="BZ29" s="172" t="e">
        <f t="shared" si="10"/>
        <v>#REF!</v>
      </c>
      <c r="CA29" s="172" t="e">
        <f t="shared" si="10"/>
        <v>#REF!</v>
      </c>
      <c r="CB29" s="172" t="e">
        <f t="shared" ref="CB29:CQ29" si="11">CB25+CB27</f>
        <v>#REF!</v>
      </c>
      <c r="CC29" s="172" t="e">
        <f t="shared" si="11"/>
        <v>#REF!</v>
      </c>
      <c r="CD29" s="172" t="e">
        <f t="shared" si="11"/>
        <v>#REF!</v>
      </c>
      <c r="CE29" s="172" t="e">
        <f t="shared" si="11"/>
        <v>#REF!</v>
      </c>
      <c r="CF29" s="172" t="e">
        <f t="shared" si="11"/>
        <v>#REF!</v>
      </c>
      <c r="CG29" s="172" t="e">
        <f t="shared" si="11"/>
        <v>#REF!</v>
      </c>
      <c r="CH29" s="172" t="e">
        <f t="shared" si="11"/>
        <v>#REF!</v>
      </c>
      <c r="CI29" s="172" t="e">
        <f t="shared" si="11"/>
        <v>#REF!</v>
      </c>
      <c r="CJ29" s="172" t="e">
        <f t="shared" si="11"/>
        <v>#REF!</v>
      </c>
      <c r="CK29" s="172" t="e">
        <f t="shared" si="11"/>
        <v>#REF!</v>
      </c>
      <c r="CL29" s="172" t="e">
        <f t="shared" si="11"/>
        <v>#REF!</v>
      </c>
      <c r="CM29" s="172" t="e">
        <f t="shared" si="11"/>
        <v>#REF!</v>
      </c>
      <c r="CN29" s="172" t="e">
        <f t="shared" si="11"/>
        <v>#REF!</v>
      </c>
      <c r="CO29" s="172" t="e">
        <f t="shared" si="11"/>
        <v>#REF!</v>
      </c>
      <c r="CP29" s="172" t="e">
        <f t="shared" si="11"/>
        <v>#REF!</v>
      </c>
      <c r="CQ29" s="172" t="e">
        <f t="shared" si="11"/>
        <v>#REF!</v>
      </c>
      <c r="CR29" s="166"/>
      <c r="CS29" s="166"/>
      <c r="CT29" s="166"/>
      <c r="CU29" s="166"/>
      <c r="CV29" s="166"/>
      <c r="CW29" s="166"/>
      <c r="CX29" s="166"/>
      <c r="CY29" s="166"/>
      <c r="CZ29" s="166"/>
      <c r="DA29" s="166"/>
      <c r="DB29" s="166"/>
    </row>
    <row r="30" spans="1:106" ht="15" x14ac:dyDescent="0.25">
      <c r="H30" s="54"/>
      <c r="N30" s="19"/>
    </row>
    <row r="31" spans="1:106" ht="15" x14ac:dyDescent="0.25">
      <c r="H31" s="54"/>
      <c r="N31" s="19"/>
    </row>
    <row r="32" spans="1:106" s="125" customFormat="1" ht="15" x14ac:dyDescent="0.25">
      <c r="A32" s="124" t="s">
        <v>163</v>
      </c>
      <c r="H32" s="126"/>
      <c r="J32" s="127"/>
      <c r="N32" s="128"/>
    </row>
    <row r="33" spans="1:106" ht="15" x14ac:dyDescent="0.25">
      <c r="H33" s="54"/>
      <c r="N33" s="19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</row>
    <row r="34" spans="1:106" ht="15" x14ac:dyDescent="0.25">
      <c r="C34" t="s">
        <v>72</v>
      </c>
      <c r="H34" s="54" t="s">
        <v>13</v>
      </c>
      <c r="J34" s="167" t="e">
        <f>InputC!#REF!</f>
        <v>#REF!</v>
      </c>
      <c r="N34" s="19"/>
      <c r="O34" s="68"/>
      <c r="P34" s="68">
        <f>Timing!R34</f>
        <v>0</v>
      </c>
      <c r="Q34" s="68">
        <f>Timing!S34</f>
        <v>0</v>
      </c>
      <c r="R34" s="68">
        <f>Timing!T34</f>
        <v>0</v>
      </c>
      <c r="S34" s="68">
        <f>Timing!U34</f>
        <v>0</v>
      </c>
      <c r="T34" s="68">
        <f>Timing!V34</f>
        <v>1</v>
      </c>
      <c r="U34" s="68">
        <f>Timing!W34</f>
        <v>0</v>
      </c>
      <c r="V34" s="68">
        <f>Timing!X34</f>
        <v>1</v>
      </c>
      <c r="W34" s="68">
        <f>Timing!Y34</f>
        <v>0</v>
      </c>
      <c r="X34" s="68">
        <f>Timing!Z34</f>
        <v>1</v>
      </c>
      <c r="Y34" s="68">
        <f>Timing!AA34</f>
        <v>0</v>
      </c>
      <c r="Z34" s="68">
        <f>Timing!AB34</f>
        <v>1</v>
      </c>
      <c r="AA34" s="68">
        <f>Timing!AC34</f>
        <v>0</v>
      </c>
      <c r="AB34" s="68">
        <f>Timing!AD34</f>
        <v>1</v>
      </c>
      <c r="AC34" s="68">
        <f>Timing!AE34</f>
        <v>0</v>
      </c>
      <c r="AD34" s="68">
        <f>Timing!AF34</f>
        <v>1</v>
      </c>
      <c r="AE34" s="68">
        <f>Timing!AG34</f>
        <v>0</v>
      </c>
      <c r="AF34" s="68">
        <f>Timing!AH34</f>
        <v>1</v>
      </c>
      <c r="AG34" s="68">
        <f>Timing!AI34</f>
        <v>0</v>
      </c>
      <c r="AH34" s="68">
        <f>Timing!AJ34</f>
        <v>1</v>
      </c>
      <c r="AI34" s="68">
        <f>Timing!AK34</f>
        <v>0</v>
      </c>
      <c r="AJ34" s="68">
        <f>Timing!AL34</f>
        <v>1</v>
      </c>
      <c r="AK34" s="68">
        <f>Timing!AM34</f>
        <v>0</v>
      </c>
      <c r="AL34" s="68">
        <f>Timing!AN34</f>
        <v>1</v>
      </c>
      <c r="AM34" s="68">
        <f>Timing!AO34</f>
        <v>0</v>
      </c>
      <c r="AN34" s="68">
        <f>Timing!AP34</f>
        <v>1</v>
      </c>
      <c r="AO34" s="68">
        <f>Timing!AQ34</f>
        <v>0</v>
      </c>
      <c r="AP34" s="68">
        <f>Timing!AR34</f>
        <v>1</v>
      </c>
      <c r="AQ34" s="68">
        <f>Timing!AS34</f>
        <v>0</v>
      </c>
      <c r="AR34" s="68">
        <f>Timing!AT34</f>
        <v>1</v>
      </c>
      <c r="AS34" s="68">
        <f>Timing!AU34</f>
        <v>0</v>
      </c>
      <c r="AT34" s="68">
        <f>Timing!AV34</f>
        <v>1</v>
      </c>
      <c r="AU34" s="68">
        <f>Timing!AW34</f>
        <v>0</v>
      </c>
      <c r="AV34" s="68">
        <f>Timing!AX34</f>
        <v>1</v>
      </c>
      <c r="AW34" s="68">
        <f>Timing!AY34</f>
        <v>0</v>
      </c>
      <c r="AX34" s="68">
        <f>Timing!AZ34</f>
        <v>1</v>
      </c>
      <c r="AY34" s="68">
        <f>Timing!BA34</f>
        <v>0</v>
      </c>
      <c r="AZ34" s="68">
        <f>Timing!BB34</f>
        <v>1</v>
      </c>
      <c r="BA34" s="68">
        <f>Timing!BC34</f>
        <v>0</v>
      </c>
      <c r="BB34" s="68">
        <f>Timing!BD34</f>
        <v>1</v>
      </c>
      <c r="BC34" s="68">
        <f>Timing!BE34</f>
        <v>0</v>
      </c>
      <c r="BD34" s="68">
        <f>Timing!BF34</f>
        <v>1</v>
      </c>
      <c r="BE34" s="68">
        <f>Timing!BG34</f>
        <v>0</v>
      </c>
      <c r="BF34" s="68">
        <f>Timing!BH34</f>
        <v>1</v>
      </c>
      <c r="BG34" s="68">
        <f>Timing!BI34</f>
        <v>0</v>
      </c>
      <c r="BH34" s="68">
        <f>Timing!BJ34</f>
        <v>1</v>
      </c>
      <c r="BI34" s="68">
        <f>Timing!BK34</f>
        <v>0</v>
      </c>
      <c r="BJ34" s="68">
        <f>Timing!BL34</f>
        <v>1</v>
      </c>
      <c r="BK34" s="68">
        <f>Timing!BM34</f>
        <v>0</v>
      </c>
      <c r="BL34" s="68">
        <f>Timing!BN34</f>
        <v>1</v>
      </c>
      <c r="BM34" s="68">
        <f>Timing!BO34</f>
        <v>0</v>
      </c>
      <c r="BN34" s="68">
        <f>Timing!BP34</f>
        <v>1</v>
      </c>
      <c r="BO34" s="68">
        <f>Timing!BQ34</f>
        <v>0</v>
      </c>
      <c r="BP34" s="68">
        <f>Timing!BR34</f>
        <v>1</v>
      </c>
      <c r="BQ34" s="68">
        <f>Timing!BS34</f>
        <v>0</v>
      </c>
      <c r="BR34" s="68">
        <f>Timing!BT34</f>
        <v>0</v>
      </c>
      <c r="BS34" s="68">
        <f>Timing!BU34</f>
        <v>0</v>
      </c>
      <c r="BT34" s="68">
        <f>Timing!BV34</f>
        <v>0</v>
      </c>
      <c r="BU34" s="68">
        <f>Timing!BW34</f>
        <v>0</v>
      </c>
      <c r="BV34" s="68">
        <f>Timing!BX34</f>
        <v>0</v>
      </c>
      <c r="BW34" s="68">
        <f>Timing!BY34</f>
        <v>0</v>
      </c>
      <c r="BX34" s="68">
        <f>Timing!BZ34</f>
        <v>0</v>
      </c>
      <c r="BY34" s="68">
        <f>Timing!CA34</f>
        <v>0</v>
      </c>
      <c r="BZ34" s="68">
        <f>Timing!CB34</f>
        <v>0</v>
      </c>
      <c r="CA34" s="68">
        <f>Timing!CC34</f>
        <v>0</v>
      </c>
      <c r="CB34" s="68">
        <f>Timing!CD34</f>
        <v>0</v>
      </c>
      <c r="CC34" s="68">
        <f>Timing!CE34</f>
        <v>0</v>
      </c>
      <c r="CD34" s="68">
        <f>Timing!CF34</f>
        <v>0</v>
      </c>
      <c r="CE34" s="68">
        <f>Timing!CG34</f>
        <v>0</v>
      </c>
      <c r="CF34" s="68">
        <f>Timing!CH34</f>
        <v>0</v>
      </c>
      <c r="CG34" s="68">
        <f>Timing!CI34</f>
        <v>0</v>
      </c>
      <c r="CH34" s="68">
        <f>Timing!CJ34</f>
        <v>0</v>
      </c>
      <c r="CI34" s="68">
        <f>Timing!CK34</f>
        <v>0</v>
      </c>
      <c r="CJ34" s="68">
        <f>Timing!CL34</f>
        <v>0</v>
      </c>
      <c r="CK34" s="68">
        <f>Timing!CM34</f>
        <v>0</v>
      </c>
      <c r="CL34" s="68">
        <f>Timing!CN34</f>
        <v>0</v>
      </c>
      <c r="CM34" s="68">
        <f>Timing!CO34</f>
        <v>0</v>
      </c>
      <c r="CN34" s="68">
        <f>Timing!CP34</f>
        <v>0</v>
      </c>
      <c r="CO34" s="68">
        <f>Timing!CQ34</f>
        <v>0</v>
      </c>
      <c r="CP34" s="68">
        <f>Timing!CR34</f>
        <v>0</v>
      </c>
      <c r="CQ34" s="68">
        <f>Timing!CS34</f>
        <v>0</v>
      </c>
      <c r="CR34" s="68"/>
      <c r="CS34" s="68"/>
      <c r="CT34" s="68"/>
      <c r="CU34" s="68"/>
      <c r="CV34" s="68"/>
      <c r="CW34" s="68"/>
      <c r="CX34" s="68"/>
      <c r="CY34" s="68"/>
      <c r="CZ34" s="68"/>
      <c r="DA34" s="68"/>
      <c r="DB34" s="68"/>
    </row>
    <row r="35" spans="1:106" ht="15" x14ac:dyDescent="0.25">
      <c r="H35" s="54"/>
      <c r="N35" s="19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</row>
    <row r="36" spans="1:106" ht="15" x14ac:dyDescent="0.25">
      <c r="C36" t="s">
        <v>163</v>
      </c>
      <c r="H36" s="54" t="s">
        <v>3</v>
      </c>
      <c r="J36" s="85" t="e">
        <f>InputC!#REF!</f>
        <v>#REF!</v>
      </c>
      <c r="N36" s="25" t="e">
        <f>SUM(P36:DB36)</f>
        <v>#REF!</v>
      </c>
      <c r="O36" s="168"/>
      <c r="P36" s="168" t="e">
        <f t="shared" ref="P36:AU36" si="12">$J36*P34</f>
        <v>#REF!</v>
      </c>
      <c r="Q36" s="168" t="e">
        <f t="shared" si="12"/>
        <v>#REF!</v>
      </c>
      <c r="R36" s="168" t="e">
        <f t="shared" si="12"/>
        <v>#REF!</v>
      </c>
      <c r="S36" s="168" t="e">
        <f t="shared" si="12"/>
        <v>#REF!</v>
      </c>
      <c r="T36" s="168" t="e">
        <f t="shared" si="12"/>
        <v>#REF!</v>
      </c>
      <c r="U36" s="168" t="e">
        <f t="shared" si="12"/>
        <v>#REF!</v>
      </c>
      <c r="V36" s="168" t="e">
        <f t="shared" si="12"/>
        <v>#REF!</v>
      </c>
      <c r="W36" s="168" t="e">
        <f t="shared" si="12"/>
        <v>#REF!</v>
      </c>
      <c r="X36" s="168" t="e">
        <f t="shared" si="12"/>
        <v>#REF!</v>
      </c>
      <c r="Y36" s="168" t="e">
        <f t="shared" si="12"/>
        <v>#REF!</v>
      </c>
      <c r="Z36" s="168" t="e">
        <f t="shared" si="12"/>
        <v>#REF!</v>
      </c>
      <c r="AA36" s="168" t="e">
        <f t="shared" si="12"/>
        <v>#REF!</v>
      </c>
      <c r="AB36" s="168" t="e">
        <f t="shared" si="12"/>
        <v>#REF!</v>
      </c>
      <c r="AC36" s="168" t="e">
        <f t="shared" si="12"/>
        <v>#REF!</v>
      </c>
      <c r="AD36" s="168" t="e">
        <f t="shared" si="12"/>
        <v>#REF!</v>
      </c>
      <c r="AE36" s="168" t="e">
        <f t="shared" si="12"/>
        <v>#REF!</v>
      </c>
      <c r="AF36" s="168" t="e">
        <f t="shared" si="12"/>
        <v>#REF!</v>
      </c>
      <c r="AG36" s="168" t="e">
        <f t="shared" si="12"/>
        <v>#REF!</v>
      </c>
      <c r="AH36" s="168" t="e">
        <f t="shared" si="12"/>
        <v>#REF!</v>
      </c>
      <c r="AI36" s="168" t="e">
        <f t="shared" si="12"/>
        <v>#REF!</v>
      </c>
      <c r="AJ36" s="168" t="e">
        <f t="shared" si="12"/>
        <v>#REF!</v>
      </c>
      <c r="AK36" s="168" t="e">
        <f t="shared" si="12"/>
        <v>#REF!</v>
      </c>
      <c r="AL36" s="168" t="e">
        <f t="shared" si="12"/>
        <v>#REF!</v>
      </c>
      <c r="AM36" s="168" t="e">
        <f t="shared" si="12"/>
        <v>#REF!</v>
      </c>
      <c r="AN36" s="168" t="e">
        <f t="shared" si="12"/>
        <v>#REF!</v>
      </c>
      <c r="AO36" s="168" t="e">
        <f t="shared" si="12"/>
        <v>#REF!</v>
      </c>
      <c r="AP36" s="168" t="e">
        <f t="shared" si="12"/>
        <v>#REF!</v>
      </c>
      <c r="AQ36" s="168" t="e">
        <f t="shared" si="12"/>
        <v>#REF!</v>
      </c>
      <c r="AR36" s="168" t="e">
        <f t="shared" si="12"/>
        <v>#REF!</v>
      </c>
      <c r="AS36" s="168" t="e">
        <f t="shared" si="12"/>
        <v>#REF!</v>
      </c>
      <c r="AT36" s="168" t="e">
        <f t="shared" si="12"/>
        <v>#REF!</v>
      </c>
      <c r="AU36" s="168" t="e">
        <f t="shared" si="12"/>
        <v>#REF!</v>
      </c>
      <c r="AV36" s="168" t="e">
        <f t="shared" ref="AV36:CA36" si="13">$J36*AV34</f>
        <v>#REF!</v>
      </c>
      <c r="AW36" s="168" t="e">
        <f t="shared" si="13"/>
        <v>#REF!</v>
      </c>
      <c r="AX36" s="168" t="e">
        <f t="shared" si="13"/>
        <v>#REF!</v>
      </c>
      <c r="AY36" s="168" t="e">
        <f t="shared" si="13"/>
        <v>#REF!</v>
      </c>
      <c r="AZ36" s="168" t="e">
        <f t="shared" si="13"/>
        <v>#REF!</v>
      </c>
      <c r="BA36" s="168" t="e">
        <f t="shared" si="13"/>
        <v>#REF!</v>
      </c>
      <c r="BB36" s="168" t="e">
        <f t="shared" si="13"/>
        <v>#REF!</v>
      </c>
      <c r="BC36" s="168" t="e">
        <f t="shared" si="13"/>
        <v>#REF!</v>
      </c>
      <c r="BD36" s="168" t="e">
        <f t="shared" si="13"/>
        <v>#REF!</v>
      </c>
      <c r="BE36" s="168" t="e">
        <f t="shared" si="13"/>
        <v>#REF!</v>
      </c>
      <c r="BF36" s="168" t="e">
        <f t="shared" si="13"/>
        <v>#REF!</v>
      </c>
      <c r="BG36" s="168" t="e">
        <f t="shared" si="13"/>
        <v>#REF!</v>
      </c>
      <c r="BH36" s="168" t="e">
        <f t="shared" si="13"/>
        <v>#REF!</v>
      </c>
      <c r="BI36" s="168" t="e">
        <f t="shared" si="13"/>
        <v>#REF!</v>
      </c>
      <c r="BJ36" s="168" t="e">
        <f t="shared" si="13"/>
        <v>#REF!</v>
      </c>
      <c r="BK36" s="168" t="e">
        <f t="shared" si="13"/>
        <v>#REF!</v>
      </c>
      <c r="BL36" s="168" t="e">
        <f t="shared" si="13"/>
        <v>#REF!</v>
      </c>
      <c r="BM36" s="168" t="e">
        <f t="shared" si="13"/>
        <v>#REF!</v>
      </c>
      <c r="BN36" s="168" t="e">
        <f t="shared" si="13"/>
        <v>#REF!</v>
      </c>
      <c r="BO36" s="168" t="e">
        <f t="shared" si="13"/>
        <v>#REF!</v>
      </c>
      <c r="BP36" s="168" t="e">
        <f t="shared" si="13"/>
        <v>#REF!</v>
      </c>
      <c r="BQ36" s="168" t="e">
        <f t="shared" si="13"/>
        <v>#REF!</v>
      </c>
      <c r="BR36" s="168" t="e">
        <f t="shared" si="13"/>
        <v>#REF!</v>
      </c>
      <c r="BS36" s="168" t="e">
        <f t="shared" si="13"/>
        <v>#REF!</v>
      </c>
      <c r="BT36" s="168" t="e">
        <f t="shared" si="13"/>
        <v>#REF!</v>
      </c>
      <c r="BU36" s="168" t="e">
        <f t="shared" si="13"/>
        <v>#REF!</v>
      </c>
      <c r="BV36" s="168" t="e">
        <f t="shared" si="13"/>
        <v>#REF!</v>
      </c>
      <c r="BW36" s="168" t="e">
        <f t="shared" si="13"/>
        <v>#REF!</v>
      </c>
      <c r="BX36" s="168" t="e">
        <f t="shared" si="13"/>
        <v>#REF!</v>
      </c>
      <c r="BY36" s="168" t="e">
        <f t="shared" si="13"/>
        <v>#REF!</v>
      </c>
      <c r="BZ36" s="168" t="e">
        <f t="shared" si="13"/>
        <v>#REF!</v>
      </c>
      <c r="CA36" s="168" t="e">
        <f t="shared" si="13"/>
        <v>#REF!</v>
      </c>
      <c r="CB36" s="168" t="e">
        <f t="shared" ref="CB36:CQ36" si="14">$J36*CB34</f>
        <v>#REF!</v>
      </c>
      <c r="CC36" s="168" t="e">
        <f t="shared" si="14"/>
        <v>#REF!</v>
      </c>
      <c r="CD36" s="168" t="e">
        <f t="shared" si="14"/>
        <v>#REF!</v>
      </c>
      <c r="CE36" s="168" t="e">
        <f t="shared" si="14"/>
        <v>#REF!</v>
      </c>
      <c r="CF36" s="168" t="e">
        <f t="shared" si="14"/>
        <v>#REF!</v>
      </c>
      <c r="CG36" s="168" t="e">
        <f t="shared" si="14"/>
        <v>#REF!</v>
      </c>
      <c r="CH36" s="168" t="e">
        <f t="shared" si="14"/>
        <v>#REF!</v>
      </c>
      <c r="CI36" s="168" t="e">
        <f t="shared" si="14"/>
        <v>#REF!</v>
      </c>
      <c r="CJ36" s="168" t="e">
        <f t="shared" si="14"/>
        <v>#REF!</v>
      </c>
      <c r="CK36" s="168" t="e">
        <f t="shared" si="14"/>
        <v>#REF!</v>
      </c>
      <c r="CL36" s="168" t="e">
        <f t="shared" si="14"/>
        <v>#REF!</v>
      </c>
      <c r="CM36" s="168" t="e">
        <f t="shared" si="14"/>
        <v>#REF!</v>
      </c>
      <c r="CN36" s="168" t="e">
        <f t="shared" si="14"/>
        <v>#REF!</v>
      </c>
      <c r="CO36" s="168" t="e">
        <f t="shared" si="14"/>
        <v>#REF!</v>
      </c>
      <c r="CP36" s="168" t="e">
        <f t="shared" si="14"/>
        <v>#REF!</v>
      </c>
      <c r="CQ36" s="168" t="e">
        <f t="shared" si="14"/>
        <v>#REF!</v>
      </c>
      <c r="CR36" s="168"/>
      <c r="CS36" s="168"/>
      <c r="CT36" s="168"/>
      <c r="CU36" s="168"/>
      <c r="CV36" s="168"/>
      <c r="CW36" s="168"/>
      <c r="CX36" s="168"/>
      <c r="CY36" s="168"/>
      <c r="CZ36" s="168"/>
      <c r="DA36" s="168"/>
      <c r="DB36" s="168"/>
    </row>
    <row r="37" spans="1:106" ht="15" x14ac:dyDescent="0.25">
      <c r="H37" s="54"/>
      <c r="N37" s="19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</row>
    <row r="38" spans="1:106" ht="15" x14ac:dyDescent="0.25">
      <c r="C38" s="162" t="s">
        <v>164</v>
      </c>
      <c r="D38" s="162"/>
      <c r="E38" s="162"/>
      <c r="F38" s="162"/>
      <c r="G38" s="162"/>
      <c r="H38" s="164" t="s">
        <v>3</v>
      </c>
      <c r="I38" s="162"/>
      <c r="J38" s="162"/>
      <c r="K38" s="162"/>
      <c r="L38" s="162"/>
      <c r="M38" s="162"/>
      <c r="N38" s="169" t="e">
        <f>SUM(P38:DB38)</f>
        <v>#REF!</v>
      </c>
      <c r="O38" s="166"/>
      <c r="P38" s="166" t="e">
        <f t="shared" ref="P38:AU38" si="15">P15*P36</f>
        <v>#REF!</v>
      </c>
      <c r="Q38" s="166" t="e">
        <f t="shared" si="15"/>
        <v>#REF!</v>
      </c>
      <c r="R38" s="166" t="e">
        <f t="shared" si="15"/>
        <v>#REF!</v>
      </c>
      <c r="S38" s="166" t="e">
        <f t="shared" si="15"/>
        <v>#REF!</v>
      </c>
      <c r="T38" s="166" t="e">
        <f t="shared" si="15"/>
        <v>#REF!</v>
      </c>
      <c r="U38" s="166" t="e">
        <f t="shared" si="15"/>
        <v>#REF!</v>
      </c>
      <c r="V38" s="166" t="e">
        <f t="shared" si="15"/>
        <v>#REF!</v>
      </c>
      <c r="W38" s="166" t="e">
        <f t="shared" si="15"/>
        <v>#REF!</v>
      </c>
      <c r="X38" s="166" t="e">
        <f t="shared" si="15"/>
        <v>#REF!</v>
      </c>
      <c r="Y38" s="166" t="e">
        <f t="shared" si="15"/>
        <v>#REF!</v>
      </c>
      <c r="Z38" s="166" t="e">
        <f t="shared" si="15"/>
        <v>#REF!</v>
      </c>
      <c r="AA38" s="166" t="e">
        <f t="shared" si="15"/>
        <v>#REF!</v>
      </c>
      <c r="AB38" s="166" t="e">
        <f t="shared" si="15"/>
        <v>#REF!</v>
      </c>
      <c r="AC38" s="166" t="e">
        <f t="shared" si="15"/>
        <v>#REF!</v>
      </c>
      <c r="AD38" s="166" t="e">
        <f t="shared" si="15"/>
        <v>#REF!</v>
      </c>
      <c r="AE38" s="166" t="e">
        <f t="shared" si="15"/>
        <v>#REF!</v>
      </c>
      <c r="AF38" s="166" t="e">
        <f t="shared" si="15"/>
        <v>#REF!</v>
      </c>
      <c r="AG38" s="166" t="e">
        <f t="shared" si="15"/>
        <v>#REF!</v>
      </c>
      <c r="AH38" s="166" t="e">
        <f t="shared" si="15"/>
        <v>#REF!</v>
      </c>
      <c r="AI38" s="166" t="e">
        <f t="shared" si="15"/>
        <v>#REF!</v>
      </c>
      <c r="AJ38" s="166" t="e">
        <f t="shared" si="15"/>
        <v>#REF!</v>
      </c>
      <c r="AK38" s="166" t="e">
        <f t="shared" si="15"/>
        <v>#REF!</v>
      </c>
      <c r="AL38" s="166" t="e">
        <f t="shared" si="15"/>
        <v>#REF!</v>
      </c>
      <c r="AM38" s="166" t="e">
        <f t="shared" si="15"/>
        <v>#REF!</v>
      </c>
      <c r="AN38" s="166" t="e">
        <f t="shared" si="15"/>
        <v>#REF!</v>
      </c>
      <c r="AO38" s="166" t="e">
        <f t="shared" si="15"/>
        <v>#REF!</v>
      </c>
      <c r="AP38" s="166" t="e">
        <f t="shared" si="15"/>
        <v>#REF!</v>
      </c>
      <c r="AQ38" s="166" t="e">
        <f t="shared" si="15"/>
        <v>#REF!</v>
      </c>
      <c r="AR38" s="166" t="e">
        <f t="shared" si="15"/>
        <v>#REF!</v>
      </c>
      <c r="AS38" s="166" t="e">
        <f t="shared" si="15"/>
        <v>#REF!</v>
      </c>
      <c r="AT38" s="166" t="e">
        <f t="shared" si="15"/>
        <v>#REF!</v>
      </c>
      <c r="AU38" s="166" t="e">
        <f t="shared" si="15"/>
        <v>#REF!</v>
      </c>
      <c r="AV38" s="166" t="e">
        <f t="shared" ref="AV38:CA38" si="16">AV15*AV36</f>
        <v>#REF!</v>
      </c>
      <c r="AW38" s="166" t="e">
        <f t="shared" si="16"/>
        <v>#REF!</v>
      </c>
      <c r="AX38" s="166" t="e">
        <f t="shared" si="16"/>
        <v>#REF!</v>
      </c>
      <c r="AY38" s="166" t="e">
        <f t="shared" si="16"/>
        <v>#REF!</v>
      </c>
      <c r="AZ38" s="166" t="e">
        <f t="shared" si="16"/>
        <v>#REF!</v>
      </c>
      <c r="BA38" s="166" t="e">
        <f t="shared" si="16"/>
        <v>#REF!</v>
      </c>
      <c r="BB38" s="166" t="e">
        <f t="shared" si="16"/>
        <v>#REF!</v>
      </c>
      <c r="BC38" s="166" t="e">
        <f t="shared" si="16"/>
        <v>#REF!</v>
      </c>
      <c r="BD38" s="166" t="e">
        <f t="shared" si="16"/>
        <v>#REF!</v>
      </c>
      <c r="BE38" s="166" t="e">
        <f t="shared" si="16"/>
        <v>#REF!</v>
      </c>
      <c r="BF38" s="166" t="e">
        <f t="shared" si="16"/>
        <v>#REF!</v>
      </c>
      <c r="BG38" s="166" t="e">
        <f t="shared" si="16"/>
        <v>#REF!</v>
      </c>
      <c r="BH38" s="166" t="e">
        <f t="shared" si="16"/>
        <v>#REF!</v>
      </c>
      <c r="BI38" s="166" t="e">
        <f t="shared" si="16"/>
        <v>#REF!</v>
      </c>
      <c r="BJ38" s="166" t="e">
        <f t="shared" si="16"/>
        <v>#REF!</v>
      </c>
      <c r="BK38" s="166" t="e">
        <f t="shared" si="16"/>
        <v>#REF!</v>
      </c>
      <c r="BL38" s="166" t="e">
        <f t="shared" si="16"/>
        <v>#REF!</v>
      </c>
      <c r="BM38" s="166" t="e">
        <f t="shared" si="16"/>
        <v>#REF!</v>
      </c>
      <c r="BN38" s="166" t="e">
        <f t="shared" si="16"/>
        <v>#REF!</v>
      </c>
      <c r="BO38" s="166" t="e">
        <f t="shared" si="16"/>
        <v>#REF!</v>
      </c>
      <c r="BP38" s="166" t="e">
        <f t="shared" si="16"/>
        <v>#REF!</v>
      </c>
      <c r="BQ38" s="166" t="e">
        <f t="shared" si="16"/>
        <v>#REF!</v>
      </c>
      <c r="BR38" s="166" t="e">
        <f t="shared" si="16"/>
        <v>#REF!</v>
      </c>
      <c r="BS38" s="166" t="e">
        <f t="shared" si="16"/>
        <v>#REF!</v>
      </c>
      <c r="BT38" s="166" t="e">
        <f t="shared" si="16"/>
        <v>#REF!</v>
      </c>
      <c r="BU38" s="166" t="e">
        <f t="shared" si="16"/>
        <v>#REF!</v>
      </c>
      <c r="BV38" s="166" t="e">
        <f t="shared" si="16"/>
        <v>#REF!</v>
      </c>
      <c r="BW38" s="166" t="e">
        <f t="shared" si="16"/>
        <v>#REF!</v>
      </c>
      <c r="BX38" s="166" t="e">
        <f t="shared" si="16"/>
        <v>#REF!</v>
      </c>
      <c r="BY38" s="166" t="e">
        <f t="shared" si="16"/>
        <v>#REF!</v>
      </c>
      <c r="BZ38" s="166" t="e">
        <f t="shared" si="16"/>
        <v>#REF!</v>
      </c>
      <c r="CA38" s="166" t="e">
        <f t="shared" si="16"/>
        <v>#REF!</v>
      </c>
      <c r="CB38" s="166" t="e">
        <f t="shared" ref="CB38:CQ38" si="17">CB15*CB36</f>
        <v>#REF!</v>
      </c>
      <c r="CC38" s="166" t="e">
        <f t="shared" si="17"/>
        <v>#REF!</v>
      </c>
      <c r="CD38" s="166" t="e">
        <f t="shared" si="17"/>
        <v>#REF!</v>
      </c>
      <c r="CE38" s="166" t="e">
        <f t="shared" si="17"/>
        <v>#REF!</v>
      </c>
      <c r="CF38" s="166" t="e">
        <f t="shared" si="17"/>
        <v>#REF!</v>
      </c>
      <c r="CG38" s="166" t="e">
        <f t="shared" si="17"/>
        <v>#REF!</v>
      </c>
      <c r="CH38" s="166" t="e">
        <f t="shared" si="17"/>
        <v>#REF!</v>
      </c>
      <c r="CI38" s="166" t="e">
        <f t="shared" si="17"/>
        <v>#REF!</v>
      </c>
      <c r="CJ38" s="166" t="e">
        <f t="shared" si="17"/>
        <v>#REF!</v>
      </c>
      <c r="CK38" s="166" t="e">
        <f t="shared" si="17"/>
        <v>#REF!</v>
      </c>
      <c r="CL38" s="166" t="e">
        <f t="shared" si="17"/>
        <v>#REF!</v>
      </c>
      <c r="CM38" s="166" t="e">
        <f t="shared" si="17"/>
        <v>#REF!</v>
      </c>
      <c r="CN38" s="166" t="e">
        <f t="shared" si="17"/>
        <v>#REF!</v>
      </c>
      <c r="CO38" s="166" t="e">
        <f t="shared" si="17"/>
        <v>#REF!</v>
      </c>
      <c r="CP38" s="166" t="e">
        <f t="shared" si="17"/>
        <v>#REF!</v>
      </c>
      <c r="CQ38" s="166" t="e">
        <f t="shared" si="17"/>
        <v>#REF!</v>
      </c>
      <c r="CR38" s="166"/>
      <c r="CS38" s="166"/>
      <c r="CT38" s="166"/>
      <c r="CU38" s="166"/>
      <c r="CV38" s="166"/>
      <c r="CW38" s="166"/>
      <c r="CX38" s="166"/>
      <c r="CY38" s="166"/>
      <c r="CZ38" s="166"/>
      <c r="DA38" s="166"/>
      <c r="DB38" s="166"/>
    </row>
    <row r="39" spans="1:106" ht="15" x14ac:dyDescent="0.25"/>
    <row r="40" spans="1:106" ht="12.75" customHeight="1" x14ac:dyDescent="0.25"/>
    <row r="41" spans="1:106" s="292" customFormat="1" ht="12.75" customHeight="1" x14ac:dyDescent="0.25">
      <c r="A41" s="299" t="s">
        <v>53</v>
      </c>
      <c r="I41" s="313"/>
      <c r="J41" s="284"/>
    </row>
    <row r="42" spans="1:106" ht="12.75" customHeight="1" x14ac:dyDescent="0.25"/>
    <row r="43" spans="1:106" ht="12.75" customHeight="1" x14ac:dyDescent="0.25"/>
    <row r="44" spans="1:106" ht="12.75" customHeight="1" x14ac:dyDescent="0.25"/>
    <row r="45" spans="1:106" ht="12.75" customHeight="1" x14ac:dyDescent="0.25"/>
    <row r="46" spans="1:106" ht="12.75" customHeight="1" x14ac:dyDescent="0.25"/>
    <row r="47" spans="1:106" ht="12.75" customHeight="1" x14ac:dyDescent="0.25"/>
    <row r="48" spans="1:106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</sheetData>
  <conditionalFormatting sqref="CU7:DD7">
    <cfRule type="expression" dxfId="112" priority="16">
      <formula>CU7="Ops"</formula>
    </cfRule>
    <cfRule type="expression" dxfId="111" priority="17">
      <formula>CU7="Const"</formula>
    </cfRule>
  </conditionalFormatting>
  <conditionalFormatting sqref="P7:CT7">
    <cfRule type="expression" dxfId="110" priority="13">
      <formula>P7="Ops"</formula>
    </cfRule>
    <cfRule type="expression" dxfId="109" priority="14">
      <formula>P7="Const"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CE957-08EE-4AEC-A7ED-F15DCB5E7A6A}">
  <sheetPr codeName="Sheet6">
    <tabColor theme="3" tint="-0.499984740745262"/>
  </sheetPr>
  <dimension ref="A1:IC92"/>
  <sheetViews>
    <sheetView showGridLines="0" zoomScale="50" zoomScaleNormal="50" workbookViewId="0">
      <pane xSplit="14" ySplit="8" topLeftCell="O9" activePane="bottomRight" state="frozen"/>
      <selection activeCell="I6" sqref="I6"/>
      <selection pane="topRight" activeCell="I6" sqref="I6"/>
      <selection pane="bottomLeft" activeCell="I6" sqref="I6"/>
      <selection pane="bottomRight" activeCell="J45" sqref="J45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1:108" s="282" customFormat="1" ht="12.75" customHeight="1" x14ac:dyDescent="0.2">
      <c r="H1" s="284"/>
    </row>
    <row r="2" spans="1:108" s="282" customFormat="1" ht="12.75" customHeight="1" x14ac:dyDescent="0.2">
      <c r="H2" s="284"/>
    </row>
    <row r="3" spans="1:108" s="282" customFormat="1" ht="12.75" customHeight="1" x14ac:dyDescent="0.2">
      <c r="H3" s="284"/>
    </row>
    <row r="4" spans="1:108" s="282" customFormat="1" ht="12.75" customHeight="1" x14ac:dyDescent="0.2">
      <c r="H4" s="284"/>
    </row>
    <row r="5" spans="1:108" s="282" customFormat="1" ht="12.75" customHeight="1" x14ac:dyDescent="0.2">
      <c r="H5" s="284"/>
      <c r="M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H6" s="284"/>
      <c r="M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H7" s="284"/>
      <c r="M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H8" s="284"/>
    </row>
    <row r="9" spans="1:108" s="5" customFormat="1" ht="12.75" customHeight="1" x14ac:dyDescent="0.2">
      <c r="A9" s="5" t="s">
        <v>156</v>
      </c>
      <c r="H9" s="137"/>
      <c r="I9" s="8"/>
    </row>
    <row r="10" spans="1:108" ht="12.75" customHeight="1" x14ac:dyDescent="0.25">
      <c r="H10" s="54"/>
      <c r="N10" s="19"/>
    </row>
    <row r="11" spans="1:108" ht="12.75" customHeight="1" x14ac:dyDescent="0.25">
      <c r="C11" t="s">
        <v>157</v>
      </c>
      <c r="H11" s="54" t="s">
        <v>13</v>
      </c>
      <c r="N11" s="19"/>
      <c r="O11" s="13"/>
      <c r="P11" s="13">
        <f>CAPEX!P11</f>
        <v>1</v>
      </c>
      <c r="Q11" s="13">
        <f>CAPEX!Q11</f>
        <v>1</v>
      </c>
      <c r="R11" s="13">
        <f>CAPEX!R11</f>
        <v>1</v>
      </c>
      <c r="S11" s="13">
        <f>CAPEX!S11</f>
        <v>0</v>
      </c>
      <c r="T11" s="13">
        <f>CAPEX!T11</f>
        <v>0</v>
      </c>
      <c r="U11" s="13">
        <f>CAPEX!U11</f>
        <v>0</v>
      </c>
      <c r="V11" s="13">
        <f>CAPEX!V11</f>
        <v>0</v>
      </c>
      <c r="W11" s="13">
        <f>CAPEX!W11</f>
        <v>0</v>
      </c>
      <c r="X11" s="13">
        <f>CAPEX!X11</f>
        <v>0</v>
      </c>
      <c r="Y11" s="13">
        <f>CAPEX!Y11</f>
        <v>0</v>
      </c>
      <c r="Z11" s="13">
        <f>CAPEX!Z11</f>
        <v>0</v>
      </c>
      <c r="AA11" s="13">
        <f>CAPEX!AA11</f>
        <v>0</v>
      </c>
      <c r="AB11" s="13">
        <f>CAPEX!AB11</f>
        <v>0</v>
      </c>
      <c r="AC11" s="13">
        <f>CAPEX!AC11</f>
        <v>0</v>
      </c>
      <c r="AD11" s="13">
        <f>CAPEX!AD11</f>
        <v>0</v>
      </c>
      <c r="AE11" s="13">
        <f>CAPEX!AE11</f>
        <v>0</v>
      </c>
      <c r="AF11" s="13">
        <f>CAPEX!AF11</f>
        <v>0</v>
      </c>
      <c r="AG11" s="13">
        <f>CAPEX!AG11</f>
        <v>0</v>
      </c>
      <c r="AH11" s="13">
        <f>CAPEX!AH11</f>
        <v>0</v>
      </c>
      <c r="AI11" s="13">
        <f>CAPEX!AI11</f>
        <v>0</v>
      </c>
      <c r="AJ11" s="13">
        <f>CAPEX!AJ11</f>
        <v>0</v>
      </c>
      <c r="AK11" s="13">
        <f>CAPEX!AK11</f>
        <v>0</v>
      </c>
      <c r="AL11" s="13">
        <f>CAPEX!AL11</f>
        <v>0</v>
      </c>
      <c r="AM11" s="13">
        <f>CAPEX!AM11</f>
        <v>0</v>
      </c>
      <c r="AN11" s="13">
        <f>CAPEX!AN11</f>
        <v>0</v>
      </c>
      <c r="AO11" s="13">
        <f>CAPEX!AO11</f>
        <v>0</v>
      </c>
      <c r="AP11" s="13">
        <f>CAPEX!AP11</f>
        <v>0</v>
      </c>
      <c r="AQ11" s="13">
        <f>CAPEX!AQ11</f>
        <v>0</v>
      </c>
      <c r="AR11" s="13">
        <f>CAPEX!AR11</f>
        <v>0</v>
      </c>
      <c r="AS11" s="13">
        <f>CAPEX!AS11</f>
        <v>0</v>
      </c>
      <c r="AT11" s="13">
        <f>CAPEX!AT11</f>
        <v>0</v>
      </c>
      <c r="AU11" s="13">
        <f>CAPEX!AU11</f>
        <v>0</v>
      </c>
      <c r="AV11" s="13">
        <f>CAPEX!AV11</f>
        <v>0</v>
      </c>
      <c r="AW11" s="13">
        <f>CAPEX!AW11</f>
        <v>0</v>
      </c>
      <c r="AX11" s="13">
        <f>CAPEX!AX11</f>
        <v>0</v>
      </c>
      <c r="AY11" s="13">
        <f>CAPEX!AY11</f>
        <v>0</v>
      </c>
      <c r="AZ11" s="13">
        <f>CAPEX!AZ11</f>
        <v>0</v>
      </c>
      <c r="BA11" s="13">
        <f>CAPEX!BA11</f>
        <v>0</v>
      </c>
      <c r="BB11" s="13">
        <f>CAPEX!BB11</f>
        <v>0</v>
      </c>
      <c r="BC11" s="13">
        <f>CAPEX!BC11</f>
        <v>0</v>
      </c>
      <c r="BD11" s="13">
        <f>CAPEX!BD11</f>
        <v>0</v>
      </c>
      <c r="BE11" s="13">
        <f>CAPEX!BE11</f>
        <v>0</v>
      </c>
      <c r="BF11" s="13">
        <f>CAPEX!BF11</f>
        <v>0</v>
      </c>
      <c r="BG11" s="13">
        <f>CAPEX!BG11</f>
        <v>0</v>
      </c>
      <c r="BH11" s="13">
        <f>CAPEX!BH11</f>
        <v>0</v>
      </c>
      <c r="BI11" s="13">
        <f>CAPEX!BI11</f>
        <v>0</v>
      </c>
      <c r="BJ11" s="13">
        <f>CAPEX!BJ11</f>
        <v>0</v>
      </c>
      <c r="BK11" s="13">
        <f>CAPEX!BK11</f>
        <v>0</v>
      </c>
      <c r="BL11" s="13">
        <f>CAPEX!BL11</f>
        <v>0</v>
      </c>
      <c r="BM11" s="13">
        <f>CAPEX!BM11</f>
        <v>0</v>
      </c>
      <c r="BN11" s="13">
        <f>CAPEX!BN11</f>
        <v>0</v>
      </c>
      <c r="BO11" s="13">
        <f>CAPEX!BO11</f>
        <v>0</v>
      </c>
      <c r="BP11" s="13">
        <f>CAPEX!BP11</f>
        <v>0</v>
      </c>
      <c r="BQ11" s="13">
        <f>CAPEX!BQ11</f>
        <v>0</v>
      </c>
      <c r="BR11" s="13">
        <f>CAPEX!BR11</f>
        <v>0</v>
      </c>
      <c r="BS11" s="13">
        <f>CAPEX!BS11</f>
        <v>0</v>
      </c>
      <c r="BT11" s="13">
        <f>CAPEX!BT11</f>
        <v>0</v>
      </c>
      <c r="BU11" s="13">
        <f>CAPEX!BU11</f>
        <v>0</v>
      </c>
      <c r="BV11" s="13">
        <f>CAPEX!BV11</f>
        <v>0</v>
      </c>
      <c r="BW11" s="13">
        <f>CAPEX!BW11</f>
        <v>0</v>
      </c>
      <c r="BX11" s="13">
        <f>CAPEX!BX11</f>
        <v>0</v>
      </c>
      <c r="BY11" s="13">
        <f>CAPEX!BY11</f>
        <v>0</v>
      </c>
      <c r="BZ11" s="13">
        <f>CAPEX!BZ11</f>
        <v>0</v>
      </c>
      <c r="CA11" s="13">
        <f>CAPEX!CA11</f>
        <v>0</v>
      </c>
      <c r="CB11" s="13">
        <f>CAPEX!CB11</f>
        <v>0</v>
      </c>
      <c r="CC11" s="13">
        <f>CAPEX!CC11</f>
        <v>0</v>
      </c>
      <c r="CD11" s="13">
        <f>CAPEX!CD11</f>
        <v>0</v>
      </c>
      <c r="CE11" s="13">
        <f>CAPEX!CE11</f>
        <v>0</v>
      </c>
      <c r="CF11" s="13">
        <f>CAPEX!CF11</f>
        <v>0</v>
      </c>
      <c r="CG11" s="13">
        <f>CAPEX!CG11</f>
        <v>0</v>
      </c>
      <c r="CH11" s="13">
        <f>CAPEX!CH11</f>
        <v>0</v>
      </c>
      <c r="CI11" s="13">
        <f>CAPEX!CI11</f>
        <v>0</v>
      </c>
      <c r="CJ11" s="13">
        <f>CAPEX!CJ11</f>
        <v>0</v>
      </c>
      <c r="CK11" s="13">
        <f>CAPEX!CK11</f>
        <v>0</v>
      </c>
      <c r="CL11" s="13">
        <f>CAPEX!CL11</f>
        <v>0</v>
      </c>
      <c r="CM11" s="13">
        <f>CAPEX!CM11</f>
        <v>0</v>
      </c>
      <c r="CN11" s="13">
        <f>CAPEX!CN11</f>
        <v>0</v>
      </c>
      <c r="CO11" s="13">
        <f>CAPEX!CO11</f>
        <v>0</v>
      </c>
      <c r="CP11" s="13">
        <f>CAPEX!CP11</f>
        <v>0</v>
      </c>
      <c r="CQ11" s="13">
        <f>CAPEX!CQ11</f>
        <v>0</v>
      </c>
      <c r="CR11" s="13">
        <f>CAPEX!CR11</f>
        <v>0</v>
      </c>
      <c r="CS11" s="13">
        <f>CAPEX!CS11</f>
        <v>0</v>
      </c>
      <c r="CT11" s="13">
        <f>CAPEX!CT11</f>
        <v>0</v>
      </c>
      <c r="CU11" s="13"/>
      <c r="CV11" s="13"/>
      <c r="CW11" s="13"/>
      <c r="CX11" s="13"/>
      <c r="CY11" s="13"/>
      <c r="CZ11" s="13"/>
      <c r="DA11" s="13"/>
      <c r="DB11" s="13"/>
      <c r="DC11" s="13"/>
      <c r="DD11" s="13"/>
    </row>
    <row r="12" spans="1:108" ht="12.75" customHeight="1" x14ac:dyDescent="0.25">
      <c r="C12" t="s">
        <v>158</v>
      </c>
      <c r="H12" s="54" t="s">
        <v>13</v>
      </c>
      <c r="N12" s="19"/>
      <c r="O12" s="13"/>
      <c r="P12" s="13">
        <f>CAPEX!P12</f>
        <v>0</v>
      </c>
      <c r="Q12" s="13">
        <f>CAPEX!Q12</f>
        <v>0</v>
      </c>
      <c r="R12" s="13">
        <f>CAPEX!R12</f>
        <v>0</v>
      </c>
      <c r="S12" s="13">
        <f>CAPEX!S12</f>
        <v>1</v>
      </c>
      <c r="T12" s="13">
        <f>CAPEX!T12</f>
        <v>1</v>
      </c>
      <c r="U12" s="13">
        <f>CAPEX!U12</f>
        <v>1</v>
      </c>
      <c r="V12" s="13">
        <f>CAPEX!V12</f>
        <v>1</v>
      </c>
      <c r="W12" s="13">
        <f>CAPEX!W12</f>
        <v>1</v>
      </c>
      <c r="X12" s="13">
        <f>CAPEX!X12</f>
        <v>1</v>
      </c>
      <c r="Y12" s="13">
        <f>CAPEX!Y12</f>
        <v>1</v>
      </c>
      <c r="Z12" s="13">
        <f>CAPEX!Z12</f>
        <v>1</v>
      </c>
      <c r="AA12" s="13">
        <f>CAPEX!AA12</f>
        <v>1</v>
      </c>
      <c r="AB12" s="13">
        <f>CAPEX!AB12</f>
        <v>1</v>
      </c>
      <c r="AC12" s="13">
        <f>CAPEX!AC12</f>
        <v>1</v>
      </c>
      <c r="AD12" s="13">
        <f>CAPEX!AD12</f>
        <v>1</v>
      </c>
      <c r="AE12" s="13">
        <f>CAPEX!AE12</f>
        <v>1</v>
      </c>
      <c r="AF12" s="13">
        <f>CAPEX!AF12</f>
        <v>1</v>
      </c>
      <c r="AG12" s="13">
        <f>CAPEX!AG12</f>
        <v>1</v>
      </c>
      <c r="AH12" s="13">
        <f>CAPEX!AH12</f>
        <v>1</v>
      </c>
      <c r="AI12" s="13">
        <f>CAPEX!AI12</f>
        <v>1</v>
      </c>
      <c r="AJ12" s="13">
        <f>CAPEX!AJ12</f>
        <v>1</v>
      </c>
      <c r="AK12" s="13">
        <f>CAPEX!AK12</f>
        <v>1</v>
      </c>
      <c r="AL12" s="13">
        <f>CAPEX!AL12</f>
        <v>1</v>
      </c>
      <c r="AM12" s="13">
        <f>CAPEX!AM12</f>
        <v>1</v>
      </c>
      <c r="AN12" s="13">
        <f>CAPEX!AN12</f>
        <v>1</v>
      </c>
      <c r="AO12" s="13">
        <f>CAPEX!AO12</f>
        <v>1</v>
      </c>
      <c r="AP12" s="13">
        <f>CAPEX!AP12</f>
        <v>1</v>
      </c>
      <c r="AQ12" s="13">
        <f>CAPEX!AQ12</f>
        <v>1</v>
      </c>
      <c r="AR12" s="13">
        <f>CAPEX!AR12</f>
        <v>1</v>
      </c>
      <c r="AS12" s="13">
        <f>CAPEX!AS12</f>
        <v>1</v>
      </c>
      <c r="AT12" s="13">
        <f>CAPEX!AT12</f>
        <v>1</v>
      </c>
      <c r="AU12" s="13">
        <f>CAPEX!AU12</f>
        <v>1</v>
      </c>
      <c r="AV12" s="13">
        <f>CAPEX!AV12</f>
        <v>1</v>
      </c>
      <c r="AW12" s="13">
        <f>CAPEX!AW12</f>
        <v>1</v>
      </c>
      <c r="AX12" s="13">
        <f>CAPEX!AX12</f>
        <v>1</v>
      </c>
      <c r="AY12" s="13">
        <f>CAPEX!AY12</f>
        <v>1</v>
      </c>
      <c r="AZ12" s="13">
        <f>CAPEX!AZ12</f>
        <v>1</v>
      </c>
      <c r="BA12" s="13">
        <f>CAPEX!BA12</f>
        <v>1</v>
      </c>
      <c r="BB12" s="13">
        <f>CAPEX!BB12</f>
        <v>1</v>
      </c>
      <c r="BC12" s="13">
        <f>CAPEX!BC12</f>
        <v>1</v>
      </c>
      <c r="BD12" s="13">
        <f>CAPEX!BD12</f>
        <v>1</v>
      </c>
      <c r="BE12" s="13">
        <f>CAPEX!BE12</f>
        <v>1</v>
      </c>
      <c r="BF12" s="13">
        <f>CAPEX!BF12</f>
        <v>1</v>
      </c>
      <c r="BG12" s="13">
        <f>CAPEX!BG12</f>
        <v>1</v>
      </c>
      <c r="BH12" s="13">
        <f>CAPEX!BH12</f>
        <v>1</v>
      </c>
      <c r="BI12" s="13">
        <f>CAPEX!BI12</f>
        <v>1</v>
      </c>
      <c r="BJ12" s="13">
        <f>CAPEX!BJ12</f>
        <v>1</v>
      </c>
      <c r="BK12" s="13">
        <f>CAPEX!BK12</f>
        <v>1</v>
      </c>
      <c r="BL12" s="13">
        <f>CAPEX!BL12</f>
        <v>1</v>
      </c>
      <c r="BM12" s="13">
        <f>CAPEX!BM12</f>
        <v>1</v>
      </c>
      <c r="BN12" s="13">
        <f>CAPEX!BN12</f>
        <v>1</v>
      </c>
      <c r="BO12" s="13">
        <f>CAPEX!BO12</f>
        <v>1</v>
      </c>
      <c r="BP12" s="13">
        <f>CAPEX!BP12</f>
        <v>1</v>
      </c>
      <c r="BQ12" s="13">
        <f>CAPEX!BQ12</f>
        <v>1</v>
      </c>
      <c r="BR12" s="13">
        <f>CAPEX!BR12</f>
        <v>0</v>
      </c>
      <c r="BS12" s="13">
        <f>CAPEX!BS12</f>
        <v>0</v>
      </c>
      <c r="BT12" s="13">
        <f>CAPEX!BT12</f>
        <v>0</v>
      </c>
      <c r="BU12" s="13">
        <f>CAPEX!BU12</f>
        <v>0</v>
      </c>
      <c r="BV12" s="13">
        <f>CAPEX!BV12</f>
        <v>0</v>
      </c>
      <c r="BW12" s="13">
        <f>CAPEX!BW12</f>
        <v>0</v>
      </c>
      <c r="BX12" s="13">
        <f>CAPEX!BX12</f>
        <v>0</v>
      </c>
      <c r="BY12" s="13">
        <f>CAPEX!BY12</f>
        <v>0</v>
      </c>
      <c r="BZ12" s="13">
        <f>CAPEX!BZ12</f>
        <v>0</v>
      </c>
      <c r="CA12" s="13">
        <f>CAPEX!CA12</f>
        <v>0</v>
      </c>
      <c r="CB12" s="13">
        <f>CAPEX!CB12</f>
        <v>0</v>
      </c>
      <c r="CC12" s="13">
        <f>CAPEX!CC12</f>
        <v>0</v>
      </c>
      <c r="CD12" s="13">
        <f>CAPEX!CD12</f>
        <v>0</v>
      </c>
      <c r="CE12" s="13">
        <f>CAPEX!CE12</f>
        <v>0</v>
      </c>
      <c r="CF12" s="13">
        <f>CAPEX!CF12</f>
        <v>0</v>
      </c>
      <c r="CG12" s="13">
        <f>CAPEX!CG12</f>
        <v>0</v>
      </c>
      <c r="CH12" s="13">
        <f>CAPEX!CH12</f>
        <v>0</v>
      </c>
      <c r="CI12" s="13">
        <f>CAPEX!CI12</f>
        <v>0</v>
      </c>
      <c r="CJ12" s="13">
        <f>CAPEX!CJ12</f>
        <v>0</v>
      </c>
      <c r="CK12" s="13">
        <f>CAPEX!CK12</f>
        <v>0</v>
      </c>
      <c r="CL12" s="13">
        <f>CAPEX!CL12</f>
        <v>0</v>
      </c>
      <c r="CM12" s="13">
        <f>CAPEX!CM12</f>
        <v>0</v>
      </c>
      <c r="CN12" s="13">
        <f>CAPEX!CN12</f>
        <v>0</v>
      </c>
      <c r="CO12" s="13">
        <f>CAPEX!CO12</f>
        <v>0</v>
      </c>
      <c r="CP12" s="13">
        <f>CAPEX!CP12</f>
        <v>0</v>
      </c>
      <c r="CQ12" s="13">
        <f>CAPEX!CQ12</f>
        <v>0</v>
      </c>
      <c r="CR12" s="13">
        <f>CAPEX!CR12</f>
        <v>0</v>
      </c>
      <c r="CS12" s="13">
        <f>CAPEX!CS12</f>
        <v>0</v>
      </c>
      <c r="CT12" s="13">
        <f>CAPEX!CT12</f>
        <v>0</v>
      </c>
      <c r="CU12" s="13"/>
      <c r="CV12" s="13"/>
      <c r="CW12" s="13"/>
      <c r="CX12" s="13"/>
      <c r="CY12" s="13"/>
      <c r="CZ12" s="13"/>
      <c r="DA12" s="13"/>
      <c r="DB12" s="13"/>
      <c r="DC12" s="13"/>
      <c r="DD12" s="13"/>
    </row>
    <row r="13" spans="1:108" ht="12.75" customHeight="1" x14ac:dyDescent="0.25">
      <c r="H13" s="54"/>
      <c r="N13" s="19"/>
    </row>
    <row r="14" spans="1:108" ht="12.75" customHeight="1" x14ac:dyDescent="0.25">
      <c r="C14" t="s">
        <v>159</v>
      </c>
      <c r="H14" s="54" t="s">
        <v>58</v>
      </c>
      <c r="N14" s="19"/>
      <c r="O14" s="13"/>
      <c r="P14" s="13">
        <f>Timing!R32</f>
        <v>0</v>
      </c>
      <c r="Q14" s="13">
        <f>Timing!S32</f>
        <v>0</v>
      </c>
      <c r="R14" s="13">
        <f>Timing!T32</f>
        <v>0</v>
      </c>
      <c r="S14" s="13">
        <f>Timing!U32</f>
        <v>1</v>
      </c>
      <c r="T14" s="13">
        <f>Timing!V32</f>
        <v>2</v>
      </c>
      <c r="U14" s="13">
        <f>Timing!W32</f>
        <v>3</v>
      </c>
      <c r="V14" s="13">
        <f>Timing!X32</f>
        <v>4</v>
      </c>
      <c r="W14" s="13">
        <f>Timing!Y32</f>
        <v>5</v>
      </c>
      <c r="X14" s="13">
        <f>Timing!Z32</f>
        <v>6</v>
      </c>
      <c r="Y14" s="13">
        <f>Timing!AA32</f>
        <v>7</v>
      </c>
      <c r="Z14" s="13">
        <f>Timing!AB32</f>
        <v>8</v>
      </c>
      <c r="AA14" s="13">
        <f>Timing!AC32</f>
        <v>9</v>
      </c>
      <c r="AB14" s="13">
        <f>Timing!AD32</f>
        <v>10</v>
      </c>
      <c r="AC14" s="13">
        <f>Timing!AE32</f>
        <v>11</v>
      </c>
      <c r="AD14" s="13">
        <f>Timing!AF32</f>
        <v>12</v>
      </c>
      <c r="AE14" s="13">
        <f>Timing!AG32</f>
        <v>13</v>
      </c>
      <c r="AF14" s="13">
        <f>Timing!AH32</f>
        <v>14</v>
      </c>
      <c r="AG14" s="13">
        <f>Timing!AI32</f>
        <v>15</v>
      </c>
      <c r="AH14" s="13">
        <f>Timing!AJ32</f>
        <v>16</v>
      </c>
      <c r="AI14" s="13">
        <f>Timing!AK32</f>
        <v>17</v>
      </c>
      <c r="AJ14" s="13">
        <f>Timing!AL32</f>
        <v>18</v>
      </c>
      <c r="AK14" s="13">
        <f>Timing!AM32</f>
        <v>19</v>
      </c>
      <c r="AL14" s="13">
        <f>Timing!AN32</f>
        <v>20</v>
      </c>
      <c r="AM14" s="13">
        <f>Timing!AO32</f>
        <v>21</v>
      </c>
      <c r="AN14" s="13">
        <f>Timing!AP32</f>
        <v>22</v>
      </c>
      <c r="AO14" s="13">
        <f>Timing!AQ32</f>
        <v>23</v>
      </c>
      <c r="AP14" s="13">
        <f>Timing!AR32</f>
        <v>24</v>
      </c>
      <c r="AQ14" s="13">
        <f>Timing!AS32</f>
        <v>25</v>
      </c>
      <c r="AR14" s="13">
        <f>Timing!AT32</f>
        <v>26</v>
      </c>
      <c r="AS14" s="13">
        <f>Timing!AU32</f>
        <v>27</v>
      </c>
      <c r="AT14" s="13">
        <f>Timing!AV32</f>
        <v>28</v>
      </c>
      <c r="AU14" s="13">
        <f>Timing!AW32</f>
        <v>29</v>
      </c>
      <c r="AV14" s="13">
        <f>Timing!AX32</f>
        <v>30</v>
      </c>
      <c r="AW14" s="13">
        <f>Timing!AY32</f>
        <v>31</v>
      </c>
      <c r="AX14" s="13">
        <f>Timing!AZ32</f>
        <v>32</v>
      </c>
      <c r="AY14" s="13">
        <f>Timing!BA32</f>
        <v>33</v>
      </c>
      <c r="AZ14" s="13">
        <f>Timing!BB32</f>
        <v>34</v>
      </c>
      <c r="BA14" s="13">
        <f>Timing!BC32</f>
        <v>35</v>
      </c>
      <c r="BB14" s="13">
        <f>Timing!BD32</f>
        <v>36</v>
      </c>
      <c r="BC14" s="13">
        <f>Timing!BE32</f>
        <v>37</v>
      </c>
      <c r="BD14" s="13">
        <f>Timing!BF32</f>
        <v>38</v>
      </c>
      <c r="BE14" s="13">
        <f>Timing!BG32</f>
        <v>39</v>
      </c>
      <c r="BF14" s="13">
        <f>Timing!BH32</f>
        <v>40</v>
      </c>
      <c r="BG14" s="13">
        <f>Timing!BI32</f>
        <v>41</v>
      </c>
      <c r="BH14" s="13">
        <f>Timing!BJ32</f>
        <v>42</v>
      </c>
      <c r="BI14" s="13">
        <f>Timing!BK32</f>
        <v>43</v>
      </c>
      <c r="BJ14" s="13">
        <f>Timing!BL32</f>
        <v>44</v>
      </c>
      <c r="BK14" s="13">
        <f>Timing!BM32</f>
        <v>45</v>
      </c>
      <c r="BL14" s="13">
        <f>Timing!BN32</f>
        <v>46</v>
      </c>
      <c r="BM14" s="13">
        <f>Timing!BO32</f>
        <v>47</v>
      </c>
      <c r="BN14" s="13">
        <f>Timing!BP32</f>
        <v>48</v>
      </c>
      <c r="BO14" s="13">
        <f>Timing!BQ32</f>
        <v>49</v>
      </c>
      <c r="BP14" s="13">
        <f>Timing!BR32</f>
        <v>50</v>
      </c>
      <c r="BQ14" s="13">
        <f>Timing!BS32</f>
        <v>51</v>
      </c>
      <c r="BR14" s="13">
        <f>Timing!BT32</f>
        <v>0</v>
      </c>
      <c r="BS14" s="13">
        <f>Timing!BU32</f>
        <v>0</v>
      </c>
      <c r="BT14" s="13">
        <f>Timing!BV32</f>
        <v>0</v>
      </c>
      <c r="BU14" s="13">
        <f>Timing!BW32</f>
        <v>0</v>
      </c>
      <c r="BV14" s="13">
        <f>Timing!BX32</f>
        <v>0</v>
      </c>
      <c r="BW14" s="13">
        <f>Timing!BY32</f>
        <v>0</v>
      </c>
      <c r="BX14" s="13">
        <f>Timing!BZ32</f>
        <v>0</v>
      </c>
      <c r="BY14" s="13">
        <f>Timing!CA32</f>
        <v>0</v>
      </c>
      <c r="BZ14" s="13">
        <f>Timing!CB32</f>
        <v>0</v>
      </c>
      <c r="CA14" s="13">
        <f>Timing!CC32</f>
        <v>0</v>
      </c>
      <c r="CB14" s="13">
        <f>Timing!CD32</f>
        <v>0</v>
      </c>
      <c r="CC14" s="13">
        <f>Timing!CE32</f>
        <v>0</v>
      </c>
      <c r="CD14" s="13">
        <f>Timing!CF32</f>
        <v>0</v>
      </c>
      <c r="CE14" s="13">
        <f>Timing!CG32</f>
        <v>0</v>
      </c>
      <c r="CF14" s="13">
        <f>Timing!CH32</f>
        <v>0</v>
      </c>
      <c r="CG14" s="13">
        <f>Timing!CI32</f>
        <v>0</v>
      </c>
      <c r="CH14" s="13">
        <f>Timing!CJ32</f>
        <v>0</v>
      </c>
      <c r="CI14" s="13">
        <f>Timing!CK32</f>
        <v>0</v>
      </c>
      <c r="CJ14" s="13">
        <f>Timing!CL32</f>
        <v>0</v>
      </c>
      <c r="CK14" s="13">
        <f>Timing!CM32</f>
        <v>0</v>
      </c>
      <c r="CL14" s="13">
        <f>Timing!CN32</f>
        <v>0</v>
      </c>
      <c r="CM14" s="13">
        <f>Timing!CO32</f>
        <v>0</v>
      </c>
      <c r="CN14" s="13">
        <f>Timing!CP32</f>
        <v>0</v>
      </c>
      <c r="CO14" s="13">
        <f>Timing!CQ32</f>
        <v>0</v>
      </c>
      <c r="CP14" s="13">
        <f>Timing!CR32</f>
        <v>0</v>
      </c>
      <c r="CQ14" s="13">
        <f>Timing!CS32</f>
        <v>0</v>
      </c>
      <c r="CR14" s="13">
        <f>Timing!CT32</f>
        <v>0</v>
      </c>
      <c r="CS14" s="13">
        <f>Timing!CU32</f>
        <v>0</v>
      </c>
      <c r="CT14" s="13">
        <f>Timing!CV32</f>
        <v>0</v>
      </c>
      <c r="CU14" s="13"/>
      <c r="CV14" s="13"/>
      <c r="CW14" s="13"/>
      <c r="CX14" s="13"/>
      <c r="CY14" s="13"/>
      <c r="CZ14" s="13"/>
      <c r="DA14" s="13"/>
      <c r="DB14" s="13"/>
      <c r="DC14" s="13"/>
      <c r="DD14" s="13"/>
    </row>
    <row r="15" spans="1:108" ht="12.75" customHeight="1" x14ac:dyDescent="0.25">
      <c r="H15" s="54"/>
      <c r="N15" s="19"/>
    </row>
    <row r="16" spans="1:108" ht="12.75" customHeight="1" x14ac:dyDescent="0.25">
      <c r="C16" t="s">
        <v>56</v>
      </c>
      <c r="H16" s="54" t="s">
        <v>6</v>
      </c>
      <c r="N16" s="19"/>
      <c r="O16" s="158"/>
      <c r="P16" s="158">
        <f>CAPEX!P14</f>
        <v>0.01</v>
      </c>
      <c r="Q16" s="158">
        <f>CAPEX!Q14</f>
        <v>0.01</v>
      </c>
      <c r="R16" s="158">
        <f>CAPEX!R14</f>
        <v>0.01</v>
      </c>
      <c r="S16" s="158">
        <f>CAPEX!S14</f>
        <v>0.01</v>
      </c>
      <c r="T16" s="158">
        <f>CAPEX!T14</f>
        <v>0.01</v>
      </c>
      <c r="U16" s="158">
        <f>CAPEX!U14</f>
        <v>0.01</v>
      </c>
      <c r="V16" s="158">
        <f>CAPEX!V14</f>
        <v>0.01</v>
      </c>
      <c r="W16" s="158">
        <f>CAPEX!W14</f>
        <v>0.01</v>
      </c>
      <c r="X16" s="158">
        <f>CAPEX!X14</f>
        <v>0.01</v>
      </c>
      <c r="Y16" s="158">
        <f>CAPEX!Y14</f>
        <v>0.01</v>
      </c>
      <c r="Z16" s="158">
        <f>CAPEX!Z14</f>
        <v>0.01</v>
      </c>
      <c r="AA16" s="158">
        <f>CAPEX!AA14</f>
        <v>0.01</v>
      </c>
      <c r="AB16" s="158">
        <f>CAPEX!AB14</f>
        <v>0.01</v>
      </c>
      <c r="AC16" s="158">
        <f>CAPEX!AC14</f>
        <v>0.01</v>
      </c>
      <c r="AD16" s="158">
        <f>CAPEX!AD14</f>
        <v>0.01</v>
      </c>
      <c r="AE16" s="158">
        <f>CAPEX!AE14</f>
        <v>0.01</v>
      </c>
      <c r="AF16" s="158">
        <f>CAPEX!AF14</f>
        <v>0.01</v>
      </c>
      <c r="AG16" s="158">
        <f>CAPEX!AG14</f>
        <v>0.01</v>
      </c>
      <c r="AH16" s="158">
        <f>CAPEX!AH14</f>
        <v>0.01</v>
      </c>
      <c r="AI16" s="158">
        <f>CAPEX!AI14</f>
        <v>0.01</v>
      </c>
      <c r="AJ16" s="158">
        <f>CAPEX!AJ14</f>
        <v>0.01</v>
      </c>
      <c r="AK16" s="158">
        <f>CAPEX!AK14</f>
        <v>0.01</v>
      </c>
      <c r="AL16" s="158">
        <f>CAPEX!AL14</f>
        <v>0.01</v>
      </c>
      <c r="AM16" s="158">
        <f>CAPEX!AM14</f>
        <v>0.01</v>
      </c>
      <c r="AN16" s="158">
        <f>CAPEX!AN14</f>
        <v>0.01</v>
      </c>
      <c r="AO16" s="158">
        <f>CAPEX!AO14</f>
        <v>0.01</v>
      </c>
      <c r="AP16" s="158">
        <f>CAPEX!AP14</f>
        <v>0.01</v>
      </c>
      <c r="AQ16" s="158">
        <f>CAPEX!AQ14</f>
        <v>0.01</v>
      </c>
      <c r="AR16" s="158">
        <f>CAPEX!AR14</f>
        <v>0.01</v>
      </c>
      <c r="AS16" s="158">
        <f>CAPEX!AS14</f>
        <v>0.01</v>
      </c>
      <c r="AT16" s="158">
        <f>CAPEX!AT14</f>
        <v>0.01</v>
      </c>
      <c r="AU16" s="158">
        <f>CAPEX!AU14</f>
        <v>0.01</v>
      </c>
      <c r="AV16" s="158">
        <f>CAPEX!AV14</f>
        <v>0.01</v>
      </c>
      <c r="AW16" s="158">
        <f>CAPEX!AW14</f>
        <v>0.01</v>
      </c>
      <c r="AX16" s="158">
        <f>CAPEX!AX14</f>
        <v>0.01</v>
      </c>
      <c r="AY16" s="158">
        <f>CAPEX!AY14</f>
        <v>0.01</v>
      </c>
      <c r="AZ16" s="158">
        <f>CAPEX!AZ14</f>
        <v>0.01</v>
      </c>
      <c r="BA16" s="158">
        <f>CAPEX!BA14</f>
        <v>0.01</v>
      </c>
      <c r="BB16" s="158">
        <f>CAPEX!BB14</f>
        <v>0.01</v>
      </c>
      <c r="BC16" s="158">
        <f>CAPEX!BC14</f>
        <v>0.01</v>
      </c>
      <c r="BD16" s="158">
        <f>CAPEX!BD14</f>
        <v>0.01</v>
      </c>
      <c r="BE16" s="158">
        <f>CAPEX!BE14</f>
        <v>0.01</v>
      </c>
      <c r="BF16" s="158">
        <f>CAPEX!BF14</f>
        <v>0.01</v>
      </c>
      <c r="BG16" s="158">
        <f>CAPEX!BG14</f>
        <v>0.01</v>
      </c>
      <c r="BH16" s="158">
        <f>CAPEX!BH14</f>
        <v>0.01</v>
      </c>
      <c r="BI16" s="158">
        <f>CAPEX!BI14</f>
        <v>0.01</v>
      </c>
      <c r="BJ16" s="158">
        <f>CAPEX!BJ14</f>
        <v>0.01</v>
      </c>
      <c r="BK16" s="158">
        <f>CAPEX!BK14</f>
        <v>0.01</v>
      </c>
      <c r="BL16" s="158">
        <f>CAPEX!BL14</f>
        <v>0.01</v>
      </c>
      <c r="BM16" s="158">
        <f>CAPEX!BM14</f>
        <v>0.01</v>
      </c>
      <c r="BN16" s="158">
        <f>CAPEX!BN14</f>
        <v>0.01</v>
      </c>
      <c r="BO16" s="158">
        <f>CAPEX!BO14</f>
        <v>0.01</v>
      </c>
      <c r="BP16" s="158">
        <f>CAPEX!BP14</f>
        <v>0.01</v>
      </c>
      <c r="BQ16" s="158">
        <f>CAPEX!BQ14</f>
        <v>0.01</v>
      </c>
      <c r="BR16" s="158">
        <f>CAPEX!BR14</f>
        <v>0.01</v>
      </c>
      <c r="BS16" s="158">
        <f>CAPEX!BS14</f>
        <v>0.01</v>
      </c>
      <c r="BT16" s="158">
        <f>CAPEX!BT14</f>
        <v>0.01</v>
      </c>
      <c r="BU16" s="158">
        <f>CAPEX!BU14</f>
        <v>0.01</v>
      </c>
      <c r="BV16" s="158">
        <f>CAPEX!BV14</f>
        <v>0.01</v>
      </c>
      <c r="BW16" s="158">
        <f>CAPEX!BW14</f>
        <v>0.01</v>
      </c>
      <c r="BX16" s="158">
        <f>CAPEX!BX14</f>
        <v>0.01</v>
      </c>
      <c r="BY16" s="158">
        <f>CAPEX!BY14</f>
        <v>0.01</v>
      </c>
      <c r="BZ16" s="158">
        <f>CAPEX!BZ14</f>
        <v>0.01</v>
      </c>
      <c r="CA16" s="158">
        <f>CAPEX!CA14</f>
        <v>0.01</v>
      </c>
      <c r="CB16" s="158">
        <f>CAPEX!CB14</f>
        <v>0.01</v>
      </c>
      <c r="CC16" s="158">
        <f>CAPEX!CC14</f>
        <v>0.01</v>
      </c>
      <c r="CD16" s="158">
        <f>CAPEX!CD14</f>
        <v>0.01</v>
      </c>
      <c r="CE16" s="158">
        <f>CAPEX!CE14</f>
        <v>0</v>
      </c>
      <c r="CF16" s="158">
        <f>CAPEX!CF14</f>
        <v>0</v>
      </c>
      <c r="CG16" s="158">
        <f>CAPEX!CG14</f>
        <v>0</v>
      </c>
      <c r="CH16" s="158">
        <f>CAPEX!CH14</f>
        <v>0</v>
      </c>
      <c r="CI16" s="158">
        <f>CAPEX!CI14</f>
        <v>0</v>
      </c>
      <c r="CJ16" s="158">
        <f>CAPEX!CJ14</f>
        <v>0</v>
      </c>
      <c r="CK16" s="158">
        <f>CAPEX!CK14</f>
        <v>0</v>
      </c>
      <c r="CL16" s="158">
        <f>CAPEX!CL14</f>
        <v>0</v>
      </c>
      <c r="CM16" s="158">
        <f>CAPEX!CM14</f>
        <v>0</v>
      </c>
      <c r="CN16" s="158">
        <f>CAPEX!CN14</f>
        <v>0</v>
      </c>
      <c r="CO16" s="158">
        <f>CAPEX!CO14</f>
        <v>0</v>
      </c>
      <c r="CP16" s="158">
        <f>CAPEX!CP14</f>
        <v>0</v>
      </c>
      <c r="CQ16" s="158">
        <f>CAPEX!CQ14</f>
        <v>0</v>
      </c>
      <c r="CR16" s="158">
        <f>CAPEX!CR14</f>
        <v>0</v>
      </c>
      <c r="CS16" s="158">
        <f>CAPEX!CS14</f>
        <v>0</v>
      </c>
      <c r="CT16" s="158">
        <f>CAPEX!CT14</f>
        <v>0</v>
      </c>
      <c r="CU16" s="158"/>
      <c r="CV16" s="158"/>
      <c r="CW16" s="158"/>
      <c r="CX16" s="158"/>
      <c r="CY16" s="158"/>
      <c r="CZ16" s="158"/>
      <c r="DA16" s="158"/>
      <c r="DB16" s="158"/>
      <c r="DC16" s="158"/>
      <c r="DD16" s="158"/>
    </row>
    <row r="17" spans="1:108" ht="12.75" customHeight="1" x14ac:dyDescent="0.25">
      <c r="C17" t="s">
        <v>57</v>
      </c>
      <c r="H17" s="54" t="s">
        <v>58</v>
      </c>
      <c r="N17" s="19"/>
      <c r="O17" s="159"/>
      <c r="P17" s="10">
        <f>CAPEX!P15</f>
        <v>1</v>
      </c>
      <c r="Q17" s="10">
        <f>CAPEX!Q15</f>
        <v>1.01</v>
      </c>
      <c r="R17" s="10">
        <f>CAPEX!R15</f>
        <v>1.0201</v>
      </c>
      <c r="S17" s="10">
        <f>CAPEX!S15</f>
        <v>1.0303009999999999</v>
      </c>
      <c r="T17" s="10">
        <f>CAPEX!T15</f>
        <v>1.04060401</v>
      </c>
      <c r="U17" s="10">
        <f>CAPEX!U15</f>
        <v>1.0510100500999999</v>
      </c>
      <c r="V17" s="10">
        <f>CAPEX!V15</f>
        <v>1.0615201506009999</v>
      </c>
      <c r="W17" s="10">
        <f>CAPEX!W15</f>
        <v>1.0721353521070098</v>
      </c>
      <c r="X17" s="10">
        <f>CAPEX!X15</f>
        <v>1.08285670562808</v>
      </c>
      <c r="Y17" s="10">
        <f>CAPEX!Y15</f>
        <v>1.0936852726843609</v>
      </c>
      <c r="Z17" s="10">
        <f>CAPEX!Z15</f>
        <v>1.1046221254112045</v>
      </c>
      <c r="AA17" s="10">
        <f>CAPEX!AA15</f>
        <v>1.1156683466653166</v>
      </c>
      <c r="AB17" s="10">
        <f>CAPEX!AB15</f>
        <v>1.1268250301319698</v>
      </c>
      <c r="AC17" s="10">
        <f>CAPEX!AC15</f>
        <v>1.1380932804332895</v>
      </c>
      <c r="AD17" s="10">
        <f>CAPEX!AD15</f>
        <v>1.1494742132376223</v>
      </c>
      <c r="AE17" s="10">
        <f>CAPEX!AE15</f>
        <v>1.1609689553699987</v>
      </c>
      <c r="AF17" s="10">
        <f>CAPEX!AF15</f>
        <v>1.1725786449236986</v>
      </c>
      <c r="AG17" s="10">
        <f>CAPEX!AG15</f>
        <v>1.1843044313729356</v>
      </c>
      <c r="AH17" s="10">
        <f>CAPEX!AH15</f>
        <v>1.196147475686665</v>
      </c>
      <c r="AI17" s="10">
        <f>CAPEX!AI15</f>
        <v>1.2081089504435316</v>
      </c>
      <c r="AJ17" s="10">
        <f>CAPEX!AJ15</f>
        <v>1.220190039947967</v>
      </c>
      <c r="AK17" s="10">
        <f>CAPEX!AK15</f>
        <v>1.2323919403474468</v>
      </c>
      <c r="AL17" s="10">
        <f>CAPEX!AL15</f>
        <v>1.2447158597509214</v>
      </c>
      <c r="AM17" s="10">
        <f>CAPEX!AM15</f>
        <v>1.2571630183484306</v>
      </c>
      <c r="AN17" s="10">
        <f>CAPEX!AN15</f>
        <v>1.269734648531915</v>
      </c>
      <c r="AO17" s="10">
        <f>CAPEX!AO15</f>
        <v>1.282431995017234</v>
      </c>
      <c r="AP17" s="10">
        <f>CAPEX!AP15</f>
        <v>1.2952563149674063</v>
      </c>
      <c r="AQ17" s="10">
        <f>CAPEX!AQ15</f>
        <v>1.3082088781170804</v>
      </c>
      <c r="AR17" s="10">
        <f>CAPEX!AR15</f>
        <v>1.3212909668982513</v>
      </c>
      <c r="AS17" s="10">
        <f>CAPEX!AS15</f>
        <v>1.3345038765672339</v>
      </c>
      <c r="AT17" s="10">
        <f>CAPEX!AT15</f>
        <v>1.3478489153329063</v>
      </c>
      <c r="AU17" s="10">
        <f>CAPEX!AU15</f>
        <v>1.3613274044862353</v>
      </c>
      <c r="AV17" s="10">
        <f>CAPEX!AV15</f>
        <v>1.3749406785310978</v>
      </c>
      <c r="AW17" s="10">
        <f>CAPEX!AW15</f>
        <v>1.3886900853164088</v>
      </c>
      <c r="AX17" s="10">
        <f>CAPEX!AX15</f>
        <v>1.4025769861695729</v>
      </c>
      <c r="AY17" s="10">
        <f>CAPEX!AY15</f>
        <v>1.4166027560312686</v>
      </c>
      <c r="AZ17" s="10">
        <f>CAPEX!AZ15</f>
        <v>1.4307687835915812</v>
      </c>
      <c r="BA17" s="10">
        <f>CAPEX!BA15</f>
        <v>1.4450764714274971</v>
      </c>
      <c r="BB17" s="10">
        <f>CAPEX!BB15</f>
        <v>1.4595272361417722</v>
      </c>
      <c r="BC17" s="10">
        <f>CAPEX!BC15</f>
        <v>1.4741225085031899</v>
      </c>
      <c r="BD17" s="10">
        <f>CAPEX!BD15</f>
        <v>1.4888637335882218</v>
      </c>
      <c r="BE17" s="10">
        <f>CAPEX!BE15</f>
        <v>1.5037523709241041</v>
      </c>
      <c r="BF17" s="10">
        <f>CAPEX!BF15</f>
        <v>1.5187898946333451</v>
      </c>
      <c r="BG17" s="10">
        <f>CAPEX!BG15</f>
        <v>1.5339777935796786</v>
      </c>
      <c r="BH17" s="10">
        <f>CAPEX!BH15</f>
        <v>1.5493175715154754</v>
      </c>
      <c r="BI17" s="10">
        <f>CAPEX!BI15</f>
        <v>1.5648107472306303</v>
      </c>
      <c r="BJ17" s="10">
        <f>CAPEX!BJ15</f>
        <v>1.5804588547029366</v>
      </c>
      <c r="BK17" s="10">
        <f>CAPEX!BK15</f>
        <v>1.5962634432499661</v>
      </c>
      <c r="BL17" s="10">
        <f>CAPEX!BL15</f>
        <v>1.6122260776824657</v>
      </c>
      <c r="BM17" s="10">
        <f>CAPEX!BM15</f>
        <v>1.6283483384592905</v>
      </c>
      <c r="BN17" s="10">
        <f>CAPEX!BN15</f>
        <v>1.6446318218438833</v>
      </c>
      <c r="BO17" s="10">
        <f>CAPEX!BO15</f>
        <v>1.6610781400623222</v>
      </c>
      <c r="BP17" s="10">
        <f>CAPEX!BP15</f>
        <v>1.6776889214629456</v>
      </c>
      <c r="BQ17" s="10">
        <f>CAPEX!BQ15</f>
        <v>1.694465810677575</v>
      </c>
      <c r="BR17" s="10">
        <f>CAPEX!BR15</f>
        <v>1.7114104687843508</v>
      </c>
      <c r="BS17" s="10">
        <f>CAPEX!BS15</f>
        <v>1.7285245734721943</v>
      </c>
      <c r="BT17" s="10">
        <f>CAPEX!BT15</f>
        <v>1.7458098192069162</v>
      </c>
      <c r="BU17" s="10">
        <f>CAPEX!BU15</f>
        <v>1.7632679173989854</v>
      </c>
      <c r="BV17" s="10">
        <f>CAPEX!BV15</f>
        <v>1.7809005965729752</v>
      </c>
      <c r="BW17" s="10">
        <f>CAPEX!BW15</f>
        <v>1.798709602538705</v>
      </c>
      <c r="BX17" s="10">
        <f>CAPEX!BX15</f>
        <v>1.8166966985640922</v>
      </c>
      <c r="BY17" s="10">
        <f>CAPEX!BY15</f>
        <v>1.8348636655497332</v>
      </c>
      <c r="BZ17" s="10">
        <f>CAPEX!BZ15</f>
        <v>1.8532123022052305</v>
      </c>
      <c r="CA17" s="10">
        <f>CAPEX!CA15</f>
        <v>1.8717444252272828</v>
      </c>
      <c r="CB17" s="10">
        <f>CAPEX!CB15</f>
        <v>1.8904618694795556</v>
      </c>
      <c r="CC17" s="10">
        <f>CAPEX!CC15</f>
        <v>1.9093664881743513</v>
      </c>
      <c r="CD17" s="10">
        <f>CAPEX!CD15</f>
        <v>1.9284601530560948</v>
      </c>
      <c r="CE17" s="10">
        <f>CAPEX!CE15</f>
        <v>1.9284601530560948</v>
      </c>
      <c r="CF17" s="10">
        <f>CAPEX!CF15</f>
        <v>1.9284601530560948</v>
      </c>
      <c r="CG17" s="10">
        <f>CAPEX!CG15</f>
        <v>1.9284601530560948</v>
      </c>
      <c r="CH17" s="10">
        <f>CAPEX!CH15</f>
        <v>1.9284601530560948</v>
      </c>
      <c r="CI17" s="10">
        <f>CAPEX!CI15</f>
        <v>1.9284601530560948</v>
      </c>
      <c r="CJ17" s="10">
        <f>CAPEX!CJ15</f>
        <v>1.9284601530560948</v>
      </c>
      <c r="CK17" s="10">
        <f>CAPEX!CK15</f>
        <v>1.9284601530560948</v>
      </c>
      <c r="CL17" s="10">
        <f>CAPEX!CL15</f>
        <v>1.9284601530560948</v>
      </c>
      <c r="CM17" s="10">
        <f>CAPEX!CM15</f>
        <v>1.9284601530560948</v>
      </c>
      <c r="CN17" s="10">
        <f>CAPEX!CN15</f>
        <v>1.9284601530560948</v>
      </c>
      <c r="CO17" s="10">
        <f>CAPEX!CO15</f>
        <v>1.9284601530560948</v>
      </c>
      <c r="CP17" s="10">
        <f>CAPEX!CP15</f>
        <v>1.9284601530560948</v>
      </c>
      <c r="CQ17" s="10">
        <f>CAPEX!CQ15</f>
        <v>1.9284601530560948</v>
      </c>
      <c r="CR17" s="10">
        <f>CAPEX!CR15</f>
        <v>0</v>
      </c>
      <c r="CS17" s="10">
        <f>CAPEX!CS15</f>
        <v>0</v>
      </c>
      <c r="CT17" s="10">
        <f>CAPEX!CT15</f>
        <v>0</v>
      </c>
      <c r="CU17" s="159"/>
      <c r="CV17" s="159"/>
      <c r="CW17" s="159"/>
      <c r="CX17" s="159"/>
      <c r="CY17" s="159"/>
      <c r="CZ17" s="159"/>
      <c r="DA17" s="159"/>
      <c r="DB17" s="159"/>
      <c r="DC17" s="159"/>
      <c r="DD17" s="159"/>
    </row>
    <row r="18" spans="1:108" ht="12.75" customHeight="1" x14ac:dyDescent="0.25">
      <c r="C18" s="65"/>
      <c r="H18" s="54"/>
      <c r="N18" s="19"/>
    </row>
    <row r="19" spans="1:108" ht="12.75" customHeight="1" x14ac:dyDescent="0.25">
      <c r="H19" s="54"/>
      <c r="J19" s="16"/>
      <c r="N19" s="19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</row>
    <row r="20" spans="1:108" s="5" customFormat="1" ht="12.75" customHeight="1" x14ac:dyDescent="0.2">
      <c r="A20" s="5" t="s">
        <v>59</v>
      </c>
      <c r="H20" s="137"/>
      <c r="I20" s="8"/>
    </row>
    <row r="21" spans="1:108" s="125" customFormat="1" ht="12.75" customHeight="1" x14ac:dyDescent="0.25">
      <c r="A21" s="124" t="s">
        <v>165</v>
      </c>
      <c r="H21" s="126"/>
      <c r="J21" s="127"/>
      <c r="N21" s="128"/>
    </row>
    <row r="22" spans="1:108" ht="12.75" customHeight="1" x14ac:dyDescent="0.25">
      <c r="H22" s="54"/>
      <c r="J22" s="173"/>
      <c r="N22" s="19"/>
    </row>
    <row r="23" spans="1:108" ht="12.75" customHeight="1" x14ac:dyDescent="0.25">
      <c r="H23" s="54"/>
      <c r="J23" s="38" t="s">
        <v>166</v>
      </c>
      <c r="K23" s="96"/>
      <c r="N23" s="19"/>
    </row>
    <row r="24" spans="1:108" ht="12.75" customHeight="1" x14ac:dyDescent="0.25">
      <c r="C24" t="s">
        <v>167</v>
      </c>
      <c r="H24" s="9" t="s">
        <v>102</v>
      </c>
      <c r="J24" s="85">
        <f>InputC!K39</f>
        <v>120</v>
      </c>
      <c r="K24" s="24"/>
      <c r="N24" s="19"/>
      <c r="O24" s="10"/>
      <c r="P24" s="10">
        <f>$J24*P$12</f>
        <v>0</v>
      </c>
      <c r="Q24" s="10">
        <f t="shared" ref="Q24:CB24" si="1">$J24*Q$12</f>
        <v>0</v>
      </c>
      <c r="R24" s="10">
        <f t="shared" si="1"/>
        <v>0</v>
      </c>
      <c r="S24" s="10">
        <f t="shared" si="1"/>
        <v>120</v>
      </c>
      <c r="T24" s="10">
        <f t="shared" si="1"/>
        <v>120</v>
      </c>
      <c r="U24" s="10">
        <f t="shared" si="1"/>
        <v>120</v>
      </c>
      <c r="V24" s="10">
        <f t="shared" si="1"/>
        <v>120</v>
      </c>
      <c r="W24" s="10">
        <f t="shared" si="1"/>
        <v>120</v>
      </c>
      <c r="X24" s="10">
        <f t="shared" si="1"/>
        <v>120</v>
      </c>
      <c r="Y24" s="10">
        <f t="shared" si="1"/>
        <v>120</v>
      </c>
      <c r="Z24" s="10">
        <f t="shared" si="1"/>
        <v>120</v>
      </c>
      <c r="AA24" s="10">
        <f t="shared" si="1"/>
        <v>120</v>
      </c>
      <c r="AB24" s="10">
        <f t="shared" si="1"/>
        <v>120</v>
      </c>
      <c r="AC24" s="10">
        <f t="shared" si="1"/>
        <v>120</v>
      </c>
      <c r="AD24" s="10">
        <f t="shared" si="1"/>
        <v>120</v>
      </c>
      <c r="AE24" s="10">
        <f t="shared" si="1"/>
        <v>120</v>
      </c>
      <c r="AF24" s="10">
        <f t="shared" si="1"/>
        <v>120</v>
      </c>
      <c r="AG24" s="10">
        <f t="shared" si="1"/>
        <v>120</v>
      </c>
      <c r="AH24" s="10">
        <f t="shared" si="1"/>
        <v>120</v>
      </c>
      <c r="AI24" s="10">
        <f t="shared" si="1"/>
        <v>120</v>
      </c>
      <c r="AJ24" s="10">
        <f t="shared" si="1"/>
        <v>120</v>
      </c>
      <c r="AK24" s="10">
        <f t="shared" si="1"/>
        <v>120</v>
      </c>
      <c r="AL24" s="10">
        <f t="shared" si="1"/>
        <v>120</v>
      </c>
      <c r="AM24" s="10">
        <f t="shared" si="1"/>
        <v>120</v>
      </c>
      <c r="AN24" s="10">
        <f t="shared" si="1"/>
        <v>120</v>
      </c>
      <c r="AO24" s="10">
        <f t="shared" si="1"/>
        <v>120</v>
      </c>
      <c r="AP24" s="10">
        <f t="shared" si="1"/>
        <v>120</v>
      </c>
      <c r="AQ24" s="10">
        <f t="shared" si="1"/>
        <v>120</v>
      </c>
      <c r="AR24" s="10">
        <f t="shared" si="1"/>
        <v>120</v>
      </c>
      <c r="AS24" s="10">
        <f t="shared" si="1"/>
        <v>120</v>
      </c>
      <c r="AT24" s="10">
        <f t="shared" si="1"/>
        <v>120</v>
      </c>
      <c r="AU24" s="10">
        <f t="shared" si="1"/>
        <v>120</v>
      </c>
      <c r="AV24" s="10">
        <f t="shared" si="1"/>
        <v>120</v>
      </c>
      <c r="AW24" s="10">
        <f t="shared" si="1"/>
        <v>120</v>
      </c>
      <c r="AX24" s="10">
        <f t="shared" si="1"/>
        <v>120</v>
      </c>
      <c r="AY24" s="10">
        <f t="shared" si="1"/>
        <v>120</v>
      </c>
      <c r="AZ24" s="10">
        <f t="shared" si="1"/>
        <v>120</v>
      </c>
      <c r="BA24" s="10">
        <f t="shared" si="1"/>
        <v>120</v>
      </c>
      <c r="BB24" s="10">
        <f t="shared" si="1"/>
        <v>120</v>
      </c>
      <c r="BC24" s="10">
        <f t="shared" si="1"/>
        <v>120</v>
      </c>
      <c r="BD24" s="10">
        <f t="shared" si="1"/>
        <v>120</v>
      </c>
      <c r="BE24" s="10">
        <f t="shared" si="1"/>
        <v>120</v>
      </c>
      <c r="BF24" s="10">
        <f t="shared" si="1"/>
        <v>120</v>
      </c>
      <c r="BG24" s="10">
        <f t="shared" si="1"/>
        <v>120</v>
      </c>
      <c r="BH24" s="10">
        <f t="shared" si="1"/>
        <v>120</v>
      </c>
      <c r="BI24" s="10">
        <f t="shared" si="1"/>
        <v>120</v>
      </c>
      <c r="BJ24" s="10">
        <f t="shared" si="1"/>
        <v>120</v>
      </c>
      <c r="BK24" s="10">
        <f t="shared" si="1"/>
        <v>120</v>
      </c>
      <c r="BL24" s="10">
        <f t="shared" si="1"/>
        <v>120</v>
      </c>
      <c r="BM24" s="10">
        <f t="shared" si="1"/>
        <v>120</v>
      </c>
      <c r="BN24" s="10">
        <f t="shared" si="1"/>
        <v>120</v>
      </c>
      <c r="BO24" s="10">
        <f t="shared" si="1"/>
        <v>120</v>
      </c>
      <c r="BP24" s="10">
        <f t="shared" si="1"/>
        <v>120</v>
      </c>
      <c r="BQ24" s="10">
        <f t="shared" si="1"/>
        <v>120</v>
      </c>
      <c r="BR24" s="10">
        <f t="shared" si="1"/>
        <v>0</v>
      </c>
      <c r="BS24" s="10">
        <f t="shared" si="1"/>
        <v>0</v>
      </c>
      <c r="BT24" s="10">
        <f t="shared" si="1"/>
        <v>0</v>
      </c>
      <c r="BU24" s="10">
        <f t="shared" si="1"/>
        <v>0</v>
      </c>
      <c r="BV24" s="10">
        <f t="shared" si="1"/>
        <v>0</v>
      </c>
      <c r="BW24" s="10">
        <f t="shared" si="1"/>
        <v>0</v>
      </c>
      <c r="BX24" s="10">
        <f t="shared" si="1"/>
        <v>0</v>
      </c>
      <c r="BY24" s="10">
        <f t="shared" si="1"/>
        <v>0</v>
      </c>
      <c r="BZ24" s="10">
        <f t="shared" si="1"/>
        <v>0</v>
      </c>
      <c r="CA24" s="10">
        <f t="shared" si="1"/>
        <v>0</v>
      </c>
      <c r="CB24" s="10">
        <f t="shared" si="1"/>
        <v>0</v>
      </c>
      <c r="CC24" s="10">
        <f t="shared" ref="CC24:CT24" si="2">$J24*CC$12</f>
        <v>0</v>
      </c>
      <c r="CD24" s="10">
        <f t="shared" si="2"/>
        <v>0</v>
      </c>
      <c r="CE24" s="10">
        <f t="shared" si="2"/>
        <v>0</v>
      </c>
      <c r="CF24" s="10">
        <f t="shared" si="2"/>
        <v>0</v>
      </c>
      <c r="CG24" s="10">
        <f t="shared" si="2"/>
        <v>0</v>
      </c>
      <c r="CH24" s="10">
        <f t="shared" si="2"/>
        <v>0</v>
      </c>
      <c r="CI24" s="10">
        <f t="shared" si="2"/>
        <v>0</v>
      </c>
      <c r="CJ24" s="10">
        <f t="shared" si="2"/>
        <v>0</v>
      </c>
      <c r="CK24" s="10">
        <f t="shared" si="2"/>
        <v>0</v>
      </c>
      <c r="CL24" s="10">
        <f t="shared" si="2"/>
        <v>0</v>
      </c>
      <c r="CM24" s="10">
        <f t="shared" si="2"/>
        <v>0</v>
      </c>
      <c r="CN24" s="10">
        <f t="shared" si="2"/>
        <v>0</v>
      </c>
      <c r="CO24" s="10">
        <f t="shared" si="2"/>
        <v>0</v>
      </c>
      <c r="CP24" s="10">
        <f t="shared" si="2"/>
        <v>0</v>
      </c>
      <c r="CQ24" s="10">
        <f t="shared" si="2"/>
        <v>0</v>
      </c>
      <c r="CR24" s="10">
        <f t="shared" si="2"/>
        <v>0</v>
      </c>
      <c r="CS24" s="10">
        <f t="shared" si="2"/>
        <v>0</v>
      </c>
      <c r="CT24" s="10">
        <f t="shared" si="2"/>
        <v>0</v>
      </c>
      <c r="CU24" s="10"/>
      <c r="CV24" s="10"/>
      <c r="CW24" s="10"/>
      <c r="CX24" s="10"/>
      <c r="CY24" s="10"/>
      <c r="CZ24" s="10"/>
      <c r="DA24" s="10"/>
      <c r="DB24" s="10"/>
      <c r="DC24" s="10"/>
      <c r="DD24" s="10"/>
    </row>
    <row r="25" spans="1:108" ht="12.75" customHeight="1" x14ac:dyDescent="0.25">
      <c r="H25" s="54"/>
      <c r="N25" s="19"/>
    </row>
    <row r="26" spans="1:108" ht="12.75" customHeight="1" x14ac:dyDescent="0.25">
      <c r="C26" s="23" t="s">
        <v>168</v>
      </c>
      <c r="H26" s="54"/>
      <c r="J26" s="96"/>
      <c r="N26" s="19"/>
    </row>
    <row r="27" spans="1:108" ht="12.75" customHeight="1" x14ac:dyDescent="0.25">
      <c r="C27" t="s">
        <v>169</v>
      </c>
      <c r="H27" s="54" t="s">
        <v>13</v>
      </c>
      <c r="J27" s="38" t="s">
        <v>170</v>
      </c>
      <c r="K27" s="96"/>
      <c r="N27" s="19"/>
      <c r="O27" s="68"/>
      <c r="P27" s="68">
        <f>Timing!R34</f>
        <v>0</v>
      </c>
      <c r="Q27" s="68">
        <f>Timing!S34</f>
        <v>0</v>
      </c>
      <c r="R27" s="68">
        <f>Timing!T34</f>
        <v>0</v>
      </c>
      <c r="S27" s="68">
        <f>Timing!U34</f>
        <v>0</v>
      </c>
      <c r="T27" s="68">
        <f>Timing!V34</f>
        <v>1</v>
      </c>
      <c r="U27" s="68">
        <f>Timing!W34</f>
        <v>0</v>
      </c>
      <c r="V27" s="68">
        <f>Timing!X34</f>
        <v>1</v>
      </c>
      <c r="W27" s="68">
        <f>Timing!Y34</f>
        <v>0</v>
      </c>
      <c r="X27" s="68">
        <f>Timing!Z34</f>
        <v>1</v>
      </c>
      <c r="Y27" s="68">
        <f>Timing!AA34</f>
        <v>0</v>
      </c>
      <c r="Z27" s="68">
        <f>Timing!AB34</f>
        <v>1</v>
      </c>
      <c r="AA27" s="68">
        <f>Timing!AC34</f>
        <v>0</v>
      </c>
      <c r="AB27" s="68">
        <f>Timing!AD34</f>
        <v>1</v>
      </c>
      <c r="AC27" s="68">
        <f>Timing!AE34</f>
        <v>0</v>
      </c>
      <c r="AD27" s="68">
        <f>Timing!AF34</f>
        <v>1</v>
      </c>
      <c r="AE27" s="68">
        <f>Timing!AG34</f>
        <v>0</v>
      </c>
      <c r="AF27" s="68">
        <f>Timing!AH34</f>
        <v>1</v>
      </c>
      <c r="AG27" s="68">
        <f>Timing!AI34</f>
        <v>0</v>
      </c>
      <c r="AH27" s="68">
        <f>Timing!AJ34</f>
        <v>1</v>
      </c>
      <c r="AI27" s="68">
        <f>Timing!AK34</f>
        <v>0</v>
      </c>
      <c r="AJ27" s="68">
        <f>Timing!AL34</f>
        <v>1</v>
      </c>
      <c r="AK27" s="68">
        <f>Timing!AM34</f>
        <v>0</v>
      </c>
      <c r="AL27" s="68">
        <f>Timing!AN34</f>
        <v>1</v>
      </c>
      <c r="AM27" s="68">
        <f>Timing!AO34</f>
        <v>0</v>
      </c>
      <c r="AN27" s="68">
        <f>Timing!AP34</f>
        <v>1</v>
      </c>
      <c r="AO27" s="68">
        <f>Timing!AQ34</f>
        <v>0</v>
      </c>
      <c r="AP27" s="68">
        <f>Timing!AR34</f>
        <v>1</v>
      </c>
      <c r="AQ27" s="68">
        <f>Timing!AS34</f>
        <v>0</v>
      </c>
      <c r="AR27" s="68">
        <f>Timing!AT34</f>
        <v>1</v>
      </c>
      <c r="AS27" s="68">
        <f>Timing!AU34</f>
        <v>0</v>
      </c>
      <c r="AT27" s="68">
        <f>Timing!AV34</f>
        <v>1</v>
      </c>
      <c r="AU27" s="68">
        <f>Timing!AW34</f>
        <v>0</v>
      </c>
      <c r="AV27" s="68">
        <f>Timing!AX34</f>
        <v>1</v>
      </c>
      <c r="AW27" s="68">
        <f>Timing!AY34</f>
        <v>0</v>
      </c>
      <c r="AX27" s="68">
        <f>Timing!AZ34</f>
        <v>1</v>
      </c>
      <c r="AY27" s="68">
        <f>Timing!BA34</f>
        <v>0</v>
      </c>
      <c r="AZ27" s="68">
        <f>Timing!BB34</f>
        <v>1</v>
      </c>
      <c r="BA27" s="68">
        <f>Timing!BC34</f>
        <v>0</v>
      </c>
      <c r="BB27" s="68">
        <f>Timing!BD34</f>
        <v>1</v>
      </c>
      <c r="BC27" s="68">
        <f>Timing!BE34</f>
        <v>0</v>
      </c>
      <c r="BD27" s="68">
        <f>Timing!BF34</f>
        <v>1</v>
      </c>
      <c r="BE27" s="68">
        <f>Timing!BG34</f>
        <v>0</v>
      </c>
      <c r="BF27" s="68">
        <f>Timing!BH34</f>
        <v>1</v>
      </c>
      <c r="BG27" s="68">
        <f>Timing!BI34</f>
        <v>0</v>
      </c>
      <c r="BH27" s="68">
        <f>Timing!BJ34</f>
        <v>1</v>
      </c>
      <c r="BI27" s="68">
        <f>Timing!BK34</f>
        <v>0</v>
      </c>
      <c r="BJ27" s="68">
        <f>Timing!BL34</f>
        <v>1</v>
      </c>
      <c r="BK27" s="68">
        <f>Timing!BM34</f>
        <v>0</v>
      </c>
      <c r="BL27" s="68">
        <f>Timing!BN34</f>
        <v>1</v>
      </c>
      <c r="BM27" s="68">
        <f>Timing!BO34</f>
        <v>0</v>
      </c>
      <c r="BN27" s="68">
        <f>Timing!BP34</f>
        <v>1</v>
      </c>
      <c r="BO27" s="68">
        <f>Timing!BQ34</f>
        <v>0</v>
      </c>
      <c r="BP27" s="68">
        <f>Timing!BR34</f>
        <v>1</v>
      </c>
      <c r="BQ27" s="68">
        <f>Timing!BS34</f>
        <v>0</v>
      </c>
      <c r="BR27" s="68">
        <f>Timing!BT34</f>
        <v>0</v>
      </c>
      <c r="BS27" s="68">
        <f>Timing!BU34</f>
        <v>0</v>
      </c>
      <c r="BT27" s="68">
        <f>Timing!BV34</f>
        <v>0</v>
      </c>
      <c r="BU27" s="68">
        <f>Timing!BW34</f>
        <v>0</v>
      </c>
      <c r="BV27" s="68">
        <f>Timing!BX34</f>
        <v>0</v>
      </c>
      <c r="BW27" s="68">
        <f>Timing!BY34</f>
        <v>0</v>
      </c>
      <c r="BX27" s="68">
        <f>Timing!BZ34</f>
        <v>0</v>
      </c>
      <c r="BY27" s="68">
        <f>Timing!CA34</f>
        <v>0</v>
      </c>
      <c r="BZ27" s="68">
        <f>Timing!CB34</f>
        <v>0</v>
      </c>
      <c r="CA27" s="68">
        <f>Timing!CC34</f>
        <v>0</v>
      </c>
      <c r="CB27" s="68">
        <f>Timing!CD34</f>
        <v>0</v>
      </c>
      <c r="CC27" s="68">
        <f>Timing!CE34</f>
        <v>0</v>
      </c>
      <c r="CD27" s="68">
        <f>Timing!CF34</f>
        <v>0</v>
      </c>
      <c r="CE27" s="68">
        <f>Timing!CG34</f>
        <v>0</v>
      </c>
      <c r="CF27" s="68">
        <f>Timing!CH34</f>
        <v>0</v>
      </c>
      <c r="CG27" s="68">
        <f>Timing!CI34</f>
        <v>0</v>
      </c>
      <c r="CH27" s="68">
        <f>Timing!CJ34</f>
        <v>0</v>
      </c>
      <c r="CI27" s="68">
        <f>Timing!CK34</f>
        <v>0</v>
      </c>
      <c r="CJ27" s="68">
        <f>Timing!CL34</f>
        <v>0</v>
      </c>
      <c r="CK27" s="68">
        <f>Timing!CM34</f>
        <v>0</v>
      </c>
      <c r="CL27" s="68">
        <f>Timing!CN34</f>
        <v>0</v>
      </c>
      <c r="CM27" s="68">
        <f>Timing!CO34</f>
        <v>0</v>
      </c>
      <c r="CN27" s="68">
        <f>Timing!CP34</f>
        <v>0</v>
      </c>
      <c r="CO27" s="68">
        <f>Timing!CQ34</f>
        <v>0</v>
      </c>
      <c r="CP27" s="68">
        <f>Timing!CR34</f>
        <v>0</v>
      </c>
      <c r="CQ27" s="68">
        <f>Timing!CS34</f>
        <v>0</v>
      </c>
      <c r="CR27" s="68">
        <f>Timing!CT34</f>
        <v>0</v>
      </c>
      <c r="CS27" s="68">
        <f>Timing!CU34</f>
        <v>0</v>
      </c>
      <c r="CT27" s="68">
        <f>Timing!CV34</f>
        <v>0</v>
      </c>
      <c r="CU27" s="68"/>
      <c r="CV27" s="68"/>
      <c r="CW27" s="68"/>
      <c r="CX27" s="68"/>
      <c r="CY27" s="68"/>
      <c r="CZ27" s="68"/>
      <c r="DA27" s="68"/>
      <c r="DB27" s="68"/>
      <c r="DC27" s="68"/>
      <c r="DD27" s="68"/>
    </row>
    <row r="28" spans="1:108" ht="12.75" customHeight="1" x14ac:dyDescent="0.25">
      <c r="C28" t="s">
        <v>168</v>
      </c>
      <c r="H28" s="54" t="s">
        <v>6</v>
      </c>
      <c r="J28" s="174" t="e">
        <f>InputC!#REF!</f>
        <v>#REF!</v>
      </c>
      <c r="K28" s="24"/>
      <c r="N28" s="19"/>
      <c r="O28" s="82"/>
      <c r="P28" s="82">
        <f t="shared" ref="P28:CA28" si="3">IF(P27=0,1,1-$J28)*P12</f>
        <v>0</v>
      </c>
      <c r="Q28" s="82">
        <f t="shared" si="3"/>
        <v>0</v>
      </c>
      <c r="R28" s="82">
        <f t="shared" si="3"/>
        <v>0</v>
      </c>
      <c r="S28" s="82">
        <f t="shared" si="3"/>
        <v>1</v>
      </c>
      <c r="T28" s="82" t="e">
        <f t="shared" si="3"/>
        <v>#REF!</v>
      </c>
      <c r="U28" s="82">
        <f t="shared" si="3"/>
        <v>1</v>
      </c>
      <c r="V28" s="82" t="e">
        <f t="shared" si="3"/>
        <v>#REF!</v>
      </c>
      <c r="W28" s="82">
        <f t="shared" si="3"/>
        <v>1</v>
      </c>
      <c r="X28" s="82" t="e">
        <f t="shared" si="3"/>
        <v>#REF!</v>
      </c>
      <c r="Y28" s="82">
        <f t="shared" si="3"/>
        <v>1</v>
      </c>
      <c r="Z28" s="82" t="e">
        <f t="shared" si="3"/>
        <v>#REF!</v>
      </c>
      <c r="AA28" s="82">
        <f t="shared" si="3"/>
        <v>1</v>
      </c>
      <c r="AB28" s="82" t="e">
        <f t="shared" si="3"/>
        <v>#REF!</v>
      </c>
      <c r="AC28" s="82">
        <f t="shared" si="3"/>
        <v>1</v>
      </c>
      <c r="AD28" s="82" t="e">
        <f t="shared" si="3"/>
        <v>#REF!</v>
      </c>
      <c r="AE28" s="82">
        <f t="shared" si="3"/>
        <v>1</v>
      </c>
      <c r="AF28" s="82" t="e">
        <f t="shared" si="3"/>
        <v>#REF!</v>
      </c>
      <c r="AG28" s="82">
        <f t="shared" si="3"/>
        <v>1</v>
      </c>
      <c r="AH28" s="82" t="e">
        <f t="shared" si="3"/>
        <v>#REF!</v>
      </c>
      <c r="AI28" s="82">
        <f t="shared" si="3"/>
        <v>1</v>
      </c>
      <c r="AJ28" s="82" t="e">
        <f t="shared" si="3"/>
        <v>#REF!</v>
      </c>
      <c r="AK28" s="82">
        <f t="shared" si="3"/>
        <v>1</v>
      </c>
      <c r="AL28" s="82" t="e">
        <f t="shared" si="3"/>
        <v>#REF!</v>
      </c>
      <c r="AM28" s="82">
        <f t="shared" si="3"/>
        <v>1</v>
      </c>
      <c r="AN28" s="82" t="e">
        <f t="shared" si="3"/>
        <v>#REF!</v>
      </c>
      <c r="AO28" s="82">
        <f t="shared" si="3"/>
        <v>1</v>
      </c>
      <c r="AP28" s="82" t="e">
        <f t="shared" si="3"/>
        <v>#REF!</v>
      </c>
      <c r="AQ28" s="82">
        <f t="shared" si="3"/>
        <v>1</v>
      </c>
      <c r="AR28" s="82" t="e">
        <f t="shared" si="3"/>
        <v>#REF!</v>
      </c>
      <c r="AS28" s="82">
        <f t="shared" si="3"/>
        <v>1</v>
      </c>
      <c r="AT28" s="82" t="e">
        <f t="shared" si="3"/>
        <v>#REF!</v>
      </c>
      <c r="AU28" s="82">
        <f t="shared" si="3"/>
        <v>1</v>
      </c>
      <c r="AV28" s="82" t="e">
        <f t="shared" si="3"/>
        <v>#REF!</v>
      </c>
      <c r="AW28" s="82">
        <f t="shared" si="3"/>
        <v>1</v>
      </c>
      <c r="AX28" s="82" t="e">
        <f t="shared" si="3"/>
        <v>#REF!</v>
      </c>
      <c r="AY28" s="82">
        <f t="shared" si="3"/>
        <v>1</v>
      </c>
      <c r="AZ28" s="82" t="e">
        <f t="shared" si="3"/>
        <v>#REF!</v>
      </c>
      <c r="BA28" s="82">
        <f t="shared" si="3"/>
        <v>1</v>
      </c>
      <c r="BB28" s="82" t="e">
        <f t="shared" si="3"/>
        <v>#REF!</v>
      </c>
      <c r="BC28" s="82">
        <f t="shared" si="3"/>
        <v>1</v>
      </c>
      <c r="BD28" s="82" t="e">
        <f t="shared" si="3"/>
        <v>#REF!</v>
      </c>
      <c r="BE28" s="82">
        <f t="shared" si="3"/>
        <v>1</v>
      </c>
      <c r="BF28" s="82" t="e">
        <f t="shared" si="3"/>
        <v>#REF!</v>
      </c>
      <c r="BG28" s="82">
        <f t="shared" si="3"/>
        <v>1</v>
      </c>
      <c r="BH28" s="82" t="e">
        <f t="shared" si="3"/>
        <v>#REF!</v>
      </c>
      <c r="BI28" s="82">
        <f t="shared" si="3"/>
        <v>1</v>
      </c>
      <c r="BJ28" s="82" t="e">
        <f t="shared" si="3"/>
        <v>#REF!</v>
      </c>
      <c r="BK28" s="82">
        <f t="shared" si="3"/>
        <v>1</v>
      </c>
      <c r="BL28" s="82" t="e">
        <f t="shared" si="3"/>
        <v>#REF!</v>
      </c>
      <c r="BM28" s="82">
        <f t="shared" si="3"/>
        <v>1</v>
      </c>
      <c r="BN28" s="82" t="e">
        <f t="shared" si="3"/>
        <v>#REF!</v>
      </c>
      <c r="BO28" s="82">
        <f t="shared" si="3"/>
        <v>1</v>
      </c>
      <c r="BP28" s="82" t="e">
        <f t="shared" si="3"/>
        <v>#REF!</v>
      </c>
      <c r="BQ28" s="82">
        <f t="shared" si="3"/>
        <v>1</v>
      </c>
      <c r="BR28" s="82">
        <f t="shared" si="3"/>
        <v>0</v>
      </c>
      <c r="BS28" s="82">
        <f t="shared" si="3"/>
        <v>0</v>
      </c>
      <c r="BT28" s="82">
        <f t="shared" si="3"/>
        <v>0</v>
      </c>
      <c r="BU28" s="82">
        <f t="shared" si="3"/>
        <v>0</v>
      </c>
      <c r="BV28" s="82">
        <f t="shared" si="3"/>
        <v>0</v>
      </c>
      <c r="BW28" s="82">
        <f t="shared" si="3"/>
        <v>0</v>
      </c>
      <c r="BX28" s="82">
        <f t="shared" si="3"/>
        <v>0</v>
      </c>
      <c r="BY28" s="82">
        <f t="shared" si="3"/>
        <v>0</v>
      </c>
      <c r="BZ28" s="82">
        <f t="shared" si="3"/>
        <v>0</v>
      </c>
      <c r="CA28" s="82">
        <f t="shared" si="3"/>
        <v>0</v>
      </c>
      <c r="CB28" s="82">
        <f t="shared" ref="CB28:CT28" si="4">IF(CB27=0,1,1-$J28)*CB12</f>
        <v>0</v>
      </c>
      <c r="CC28" s="82">
        <f t="shared" si="4"/>
        <v>0</v>
      </c>
      <c r="CD28" s="82">
        <f t="shared" si="4"/>
        <v>0</v>
      </c>
      <c r="CE28" s="82">
        <f t="shared" si="4"/>
        <v>0</v>
      </c>
      <c r="CF28" s="82">
        <f t="shared" si="4"/>
        <v>0</v>
      </c>
      <c r="CG28" s="82">
        <f t="shared" si="4"/>
        <v>0</v>
      </c>
      <c r="CH28" s="82">
        <f t="shared" si="4"/>
        <v>0</v>
      </c>
      <c r="CI28" s="82">
        <f t="shared" si="4"/>
        <v>0</v>
      </c>
      <c r="CJ28" s="82">
        <f t="shared" si="4"/>
        <v>0</v>
      </c>
      <c r="CK28" s="82">
        <f t="shared" si="4"/>
        <v>0</v>
      </c>
      <c r="CL28" s="82">
        <f t="shared" si="4"/>
        <v>0</v>
      </c>
      <c r="CM28" s="82">
        <f t="shared" si="4"/>
        <v>0</v>
      </c>
      <c r="CN28" s="82">
        <f t="shared" si="4"/>
        <v>0</v>
      </c>
      <c r="CO28" s="82">
        <f t="shared" si="4"/>
        <v>0</v>
      </c>
      <c r="CP28" s="82">
        <f t="shared" si="4"/>
        <v>0</v>
      </c>
      <c r="CQ28" s="82">
        <f t="shared" si="4"/>
        <v>0</v>
      </c>
      <c r="CR28" s="82">
        <f t="shared" si="4"/>
        <v>0</v>
      </c>
      <c r="CS28" s="82">
        <f t="shared" si="4"/>
        <v>0</v>
      </c>
      <c r="CT28" s="82">
        <f t="shared" si="4"/>
        <v>0</v>
      </c>
      <c r="CU28" s="82"/>
      <c r="CV28" s="82"/>
      <c r="CW28" s="82"/>
      <c r="CX28" s="82"/>
      <c r="CY28" s="82"/>
      <c r="CZ28" s="82"/>
      <c r="DA28" s="82"/>
      <c r="DB28" s="82"/>
      <c r="DC28" s="82"/>
      <c r="DD28" s="82"/>
    </row>
    <row r="29" spans="1:108" ht="12.75" customHeight="1" x14ac:dyDescent="0.25">
      <c r="H29" s="54"/>
      <c r="K29" s="82"/>
      <c r="N29" s="19"/>
    </row>
    <row r="30" spans="1:108" ht="12.75" customHeight="1" x14ac:dyDescent="0.25">
      <c r="C30" t="s">
        <v>171</v>
      </c>
      <c r="H30" s="54" t="s">
        <v>172</v>
      </c>
      <c r="N30" s="25" t="e">
        <f>SUM(P30:DD30)</f>
        <v>#REF!</v>
      </c>
      <c r="O30" s="10"/>
      <c r="P30" s="10">
        <f>P24*P28</f>
        <v>0</v>
      </c>
      <c r="Q30" s="10">
        <f t="shared" ref="Q30:CB30" si="5">Q24*Q28</f>
        <v>0</v>
      </c>
      <c r="R30" s="10">
        <f t="shared" si="5"/>
        <v>0</v>
      </c>
      <c r="S30" s="10">
        <f t="shared" si="5"/>
        <v>120</v>
      </c>
      <c r="T30" s="10" t="e">
        <f t="shared" si="5"/>
        <v>#REF!</v>
      </c>
      <c r="U30" s="10">
        <f t="shared" si="5"/>
        <v>120</v>
      </c>
      <c r="V30" s="10" t="e">
        <f t="shared" si="5"/>
        <v>#REF!</v>
      </c>
      <c r="W30" s="10">
        <f t="shared" si="5"/>
        <v>120</v>
      </c>
      <c r="X30" s="10" t="e">
        <f t="shared" si="5"/>
        <v>#REF!</v>
      </c>
      <c r="Y30" s="10">
        <f t="shared" si="5"/>
        <v>120</v>
      </c>
      <c r="Z30" s="10" t="e">
        <f t="shared" si="5"/>
        <v>#REF!</v>
      </c>
      <c r="AA30" s="10">
        <f t="shared" si="5"/>
        <v>120</v>
      </c>
      <c r="AB30" s="10" t="e">
        <f t="shared" si="5"/>
        <v>#REF!</v>
      </c>
      <c r="AC30" s="10">
        <f t="shared" si="5"/>
        <v>120</v>
      </c>
      <c r="AD30" s="10" t="e">
        <f t="shared" si="5"/>
        <v>#REF!</v>
      </c>
      <c r="AE30" s="10">
        <f t="shared" si="5"/>
        <v>120</v>
      </c>
      <c r="AF30" s="10" t="e">
        <f t="shared" si="5"/>
        <v>#REF!</v>
      </c>
      <c r="AG30" s="10">
        <f t="shared" si="5"/>
        <v>120</v>
      </c>
      <c r="AH30" s="10" t="e">
        <f t="shared" si="5"/>
        <v>#REF!</v>
      </c>
      <c r="AI30" s="10">
        <f t="shared" si="5"/>
        <v>120</v>
      </c>
      <c r="AJ30" s="10" t="e">
        <f t="shared" si="5"/>
        <v>#REF!</v>
      </c>
      <c r="AK30" s="10">
        <f t="shared" si="5"/>
        <v>120</v>
      </c>
      <c r="AL30" s="10" t="e">
        <f t="shared" si="5"/>
        <v>#REF!</v>
      </c>
      <c r="AM30" s="10">
        <f t="shared" si="5"/>
        <v>120</v>
      </c>
      <c r="AN30" s="10" t="e">
        <f t="shared" si="5"/>
        <v>#REF!</v>
      </c>
      <c r="AO30" s="10">
        <f t="shared" si="5"/>
        <v>120</v>
      </c>
      <c r="AP30" s="10" t="e">
        <f t="shared" si="5"/>
        <v>#REF!</v>
      </c>
      <c r="AQ30" s="10">
        <f t="shared" si="5"/>
        <v>120</v>
      </c>
      <c r="AR30" s="10" t="e">
        <f t="shared" si="5"/>
        <v>#REF!</v>
      </c>
      <c r="AS30" s="10">
        <f t="shared" si="5"/>
        <v>120</v>
      </c>
      <c r="AT30" s="10" t="e">
        <f t="shared" si="5"/>
        <v>#REF!</v>
      </c>
      <c r="AU30" s="10">
        <f t="shared" si="5"/>
        <v>120</v>
      </c>
      <c r="AV30" s="10" t="e">
        <f t="shared" si="5"/>
        <v>#REF!</v>
      </c>
      <c r="AW30" s="10">
        <f t="shared" si="5"/>
        <v>120</v>
      </c>
      <c r="AX30" s="10" t="e">
        <f t="shared" si="5"/>
        <v>#REF!</v>
      </c>
      <c r="AY30" s="10">
        <f t="shared" si="5"/>
        <v>120</v>
      </c>
      <c r="AZ30" s="10" t="e">
        <f t="shared" si="5"/>
        <v>#REF!</v>
      </c>
      <c r="BA30" s="10">
        <f t="shared" si="5"/>
        <v>120</v>
      </c>
      <c r="BB30" s="10" t="e">
        <f t="shared" si="5"/>
        <v>#REF!</v>
      </c>
      <c r="BC30" s="10">
        <f t="shared" si="5"/>
        <v>120</v>
      </c>
      <c r="BD30" s="10" t="e">
        <f t="shared" si="5"/>
        <v>#REF!</v>
      </c>
      <c r="BE30" s="10">
        <f t="shared" si="5"/>
        <v>120</v>
      </c>
      <c r="BF30" s="10" t="e">
        <f t="shared" si="5"/>
        <v>#REF!</v>
      </c>
      <c r="BG30" s="10">
        <f t="shared" si="5"/>
        <v>120</v>
      </c>
      <c r="BH30" s="10" t="e">
        <f t="shared" si="5"/>
        <v>#REF!</v>
      </c>
      <c r="BI30" s="10">
        <f t="shared" si="5"/>
        <v>120</v>
      </c>
      <c r="BJ30" s="10" t="e">
        <f t="shared" si="5"/>
        <v>#REF!</v>
      </c>
      <c r="BK30" s="10">
        <f t="shared" si="5"/>
        <v>120</v>
      </c>
      <c r="BL30" s="10" t="e">
        <f t="shared" si="5"/>
        <v>#REF!</v>
      </c>
      <c r="BM30" s="10">
        <f t="shared" si="5"/>
        <v>120</v>
      </c>
      <c r="BN30" s="10" t="e">
        <f t="shared" si="5"/>
        <v>#REF!</v>
      </c>
      <c r="BO30" s="10">
        <f t="shared" si="5"/>
        <v>120</v>
      </c>
      <c r="BP30" s="10" t="e">
        <f t="shared" si="5"/>
        <v>#REF!</v>
      </c>
      <c r="BQ30" s="10">
        <f t="shared" si="5"/>
        <v>120</v>
      </c>
      <c r="BR30" s="10">
        <f t="shared" si="5"/>
        <v>0</v>
      </c>
      <c r="BS30" s="10">
        <f t="shared" si="5"/>
        <v>0</v>
      </c>
      <c r="BT30" s="10">
        <f t="shared" si="5"/>
        <v>0</v>
      </c>
      <c r="BU30" s="10">
        <f t="shared" si="5"/>
        <v>0</v>
      </c>
      <c r="BV30" s="10">
        <f t="shared" si="5"/>
        <v>0</v>
      </c>
      <c r="BW30" s="10">
        <f t="shared" si="5"/>
        <v>0</v>
      </c>
      <c r="BX30" s="10">
        <f t="shared" si="5"/>
        <v>0</v>
      </c>
      <c r="BY30" s="10">
        <f t="shared" si="5"/>
        <v>0</v>
      </c>
      <c r="BZ30" s="10">
        <f t="shared" si="5"/>
        <v>0</v>
      </c>
      <c r="CA30" s="10">
        <f t="shared" si="5"/>
        <v>0</v>
      </c>
      <c r="CB30" s="10">
        <f t="shared" si="5"/>
        <v>0</v>
      </c>
      <c r="CC30" s="10">
        <f t="shared" ref="CC30:CT30" si="6">CC24*CC28</f>
        <v>0</v>
      </c>
      <c r="CD30" s="10">
        <f t="shared" si="6"/>
        <v>0</v>
      </c>
      <c r="CE30" s="10">
        <f t="shared" si="6"/>
        <v>0</v>
      </c>
      <c r="CF30" s="10">
        <f t="shared" si="6"/>
        <v>0</v>
      </c>
      <c r="CG30" s="10">
        <f t="shared" si="6"/>
        <v>0</v>
      </c>
      <c r="CH30" s="10">
        <f t="shared" si="6"/>
        <v>0</v>
      </c>
      <c r="CI30" s="10">
        <f t="shared" si="6"/>
        <v>0</v>
      </c>
      <c r="CJ30" s="10">
        <f t="shared" si="6"/>
        <v>0</v>
      </c>
      <c r="CK30" s="10">
        <f t="shared" si="6"/>
        <v>0</v>
      </c>
      <c r="CL30" s="10">
        <f t="shared" si="6"/>
        <v>0</v>
      </c>
      <c r="CM30" s="10">
        <f t="shared" si="6"/>
        <v>0</v>
      </c>
      <c r="CN30" s="10">
        <f t="shared" si="6"/>
        <v>0</v>
      </c>
      <c r="CO30" s="10">
        <f t="shared" si="6"/>
        <v>0</v>
      </c>
      <c r="CP30" s="10">
        <f t="shared" si="6"/>
        <v>0</v>
      </c>
      <c r="CQ30" s="10">
        <f t="shared" si="6"/>
        <v>0</v>
      </c>
      <c r="CR30" s="10">
        <f t="shared" si="6"/>
        <v>0</v>
      </c>
      <c r="CS30" s="10">
        <f t="shared" si="6"/>
        <v>0</v>
      </c>
      <c r="CT30" s="10">
        <f t="shared" si="6"/>
        <v>0</v>
      </c>
      <c r="CU30" s="10"/>
      <c r="CV30" s="10"/>
      <c r="CW30" s="10"/>
      <c r="CX30" s="10"/>
      <c r="CY30" s="10"/>
      <c r="CZ30" s="10"/>
      <c r="DA30" s="10"/>
      <c r="DB30" s="10"/>
      <c r="DC30" s="10"/>
      <c r="DD30" s="10"/>
    </row>
    <row r="31" spans="1:108" ht="12.75" customHeight="1" x14ac:dyDescent="0.25">
      <c r="H31" s="54"/>
      <c r="N31" s="19"/>
    </row>
    <row r="32" spans="1:108" ht="12.75" customHeight="1" x14ac:dyDescent="0.25">
      <c r="H32" s="54"/>
      <c r="N32" s="19"/>
    </row>
    <row r="33" spans="1:108" s="125" customFormat="1" ht="12.75" customHeight="1" x14ac:dyDescent="0.25">
      <c r="A33" s="124" t="s">
        <v>48</v>
      </c>
      <c r="H33" s="126"/>
      <c r="J33" s="127"/>
      <c r="N33" s="128"/>
    </row>
    <row r="34" spans="1:108" ht="12.75" customHeight="1" x14ac:dyDescent="0.25">
      <c r="H34" s="54"/>
      <c r="N34" s="19"/>
    </row>
    <row r="35" spans="1:108" ht="12.75" customHeight="1" x14ac:dyDescent="0.25">
      <c r="B35" s="21" t="s">
        <v>173</v>
      </c>
      <c r="H35" s="54"/>
      <c r="N35" s="19"/>
    </row>
    <row r="36" spans="1:108" ht="12.75" customHeight="1" x14ac:dyDescent="0.25">
      <c r="H36" s="54"/>
      <c r="J36" s="38" t="s">
        <v>174</v>
      </c>
      <c r="K36" s="96"/>
      <c r="N36" s="19"/>
    </row>
    <row r="37" spans="1:108" ht="12.75" customHeight="1" x14ac:dyDescent="0.25">
      <c r="C37" t="s">
        <v>103</v>
      </c>
      <c r="H37" s="54" t="s">
        <v>174</v>
      </c>
      <c r="J37" s="85">
        <v>41.522984604052155</v>
      </c>
      <c r="N37" s="19"/>
      <c r="O37" s="10"/>
      <c r="P37" s="10">
        <f>Tariff!P39</f>
        <v>0</v>
      </c>
      <c r="Q37" s="10">
        <f>Tariff!Q39</f>
        <v>0</v>
      </c>
      <c r="R37" s="10">
        <f>Tariff!R39</f>
        <v>0</v>
      </c>
      <c r="S37" s="10">
        <f>Tariff!S39</f>
        <v>33.952381683191305</v>
      </c>
      <c r="T37" s="10">
        <f>Tariff!T39</f>
        <v>33.952381683191305</v>
      </c>
      <c r="U37" s="10">
        <f>Tariff!U39</f>
        <v>33.952381683191305</v>
      </c>
      <c r="V37" s="10">
        <f>Tariff!V39</f>
        <v>33.952381683191305</v>
      </c>
      <c r="W37" s="10">
        <f>Tariff!W39</f>
        <v>33.952381683191305</v>
      </c>
      <c r="X37" s="10">
        <f>Tariff!X39</f>
        <v>33.952381683191305</v>
      </c>
      <c r="Y37" s="10">
        <f>Tariff!Y39</f>
        <v>33.952381683191305</v>
      </c>
      <c r="Z37" s="10">
        <f>Tariff!Z39</f>
        <v>33.952381683191305</v>
      </c>
      <c r="AA37" s="10">
        <f>Tariff!AA39</f>
        <v>33.952381683191305</v>
      </c>
      <c r="AB37" s="10">
        <f>Tariff!AB39</f>
        <v>33.952381683191305</v>
      </c>
      <c r="AC37" s="10">
        <f>Tariff!AC39</f>
        <v>33.952381683191305</v>
      </c>
      <c r="AD37" s="10">
        <f>Tariff!AD39</f>
        <v>33.952381683191305</v>
      </c>
      <c r="AE37" s="10">
        <f>Tariff!AE39</f>
        <v>33.952381683191305</v>
      </c>
      <c r="AF37" s="10">
        <f>Tariff!AF39</f>
        <v>33.952381683191305</v>
      </c>
      <c r="AG37" s="10">
        <f>Tariff!AG39</f>
        <v>33.952381683191305</v>
      </c>
      <c r="AH37" s="10">
        <f>Tariff!AH39</f>
        <v>33.952381683191305</v>
      </c>
      <c r="AI37" s="10">
        <f>Tariff!AI39</f>
        <v>33.952381683191305</v>
      </c>
      <c r="AJ37" s="10">
        <f>Tariff!AJ39</f>
        <v>33.952381683191305</v>
      </c>
      <c r="AK37" s="10">
        <f>Tariff!AK39</f>
        <v>33.952381683191305</v>
      </c>
      <c r="AL37" s="10">
        <f>Tariff!AL39</f>
        <v>33.952381683191305</v>
      </c>
      <c r="AM37" s="10">
        <f>Tariff!AM39</f>
        <v>33.952381683191305</v>
      </c>
      <c r="AN37" s="10">
        <f>Tariff!AN39</f>
        <v>33.952381683191305</v>
      </c>
      <c r="AO37" s="10">
        <f>Tariff!AO39</f>
        <v>33.952381683191305</v>
      </c>
      <c r="AP37" s="10">
        <f>Tariff!AP39</f>
        <v>33.952381683191305</v>
      </c>
      <c r="AQ37" s="10">
        <f>Tariff!AQ39</f>
        <v>33.952381683191305</v>
      </c>
      <c r="AR37" s="10">
        <f>Tariff!AR39</f>
        <v>33.952381683191305</v>
      </c>
      <c r="AS37" s="10">
        <f>Tariff!AS39</f>
        <v>33.952381683191305</v>
      </c>
      <c r="AT37" s="10">
        <f>Tariff!AT39</f>
        <v>33.952381683191305</v>
      </c>
      <c r="AU37" s="10">
        <f>Tariff!AU39</f>
        <v>33.952381683191305</v>
      </c>
      <c r="AV37" s="10">
        <f>Tariff!AV39</f>
        <v>33.952381683191305</v>
      </c>
      <c r="AW37" s="10">
        <f>Tariff!AW39</f>
        <v>33.952381683191305</v>
      </c>
      <c r="AX37" s="10">
        <f>Tariff!AX39</f>
        <v>33.952381683191305</v>
      </c>
      <c r="AY37" s="10">
        <f>Tariff!AY39</f>
        <v>33.952381683191305</v>
      </c>
      <c r="AZ37" s="10">
        <f>Tariff!AZ39</f>
        <v>33.952381683191305</v>
      </c>
      <c r="BA37" s="10">
        <f>Tariff!BA39</f>
        <v>33.952381683191305</v>
      </c>
      <c r="BB37" s="10">
        <f>Tariff!BB39</f>
        <v>33.952381683191305</v>
      </c>
      <c r="BC37" s="10">
        <f>Tariff!BC39</f>
        <v>33.952381683191305</v>
      </c>
      <c r="BD37" s="10">
        <f>Tariff!BD39</f>
        <v>33.952381683191305</v>
      </c>
      <c r="BE37" s="10">
        <f>Tariff!BE39</f>
        <v>33.952381683191305</v>
      </c>
      <c r="BF37" s="10">
        <f>Tariff!BF39</f>
        <v>33.952381683191305</v>
      </c>
      <c r="BG37" s="10">
        <f>Tariff!BG39</f>
        <v>33.952381683191305</v>
      </c>
      <c r="BH37" s="10">
        <f>Tariff!BH39</f>
        <v>33.952381683191305</v>
      </c>
      <c r="BI37" s="10">
        <f>Tariff!BI39</f>
        <v>33.952381683191305</v>
      </c>
      <c r="BJ37" s="10">
        <f>Tariff!BJ39</f>
        <v>33.952381683191305</v>
      </c>
      <c r="BK37" s="10">
        <f>Tariff!BK39</f>
        <v>33.952381683191305</v>
      </c>
      <c r="BL37" s="10">
        <f>Tariff!BL39</f>
        <v>33.952381683191305</v>
      </c>
      <c r="BM37" s="10">
        <f>Tariff!BM39</f>
        <v>33.952381683191305</v>
      </c>
      <c r="BN37" s="10">
        <f>Tariff!BN39</f>
        <v>33.952381683191305</v>
      </c>
      <c r="BO37" s="10">
        <f>Tariff!BO39</f>
        <v>33.952381683191305</v>
      </c>
      <c r="BP37" s="10">
        <f>Tariff!BP39</f>
        <v>33.952381683191305</v>
      </c>
      <c r="BQ37" s="10">
        <f>Tariff!BQ39</f>
        <v>33.952381683191305</v>
      </c>
      <c r="BR37" s="10">
        <f>Tariff!BR39</f>
        <v>0</v>
      </c>
      <c r="BS37" s="10">
        <f>Tariff!BS39</f>
        <v>0</v>
      </c>
      <c r="BT37" s="10">
        <f>Tariff!BT39</f>
        <v>0</v>
      </c>
      <c r="BU37" s="10">
        <f>Tariff!BU39</f>
        <v>0</v>
      </c>
      <c r="BV37" s="10">
        <f>Tariff!BV39</f>
        <v>0</v>
      </c>
      <c r="BW37" s="10">
        <f>Tariff!BW39</f>
        <v>0</v>
      </c>
      <c r="BX37" s="10">
        <f>Tariff!BX39</f>
        <v>0</v>
      </c>
      <c r="BY37" s="10">
        <f>Tariff!BY39</f>
        <v>0</v>
      </c>
      <c r="BZ37" s="10">
        <f>Tariff!BZ39</f>
        <v>0</v>
      </c>
      <c r="CA37" s="10">
        <f>Tariff!CA39</f>
        <v>0</v>
      </c>
      <c r="CB37" s="10">
        <f>Tariff!CB39</f>
        <v>0</v>
      </c>
      <c r="CC37" s="10">
        <f>Tariff!CC39</f>
        <v>0</v>
      </c>
      <c r="CD37" s="10">
        <f>Tariff!CD39</f>
        <v>0</v>
      </c>
      <c r="CE37" s="10">
        <f>Tariff!CE39</f>
        <v>0</v>
      </c>
      <c r="CF37" s="10">
        <f>Tariff!CF39</f>
        <v>0</v>
      </c>
      <c r="CG37" s="10">
        <f>Tariff!CG39</f>
        <v>0</v>
      </c>
      <c r="CH37" s="10">
        <f>Tariff!CH39</f>
        <v>0</v>
      </c>
      <c r="CI37" s="10">
        <f>Tariff!CI39</f>
        <v>0</v>
      </c>
      <c r="CJ37" s="10">
        <f>Tariff!CJ39</f>
        <v>0</v>
      </c>
      <c r="CK37" s="10">
        <f>Tariff!CK39</f>
        <v>0</v>
      </c>
      <c r="CL37" s="10">
        <f>Tariff!CL39</f>
        <v>0</v>
      </c>
      <c r="CM37" s="10">
        <f>Tariff!CM39</f>
        <v>0</v>
      </c>
      <c r="CN37" s="10">
        <f>Tariff!CN39</f>
        <v>0</v>
      </c>
      <c r="CO37" s="10">
        <f>Tariff!CO39</f>
        <v>0</v>
      </c>
      <c r="CP37" s="10">
        <f>Tariff!CP39</f>
        <v>0</v>
      </c>
      <c r="CQ37" s="10">
        <f>Tariff!CQ39</f>
        <v>0</v>
      </c>
      <c r="CR37" s="10">
        <f>Tariff!CR39</f>
        <v>0</v>
      </c>
      <c r="CS37" s="10">
        <f>Tariff!CS39</f>
        <v>0</v>
      </c>
      <c r="CT37" s="10">
        <f>Tariff!CT39</f>
        <v>0</v>
      </c>
      <c r="CU37" s="10"/>
      <c r="CV37" s="10"/>
      <c r="CW37" s="10"/>
      <c r="CX37" s="10"/>
      <c r="CY37" s="10"/>
      <c r="CZ37" s="10"/>
      <c r="DA37" s="10"/>
      <c r="DB37" s="10"/>
      <c r="DC37" s="10"/>
      <c r="DD37" s="10"/>
    </row>
    <row r="38" spans="1:108" ht="12.75" customHeight="1" x14ac:dyDescent="0.25">
      <c r="C38" s="27" t="s">
        <v>167</v>
      </c>
      <c r="D38" s="27"/>
      <c r="E38" s="27"/>
      <c r="F38" s="27"/>
      <c r="G38" s="27"/>
      <c r="H38" s="28" t="s">
        <v>102</v>
      </c>
      <c r="I38" s="27"/>
      <c r="J38" s="27"/>
      <c r="K38" s="27"/>
      <c r="L38" s="27"/>
      <c r="M38" s="27"/>
      <c r="N38" s="175"/>
      <c r="O38" s="161"/>
      <c r="P38" s="161">
        <f>Tariff!P40</f>
        <v>0</v>
      </c>
      <c r="Q38" s="161">
        <f>Tariff!Q40</f>
        <v>0</v>
      </c>
      <c r="R38" s="161">
        <f>Tariff!R40</f>
        <v>0</v>
      </c>
      <c r="S38" s="161">
        <f>Tariff!S40</f>
        <v>120</v>
      </c>
      <c r="T38" s="161" t="e">
        <f>Tariff!T40</f>
        <v>#REF!</v>
      </c>
      <c r="U38" s="161">
        <f>Tariff!U40</f>
        <v>120</v>
      </c>
      <c r="V38" s="161" t="e">
        <f>Tariff!V40</f>
        <v>#REF!</v>
      </c>
      <c r="W38" s="161">
        <f>Tariff!W40</f>
        <v>120</v>
      </c>
      <c r="X38" s="161" t="e">
        <f>Tariff!X40</f>
        <v>#REF!</v>
      </c>
      <c r="Y38" s="161">
        <f>Tariff!Y40</f>
        <v>120</v>
      </c>
      <c r="Z38" s="161" t="e">
        <f>Tariff!Z40</f>
        <v>#REF!</v>
      </c>
      <c r="AA38" s="161">
        <f>Tariff!AA40</f>
        <v>120</v>
      </c>
      <c r="AB38" s="161" t="e">
        <f>Tariff!AB40</f>
        <v>#REF!</v>
      </c>
      <c r="AC38" s="161">
        <f>Tariff!AC40</f>
        <v>120</v>
      </c>
      <c r="AD38" s="161" t="e">
        <f>Tariff!AD40</f>
        <v>#REF!</v>
      </c>
      <c r="AE38" s="161">
        <f>Tariff!AE40</f>
        <v>120</v>
      </c>
      <c r="AF38" s="161" t="e">
        <f>Tariff!AF40</f>
        <v>#REF!</v>
      </c>
      <c r="AG38" s="161">
        <f>Tariff!AG40</f>
        <v>120</v>
      </c>
      <c r="AH38" s="161" t="e">
        <f>Tariff!AH40</f>
        <v>#REF!</v>
      </c>
      <c r="AI38" s="161">
        <f>Tariff!AI40</f>
        <v>120</v>
      </c>
      <c r="AJ38" s="161" t="e">
        <f>Tariff!AJ40</f>
        <v>#REF!</v>
      </c>
      <c r="AK38" s="161">
        <f>Tariff!AK40</f>
        <v>120</v>
      </c>
      <c r="AL38" s="161" t="e">
        <f>Tariff!AL40</f>
        <v>#REF!</v>
      </c>
      <c r="AM38" s="161">
        <f>Tariff!AM40</f>
        <v>120</v>
      </c>
      <c r="AN38" s="161" t="e">
        <f>Tariff!AN40</f>
        <v>#REF!</v>
      </c>
      <c r="AO38" s="161">
        <f>Tariff!AO40</f>
        <v>120</v>
      </c>
      <c r="AP38" s="161" t="e">
        <f>Tariff!AP40</f>
        <v>#REF!</v>
      </c>
      <c r="AQ38" s="161">
        <f>Tariff!AQ40</f>
        <v>120</v>
      </c>
      <c r="AR38" s="161" t="e">
        <f>Tariff!AR40</f>
        <v>#REF!</v>
      </c>
      <c r="AS38" s="161">
        <f>Tariff!AS40</f>
        <v>120</v>
      </c>
      <c r="AT38" s="161" t="e">
        <f>Tariff!AT40</f>
        <v>#REF!</v>
      </c>
      <c r="AU38" s="161">
        <f>Tariff!AU40</f>
        <v>120</v>
      </c>
      <c r="AV38" s="161" t="e">
        <f>Tariff!AV40</f>
        <v>#REF!</v>
      </c>
      <c r="AW38" s="161">
        <f>Tariff!AW40</f>
        <v>120</v>
      </c>
      <c r="AX38" s="161" t="e">
        <f>Tariff!AX40</f>
        <v>#REF!</v>
      </c>
      <c r="AY38" s="161">
        <f>Tariff!AY40</f>
        <v>120</v>
      </c>
      <c r="AZ38" s="161" t="e">
        <f>Tariff!AZ40</f>
        <v>#REF!</v>
      </c>
      <c r="BA38" s="161">
        <f>Tariff!BA40</f>
        <v>120</v>
      </c>
      <c r="BB38" s="161" t="e">
        <f>Tariff!BB40</f>
        <v>#REF!</v>
      </c>
      <c r="BC38" s="161">
        <f>Tariff!BC40</f>
        <v>120</v>
      </c>
      <c r="BD38" s="161" t="e">
        <f>Tariff!BD40</f>
        <v>#REF!</v>
      </c>
      <c r="BE38" s="161">
        <f>Tariff!BE40</f>
        <v>120</v>
      </c>
      <c r="BF38" s="161" t="e">
        <f>Tariff!BF40</f>
        <v>#REF!</v>
      </c>
      <c r="BG38" s="161">
        <f>Tariff!BG40</f>
        <v>120</v>
      </c>
      <c r="BH38" s="161" t="e">
        <f>Tariff!BH40</f>
        <v>#REF!</v>
      </c>
      <c r="BI38" s="161">
        <f>Tariff!BI40</f>
        <v>120</v>
      </c>
      <c r="BJ38" s="161" t="e">
        <f>Tariff!BJ40</f>
        <v>#REF!</v>
      </c>
      <c r="BK38" s="161">
        <f>Tariff!BK40</f>
        <v>120</v>
      </c>
      <c r="BL38" s="161" t="e">
        <f>Tariff!BL40</f>
        <v>#REF!</v>
      </c>
      <c r="BM38" s="161">
        <f>Tariff!BM40</f>
        <v>120</v>
      </c>
      <c r="BN38" s="161" t="e">
        <f>Tariff!BN40</f>
        <v>#REF!</v>
      </c>
      <c r="BO38" s="161">
        <f>Tariff!BO40</f>
        <v>120</v>
      </c>
      <c r="BP38" s="161" t="e">
        <f>Tariff!BP40</f>
        <v>#REF!</v>
      </c>
      <c r="BQ38" s="161">
        <f>Tariff!BQ40</f>
        <v>120</v>
      </c>
      <c r="BR38" s="161">
        <f>Tariff!BR40</f>
        <v>0</v>
      </c>
      <c r="BS38" s="161">
        <f>Tariff!BS40</f>
        <v>0</v>
      </c>
      <c r="BT38" s="161">
        <f>Tariff!BT40</f>
        <v>0</v>
      </c>
      <c r="BU38" s="161">
        <f>Tariff!BU40</f>
        <v>0</v>
      </c>
      <c r="BV38" s="161">
        <f>Tariff!BV40</f>
        <v>0</v>
      </c>
      <c r="BW38" s="161">
        <f>Tariff!BW40</f>
        <v>0</v>
      </c>
      <c r="BX38" s="161">
        <f>Tariff!BX40</f>
        <v>0</v>
      </c>
      <c r="BY38" s="161">
        <f>Tariff!BY40</f>
        <v>0</v>
      </c>
      <c r="BZ38" s="161">
        <f>Tariff!BZ40</f>
        <v>0</v>
      </c>
      <c r="CA38" s="161">
        <f>Tariff!CA40</f>
        <v>0</v>
      </c>
      <c r="CB38" s="161">
        <f>Tariff!CB40</f>
        <v>0</v>
      </c>
      <c r="CC38" s="161">
        <f>Tariff!CC40</f>
        <v>0</v>
      </c>
      <c r="CD38" s="161">
        <f>Tariff!CD40</f>
        <v>0</v>
      </c>
      <c r="CE38" s="161">
        <f>Tariff!CE40</f>
        <v>0</v>
      </c>
      <c r="CF38" s="161">
        <f>Tariff!CF40</f>
        <v>0</v>
      </c>
      <c r="CG38" s="161">
        <f>Tariff!CG40</f>
        <v>0</v>
      </c>
      <c r="CH38" s="161">
        <f>Tariff!CH40</f>
        <v>0</v>
      </c>
      <c r="CI38" s="161">
        <f>Tariff!CI40</f>
        <v>0</v>
      </c>
      <c r="CJ38" s="161">
        <f>Tariff!CJ40</f>
        <v>0</v>
      </c>
      <c r="CK38" s="161">
        <f>Tariff!CK40</f>
        <v>0</v>
      </c>
      <c r="CL38" s="161">
        <f>Tariff!CL40</f>
        <v>0</v>
      </c>
      <c r="CM38" s="161">
        <f>Tariff!CM40</f>
        <v>0</v>
      </c>
      <c r="CN38" s="161">
        <f>Tariff!CN40</f>
        <v>0</v>
      </c>
      <c r="CO38" s="161">
        <f>Tariff!CO40</f>
        <v>0</v>
      </c>
      <c r="CP38" s="161">
        <f>Tariff!CP40</f>
        <v>0</v>
      </c>
      <c r="CQ38" s="161">
        <f>Tariff!CQ40</f>
        <v>0</v>
      </c>
      <c r="CR38" s="161">
        <f>Tariff!CR40</f>
        <v>0</v>
      </c>
      <c r="CS38" s="161">
        <f>Tariff!CS40</f>
        <v>0</v>
      </c>
      <c r="CT38" s="161">
        <f>Tariff!CT40</f>
        <v>0</v>
      </c>
      <c r="CU38" s="161"/>
      <c r="CV38" s="161"/>
      <c r="CW38" s="161"/>
      <c r="CX38" s="161"/>
      <c r="CY38" s="161"/>
      <c r="CZ38" s="161"/>
      <c r="DA38" s="161"/>
      <c r="DB38" s="161"/>
      <c r="DC38" s="161"/>
      <c r="DD38" s="161"/>
    </row>
    <row r="39" spans="1:108" ht="12.75" customHeight="1" x14ac:dyDescent="0.25">
      <c r="H39" s="54" t="s">
        <v>3</v>
      </c>
      <c r="N39" s="176" t="e">
        <f>SUM(P39:DD39)</f>
        <v>#REF!</v>
      </c>
      <c r="O39" s="51"/>
      <c r="P39" s="10">
        <f>Tariff!P41</f>
        <v>0</v>
      </c>
      <c r="Q39" s="10">
        <f>Tariff!Q41</f>
        <v>0</v>
      </c>
      <c r="R39" s="10">
        <f>Tariff!R41</f>
        <v>0</v>
      </c>
      <c r="S39" s="10">
        <f>Tariff!S41</f>
        <v>4074.2858019829564</v>
      </c>
      <c r="T39" s="10" t="e">
        <f>Tariff!T41</f>
        <v>#REF!</v>
      </c>
      <c r="U39" s="10">
        <f>Tariff!U41</f>
        <v>4074.2858019829564</v>
      </c>
      <c r="V39" s="10" t="e">
        <f>Tariff!V41</f>
        <v>#REF!</v>
      </c>
      <c r="W39" s="10">
        <f>Tariff!W41</f>
        <v>4074.2858019829564</v>
      </c>
      <c r="X39" s="10" t="e">
        <f>Tariff!X41</f>
        <v>#REF!</v>
      </c>
      <c r="Y39" s="10">
        <f>Tariff!Y41</f>
        <v>4074.2858019829564</v>
      </c>
      <c r="Z39" s="10" t="e">
        <f>Tariff!Z41</f>
        <v>#REF!</v>
      </c>
      <c r="AA39" s="10">
        <f>Tariff!AA41</f>
        <v>4074.2858019829564</v>
      </c>
      <c r="AB39" s="10" t="e">
        <f>Tariff!AB41</f>
        <v>#REF!</v>
      </c>
      <c r="AC39" s="10">
        <f>Tariff!AC41</f>
        <v>4074.2858019829564</v>
      </c>
      <c r="AD39" s="10" t="e">
        <f>Tariff!AD41</f>
        <v>#REF!</v>
      </c>
      <c r="AE39" s="10">
        <f>Tariff!AE41</f>
        <v>4074.2858019829564</v>
      </c>
      <c r="AF39" s="10" t="e">
        <f>Tariff!AF41</f>
        <v>#REF!</v>
      </c>
      <c r="AG39" s="10">
        <f>Tariff!AG41</f>
        <v>4074.2858019829564</v>
      </c>
      <c r="AH39" s="10" t="e">
        <f>Tariff!AH41</f>
        <v>#REF!</v>
      </c>
      <c r="AI39" s="10">
        <f>Tariff!AI41</f>
        <v>4074.2858019829564</v>
      </c>
      <c r="AJ39" s="10" t="e">
        <f>Tariff!AJ41</f>
        <v>#REF!</v>
      </c>
      <c r="AK39" s="10">
        <f>Tariff!AK41</f>
        <v>4074.2858019829564</v>
      </c>
      <c r="AL39" s="10" t="e">
        <f>Tariff!AL41</f>
        <v>#REF!</v>
      </c>
      <c r="AM39" s="10">
        <f>Tariff!AM41</f>
        <v>4074.2858019829564</v>
      </c>
      <c r="AN39" s="10" t="e">
        <f>Tariff!AN41</f>
        <v>#REF!</v>
      </c>
      <c r="AO39" s="10">
        <f>Tariff!AO41</f>
        <v>4074.2858019829564</v>
      </c>
      <c r="AP39" s="10" t="e">
        <f>Tariff!AP41</f>
        <v>#REF!</v>
      </c>
      <c r="AQ39" s="10">
        <f>Tariff!AQ41</f>
        <v>4074.2858019829564</v>
      </c>
      <c r="AR39" s="10" t="e">
        <f>Tariff!AR41</f>
        <v>#REF!</v>
      </c>
      <c r="AS39" s="10">
        <f>Tariff!AS41</f>
        <v>4074.2858019829564</v>
      </c>
      <c r="AT39" s="10" t="e">
        <f>Tariff!AT41</f>
        <v>#REF!</v>
      </c>
      <c r="AU39" s="10">
        <f>Tariff!AU41</f>
        <v>4074.2858019829564</v>
      </c>
      <c r="AV39" s="10" t="e">
        <f>Tariff!AV41</f>
        <v>#REF!</v>
      </c>
      <c r="AW39" s="10">
        <f>Tariff!AW41</f>
        <v>4074.2858019829564</v>
      </c>
      <c r="AX39" s="10" t="e">
        <f>Tariff!AX41</f>
        <v>#REF!</v>
      </c>
      <c r="AY39" s="10">
        <f>Tariff!AY41</f>
        <v>4074.2858019829564</v>
      </c>
      <c r="AZ39" s="10" t="e">
        <f>Tariff!AZ41</f>
        <v>#REF!</v>
      </c>
      <c r="BA39" s="10">
        <f>Tariff!BA41</f>
        <v>4074.2858019829564</v>
      </c>
      <c r="BB39" s="10" t="e">
        <f>Tariff!BB41</f>
        <v>#REF!</v>
      </c>
      <c r="BC39" s="10">
        <f>Tariff!BC41</f>
        <v>4074.2858019829564</v>
      </c>
      <c r="BD39" s="10" t="e">
        <f>Tariff!BD41</f>
        <v>#REF!</v>
      </c>
      <c r="BE39" s="10">
        <f>Tariff!BE41</f>
        <v>4074.2858019829564</v>
      </c>
      <c r="BF39" s="10" t="e">
        <f>Tariff!BF41</f>
        <v>#REF!</v>
      </c>
      <c r="BG39" s="10">
        <f>Tariff!BG41</f>
        <v>4074.2858019829564</v>
      </c>
      <c r="BH39" s="10" t="e">
        <f>Tariff!BH41</f>
        <v>#REF!</v>
      </c>
      <c r="BI39" s="10">
        <f>Tariff!BI41</f>
        <v>4074.2858019829564</v>
      </c>
      <c r="BJ39" s="10" t="e">
        <f>Tariff!BJ41</f>
        <v>#REF!</v>
      </c>
      <c r="BK39" s="10">
        <f>Tariff!BK41</f>
        <v>4074.2858019829564</v>
      </c>
      <c r="BL39" s="10" t="e">
        <f>Tariff!BL41</f>
        <v>#REF!</v>
      </c>
      <c r="BM39" s="10">
        <f>Tariff!BM41</f>
        <v>4074.2858019829564</v>
      </c>
      <c r="BN39" s="10" t="e">
        <f>Tariff!BN41</f>
        <v>#REF!</v>
      </c>
      <c r="BO39" s="10">
        <f>Tariff!BO41</f>
        <v>4074.2858019829564</v>
      </c>
      <c r="BP39" s="10" t="e">
        <f>Tariff!BP41</f>
        <v>#REF!</v>
      </c>
      <c r="BQ39" s="10">
        <f>Tariff!BQ41</f>
        <v>4074.2858019829564</v>
      </c>
      <c r="BR39" s="10">
        <f>Tariff!BR41</f>
        <v>0</v>
      </c>
      <c r="BS39" s="10">
        <f>Tariff!BS41</f>
        <v>0</v>
      </c>
      <c r="BT39" s="10">
        <f>Tariff!BT41</f>
        <v>0</v>
      </c>
      <c r="BU39" s="10">
        <f>Tariff!BU41</f>
        <v>0</v>
      </c>
      <c r="BV39" s="10">
        <f>Tariff!BV41</f>
        <v>0</v>
      </c>
      <c r="BW39" s="10">
        <f>Tariff!BW41</f>
        <v>0</v>
      </c>
      <c r="BX39" s="10">
        <f>Tariff!BX41</f>
        <v>0</v>
      </c>
      <c r="BY39" s="10">
        <f>Tariff!BY41</f>
        <v>0</v>
      </c>
      <c r="BZ39" s="10">
        <f>Tariff!BZ41</f>
        <v>0</v>
      </c>
      <c r="CA39" s="10">
        <f>Tariff!CA41</f>
        <v>0</v>
      </c>
      <c r="CB39" s="10">
        <f>Tariff!CB41</f>
        <v>0</v>
      </c>
      <c r="CC39" s="10">
        <f>Tariff!CC41</f>
        <v>0</v>
      </c>
      <c r="CD39" s="10">
        <f>Tariff!CD41</f>
        <v>0</v>
      </c>
      <c r="CE39" s="10">
        <f>Tariff!CE41</f>
        <v>0</v>
      </c>
      <c r="CF39" s="10">
        <f>Tariff!CF41</f>
        <v>0</v>
      </c>
      <c r="CG39" s="10">
        <f>Tariff!CG41</f>
        <v>0</v>
      </c>
      <c r="CH39" s="10">
        <f>Tariff!CH41</f>
        <v>0</v>
      </c>
      <c r="CI39" s="10">
        <f>Tariff!CI41</f>
        <v>0</v>
      </c>
      <c r="CJ39" s="10">
        <f>Tariff!CJ41</f>
        <v>0</v>
      </c>
      <c r="CK39" s="10">
        <f>Tariff!CK41</f>
        <v>0</v>
      </c>
      <c r="CL39" s="10">
        <f>Tariff!CL41</f>
        <v>0</v>
      </c>
      <c r="CM39" s="10">
        <f>Tariff!CM41</f>
        <v>0</v>
      </c>
      <c r="CN39" s="10">
        <f>Tariff!CN41</f>
        <v>0</v>
      </c>
      <c r="CO39" s="10">
        <f>Tariff!CO41</f>
        <v>0</v>
      </c>
      <c r="CP39" s="10">
        <f>Tariff!CP41</f>
        <v>0</v>
      </c>
      <c r="CQ39" s="10">
        <f>Tariff!CQ41</f>
        <v>0</v>
      </c>
      <c r="CR39" s="10">
        <f>Tariff!CR41</f>
        <v>0</v>
      </c>
      <c r="CS39" s="10">
        <f>Tariff!CS41</f>
        <v>0</v>
      </c>
      <c r="CT39" s="10">
        <f>Tariff!CT41</f>
        <v>0</v>
      </c>
      <c r="CU39" s="51"/>
      <c r="CV39" s="51"/>
      <c r="CW39" s="51"/>
      <c r="CX39" s="51"/>
      <c r="CY39" s="51"/>
      <c r="CZ39" s="51"/>
      <c r="DA39" s="51"/>
      <c r="DB39" s="51"/>
      <c r="DC39" s="51"/>
      <c r="DD39" s="51"/>
    </row>
    <row r="40" spans="1:108" ht="12.75" customHeight="1" x14ac:dyDescent="0.25">
      <c r="H40" s="54"/>
      <c r="N40" s="19"/>
    </row>
    <row r="41" spans="1:108" ht="12.75" customHeight="1" x14ac:dyDescent="0.25">
      <c r="B41" s="21" t="s">
        <v>104</v>
      </c>
      <c r="H41" s="54"/>
      <c r="N41" s="19"/>
    </row>
    <row r="42" spans="1:108" ht="12.75" customHeight="1" x14ac:dyDescent="0.25">
      <c r="H42" s="54"/>
      <c r="N42" s="19"/>
    </row>
    <row r="43" spans="1:108" ht="12.75" customHeight="1" x14ac:dyDescent="0.25">
      <c r="C43" s="23" t="s">
        <v>105</v>
      </c>
      <c r="H43" s="54"/>
      <c r="J43" s="38" t="s">
        <v>166</v>
      </c>
      <c r="N43" s="19"/>
    </row>
    <row r="44" spans="1:108" ht="12.75" customHeight="1" x14ac:dyDescent="0.25">
      <c r="C44" s="177" t="str">
        <f>InputC!C48</f>
        <v>Operating Costs</v>
      </c>
      <c r="H44" s="54" t="s">
        <v>3</v>
      </c>
      <c r="J44" s="85">
        <f>InputC!K48</f>
        <v>3.1588434339378688</v>
      </c>
      <c r="N44" s="25">
        <f t="shared" ref="N44:N51" si="7">SUM(P44:DD44)</f>
        <v>215.15181732623518</v>
      </c>
      <c r="O44" s="10"/>
      <c r="P44" s="10">
        <f t="shared" ref="P44:AE50" si="8">$J44*P$17*P$12</f>
        <v>0</v>
      </c>
      <c r="Q44" s="10">
        <f t="shared" si="8"/>
        <v>0</v>
      </c>
      <c r="R44" s="10">
        <f t="shared" si="8"/>
        <v>0</v>
      </c>
      <c r="S44" s="10">
        <f t="shared" si="8"/>
        <v>3.25455954882962</v>
      </c>
      <c r="T44" s="10">
        <f t="shared" si="8"/>
        <v>3.2871051443179167</v>
      </c>
      <c r="U44" s="10">
        <f t="shared" si="8"/>
        <v>3.3199761957610954</v>
      </c>
      <c r="V44" s="10">
        <f t="shared" si="8"/>
        <v>3.3531759577187064</v>
      </c>
      <c r="W44" s="10">
        <f t="shared" si="8"/>
        <v>3.3867077172958928</v>
      </c>
      <c r="X44" s="10">
        <f t="shared" si="8"/>
        <v>3.4205747944688523</v>
      </c>
      <c r="Y44" s="10">
        <f t="shared" si="8"/>
        <v>3.4547805424135412</v>
      </c>
      <c r="Z44" s="10">
        <f t="shared" si="8"/>
        <v>3.4893283478376764</v>
      </c>
      <c r="AA44" s="10">
        <f t="shared" si="8"/>
        <v>3.524221631316053</v>
      </c>
      <c r="AB44" s="10">
        <f t="shared" si="8"/>
        <v>3.559463847629214</v>
      </c>
      <c r="AC44" s="10">
        <f t="shared" si="8"/>
        <v>3.5950584861055059</v>
      </c>
      <c r="AD44" s="10">
        <f t="shared" si="8"/>
        <v>3.6310090709665608</v>
      </c>
      <c r="AE44" s="10">
        <f t="shared" si="8"/>
        <v>3.6673191616762271</v>
      </c>
      <c r="AF44" s="10">
        <f t="shared" ref="AF44:AU50" si="9">$J44*AF$17*AF$12</f>
        <v>3.703992353292989</v>
      </c>
      <c r="AG44" s="10">
        <f t="shared" si="9"/>
        <v>3.7410322768259192</v>
      </c>
      <c r="AH44" s="10">
        <f t="shared" si="9"/>
        <v>3.7784425995941784</v>
      </c>
      <c r="AI44" s="10">
        <f t="shared" si="9"/>
        <v>3.8162270255901198</v>
      </c>
      <c r="AJ44" s="10">
        <f t="shared" si="9"/>
        <v>3.8543892958460217</v>
      </c>
      <c r="AK44" s="10">
        <f t="shared" si="9"/>
        <v>3.892933188804482</v>
      </c>
      <c r="AL44" s="10">
        <f t="shared" si="9"/>
        <v>3.9318625206925271</v>
      </c>
      <c r="AM44" s="10">
        <f t="shared" si="9"/>
        <v>3.9711811458994526</v>
      </c>
      <c r="AN44" s="10">
        <f t="shared" si="9"/>
        <v>4.0108929573584469</v>
      </c>
      <c r="AO44" s="10">
        <f t="shared" si="9"/>
        <v>4.0510018869320312</v>
      </c>
      <c r="AP44" s="10">
        <f t="shared" si="9"/>
        <v>4.0915119058013518</v>
      </c>
      <c r="AQ44" s="10">
        <f t="shared" si="9"/>
        <v>4.1324270248593651</v>
      </c>
      <c r="AR44" s="10">
        <f t="shared" si="9"/>
        <v>4.1737512951079587</v>
      </c>
      <c r="AS44" s="10">
        <f t="shared" si="9"/>
        <v>4.2154888080590389</v>
      </c>
      <c r="AT44" s="10">
        <f t="shared" si="9"/>
        <v>4.2576436961396293</v>
      </c>
      <c r="AU44" s="10">
        <f t="shared" si="9"/>
        <v>4.3002201331010257</v>
      </c>
      <c r="AV44" s="10">
        <f t="shared" ref="AV44:BK50" si="10">$J44*AV$17*AV$12</f>
        <v>4.3432223344320366</v>
      </c>
      <c r="AW44" s="10">
        <f t="shared" si="10"/>
        <v>4.3866545577763567</v>
      </c>
      <c r="AX44" s="10">
        <f t="shared" si="10"/>
        <v>4.4305211033541205</v>
      </c>
      <c r="AY44" s="10">
        <f t="shared" si="10"/>
        <v>4.4748263143876619</v>
      </c>
      <c r="AZ44" s="10">
        <f t="shared" si="10"/>
        <v>4.5195745775315377</v>
      </c>
      <c r="BA44" s="10">
        <f t="shared" si="10"/>
        <v>4.5647703233068535</v>
      </c>
      <c r="BB44" s="10">
        <f t="shared" si="10"/>
        <v>4.6104180265399224</v>
      </c>
      <c r="BC44" s="10">
        <f t="shared" si="10"/>
        <v>4.656522206805322</v>
      </c>
      <c r="BD44" s="10">
        <f t="shared" si="10"/>
        <v>4.7030874288733751</v>
      </c>
      <c r="BE44" s="10">
        <f t="shared" si="10"/>
        <v>4.7501183031621084</v>
      </c>
      <c r="BF44" s="10">
        <f t="shared" si="10"/>
        <v>4.7976194861937298</v>
      </c>
      <c r="BG44" s="10">
        <f t="shared" si="10"/>
        <v>4.8455956810556673</v>
      </c>
      <c r="BH44" s="10">
        <f t="shared" si="10"/>
        <v>4.894051637866224</v>
      </c>
      <c r="BI44" s="10">
        <f t="shared" si="10"/>
        <v>4.9429921542448865</v>
      </c>
      <c r="BJ44" s="10">
        <f t="shared" si="10"/>
        <v>4.992422075787335</v>
      </c>
      <c r="BK44" s="10">
        <f t="shared" si="10"/>
        <v>5.0423462965452091</v>
      </c>
      <c r="BL44" s="10">
        <f t="shared" ref="BL44:CA50" si="11">$J44*BL$17*BL$12</f>
        <v>5.0927697595106611</v>
      </c>
      <c r="BM44" s="10">
        <f t="shared" si="11"/>
        <v>5.1436974571057679</v>
      </c>
      <c r="BN44" s="10">
        <f t="shared" si="11"/>
        <v>5.1951344316768253</v>
      </c>
      <c r="BO44" s="10">
        <f t="shared" si="11"/>
        <v>5.247085775993594</v>
      </c>
      <c r="BP44" s="10">
        <f t="shared" si="11"/>
        <v>5.2995566337535305</v>
      </c>
      <c r="BQ44" s="10">
        <f t="shared" si="11"/>
        <v>5.3525522000910657</v>
      </c>
      <c r="BR44" s="10">
        <f t="shared" si="11"/>
        <v>0</v>
      </c>
      <c r="BS44" s="10">
        <f t="shared" si="11"/>
        <v>0</v>
      </c>
      <c r="BT44" s="10">
        <f t="shared" si="11"/>
        <v>0</v>
      </c>
      <c r="BU44" s="10">
        <f t="shared" si="11"/>
        <v>0</v>
      </c>
      <c r="BV44" s="10">
        <f t="shared" si="11"/>
        <v>0</v>
      </c>
      <c r="BW44" s="10">
        <f t="shared" si="11"/>
        <v>0</v>
      </c>
      <c r="BX44" s="10">
        <f t="shared" si="11"/>
        <v>0</v>
      </c>
      <c r="BY44" s="10">
        <f t="shared" si="11"/>
        <v>0</v>
      </c>
      <c r="BZ44" s="10">
        <f t="shared" si="11"/>
        <v>0</v>
      </c>
      <c r="CA44" s="10">
        <f t="shared" si="11"/>
        <v>0</v>
      </c>
      <c r="CB44" s="10">
        <f t="shared" ref="CB44:CR50" si="12">$J44*CB$17*CB$12</f>
        <v>0</v>
      </c>
      <c r="CC44" s="10">
        <f t="shared" si="12"/>
        <v>0</v>
      </c>
      <c r="CD44" s="10">
        <f t="shared" si="12"/>
        <v>0</v>
      </c>
      <c r="CE44" s="10">
        <f t="shared" si="12"/>
        <v>0</v>
      </c>
      <c r="CF44" s="10">
        <f t="shared" si="12"/>
        <v>0</v>
      </c>
      <c r="CG44" s="10">
        <f t="shared" si="12"/>
        <v>0</v>
      </c>
      <c r="CH44" s="10">
        <f t="shared" si="12"/>
        <v>0</v>
      </c>
      <c r="CI44" s="10">
        <f t="shared" si="12"/>
        <v>0</v>
      </c>
      <c r="CJ44" s="10">
        <f t="shared" si="12"/>
        <v>0</v>
      </c>
      <c r="CK44" s="10">
        <f t="shared" si="12"/>
        <v>0</v>
      </c>
      <c r="CL44" s="10">
        <f t="shared" si="12"/>
        <v>0</v>
      </c>
      <c r="CM44" s="10">
        <f t="shared" si="12"/>
        <v>0</v>
      </c>
      <c r="CN44" s="10">
        <f t="shared" si="12"/>
        <v>0</v>
      </c>
      <c r="CO44" s="10">
        <f t="shared" si="12"/>
        <v>0</v>
      </c>
      <c r="CP44" s="10">
        <f t="shared" si="12"/>
        <v>0</v>
      </c>
      <c r="CQ44" s="10">
        <f t="shared" si="12"/>
        <v>0</v>
      </c>
      <c r="CR44" s="10">
        <f t="shared" si="12"/>
        <v>0</v>
      </c>
      <c r="CS44" s="10">
        <f t="shared" ref="CR44:CT50" si="13">$J44*CS$17*CS$12</f>
        <v>0</v>
      </c>
      <c r="CT44" s="10">
        <f t="shared" si="13"/>
        <v>0</v>
      </c>
      <c r="CU44" s="10"/>
      <c r="CV44" s="10"/>
      <c r="CW44" s="10"/>
      <c r="CX44" s="10"/>
      <c r="CY44" s="10"/>
      <c r="CZ44" s="10"/>
      <c r="DA44" s="10"/>
      <c r="DB44" s="10"/>
      <c r="DC44" s="10"/>
      <c r="DD44" s="10"/>
    </row>
    <row r="45" spans="1:108" ht="12.75" customHeight="1" x14ac:dyDescent="0.25">
      <c r="C45" s="177" t="e">
        <f>InputC!#REF!</f>
        <v>#REF!</v>
      </c>
      <c r="H45" s="54" t="s">
        <v>3</v>
      </c>
      <c r="J45" s="85" t="e">
        <f>InputC!#REF!</f>
        <v>#REF!</v>
      </c>
      <c r="N45" s="25" t="e">
        <f t="shared" si="7"/>
        <v>#REF!</v>
      </c>
      <c r="O45" s="10"/>
      <c r="P45" s="10" t="e">
        <f t="shared" si="8"/>
        <v>#REF!</v>
      </c>
      <c r="Q45" s="10" t="e">
        <f t="shared" si="8"/>
        <v>#REF!</v>
      </c>
      <c r="R45" s="10" t="e">
        <f t="shared" si="8"/>
        <v>#REF!</v>
      </c>
      <c r="S45" s="10" t="e">
        <f t="shared" si="8"/>
        <v>#REF!</v>
      </c>
      <c r="T45" s="10" t="e">
        <f t="shared" si="8"/>
        <v>#REF!</v>
      </c>
      <c r="U45" s="10" t="e">
        <f t="shared" si="8"/>
        <v>#REF!</v>
      </c>
      <c r="V45" s="10" t="e">
        <f t="shared" si="8"/>
        <v>#REF!</v>
      </c>
      <c r="W45" s="10" t="e">
        <f t="shared" si="8"/>
        <v>#REF!</v>
      </c>
      <c r="X45" s="10" t="e">
        <f t="shared" si="8"/>
        <v>#REF!</v>
      </c>
      <c r="Y45" s="10" t="e">
        <f t="shared" si="8"/>
        <v>#REF!</v>
      </c>
      <c r="Z45" s="10" t="e">
        <f t="shared" si="8"/>
        <v>#REF!</v>
      </c>
      <c r="AA45" s="10" t="e">
        <f t="shared" si="8"/>
        <v>#REF!</v>
      </c>
      <c r="AB45" s="10" t="e">
        <f t="shared" si="8"/>
        <v>#REF!</v>
      </c>
      <c r="AC45" s="10" t="e">
        <f t="shared" si="8"/>
        <v>#REF!</v>
      </c>
      <c r="AD45" s="10" t="e">
        <f t="shared" si="8"/>
        <v>#REF!</v>
      </c>
      <c r="AE45" s="10" t="e">
        <f t="shared" si="8"/>
        <v>#REF!</v>
      </c>
      <c r="AF45" s="10" t="e">
        <f t="shared" si="9"/>
        <v>#REF!</v>
      </c>
      <c r="AG45" s="10" t="e">
        <f t="shared" si="9"/>
        <v>#REF!</v>
      </c>
      <c r="AH45" s="10" t="e">
        <f t="shared" si="9"/>
        <v>#REF!</v>
      </c>
      <c r="AI45" s="10" t="e">
        <f t="shared" si="9"/>
        <v>#REF!</v>
      </c>
      <c r="AJ45" s="10" t="e">
        <f t="shared" si="9"/>
        <v>#REF!</v>
      </c>
      <c r="AK45" s="10" t="e">
        <f t="shared" si="9"/>
        <v>#REF!</v>
      </c>
      <c r="AL45" s="10" t="e">
        <f t="shared" si="9"/>
        <v>#REF!</v>
      </c>
      <c r="AM45" s="10" t="e">
        <f t="shared" si="9"/>
        <v>#REF!</v>
      </c>
      <c r="AN45" s="10" t="e">
        <f t="shared" si="9"/>
        <v>#REF!</v>
      </c>
      <c r="AO45" s="10" t="e">
        <f t="shared" si="9"/>
        <v>#REF!</v>
      </c>
      <c r="AP45" s="10" t="e">
        <f t="shared" si="9"/>
        <v>#REF!</v>
      </c>
      <c r="AQ45" s="10" t="e">
        <f t="shared" si="9"/>
        <v>#REF!</v>
      </c>
      <c r="AR45" s="10" t="e">
        <f t="shared" si="9"/>
        <v>#REF!</v>
      </c>
      <c r="AS45" s="10" t="e">
        <f t="shared" si="9"/>
        <v>#REF!</v>
      </c>
      <c r="AT45" s="10" t="e">
        <f t="shared" si="9"/>
        <v>#REF!</v>
      </c>
      <c r="AU45" s="10" t="e">
        <f t="shared" si="9"/>
        <v>#REF!</v>
      </c>
      <c r="AV45" s="10" t="e">
        <f t="shared" si="10"/>
        <v>#REF!</v>
      </c>
      <c r="AW45" s="10" t="e">
        <f t="shared" si="10"/>
        <v>#REF!</v>
      </c>
      <c r="AX45" s="10" t="e">
        <f t="shared" si="10"/>
        <v>#REF!</v>
      </c>
      <c r="AY45" s="10" t="e">
        <f t="shared" si="10"/>
        <v>#REF!</v>
      </c>
      <c r="AZ45" s="10" t="e">
        <f t="shared" si="10"/>
        <v>#REF!</v>
      </c>
      <c r="BA45" s="10" t="e">
        <f t="shared" si="10"/>
        <v>#REF!</v>
      </c>
      <c r="BB45" s="10" t="e">
        <f t="shared" si="10"/>
        <v>#REF!</v>
      </c>
      <c r="BC45" s="10" t="e">
        <f t="shared" si="10"/>
        <v>#REF!</v>
      </c>
      <c r="BD45" s="10" t="e">
        <f t="shared" si="10"/>
        <v>#REF!</v>
      </c>
      <c r="BE45" s="10" t="e">
        <f t="shared" si="10"/>
        <v>#REF!</v>
      </c>
      <c r="BF45" s="10" t="e">
        <f t="shared" si="10"/>
        <v>#REF!</v>
      </c>
      <c r="BG45" s="10" t="e">
        <f t="shared" si="10"/>
        <v>#REF!</v>
      </c>
      <c r="BH45" s="10" t="e">
        <f t="shared" si="10"/>
        <v>#REF!</v>
      </c>
      <c r="BI45" s="10" t="e">
        <f t="shared" si="10"/>
        <v>#REF!</v>
      </c>
      <c r="BJ45" s="10" t="e">
        <f t="shared" si="10"/>
        <v>#REF!</v>
      </c>
      <c r="BK45" s="10" t="e">
        <f t="shared" si="10"/>
        <v>#REF!</v>
      </c>
      <c r="BL45" s="10" t="e">
        <f t="shared" si="11"/>
        <v>#REF!</v>
      </c>
      <c r="BM45" s="10" t="e">
        <f t="shared" si="11"/>
        <v>#REF!</v>
      </c>
      <c r="BN45" s="10" t="e">
        <f t="shared" si="11"/>
        <v>#REF!</v>
      </c>
      <c r="BO45" s="10" t="e">
        <f t="shared" si="11"/>
        <v>#REF!</v>
      </c>
      <c r="BP45" s="10" t="e">
        <f t="shared" si="11"/>
        <v>#REF!</v>
      </c>
      <c r="BQ45" s="10" t="e">
        <f t="shared" si="11"/>
        <v>#REF!</v>
      </c>
      <c r="BR45" s="10" t="e">
        <f t="shared" si="11"/>
        <v>#REF!</v>
      </c>
      <c r="BS45" s="10" t="e">
        <f t="shared" si="11"/>
        <v>#REF!</v>
      </c>
      <c r="BT45" s="10" t="e">
        <f t="shared" si="11"/>
        <v>#REF!</v>
      </c>
      <c r="BU45" s="10" t="e">
        <f t="shared" si="11"/>
        <v>#REF!</v>
      </c>
      <c r="BV45" s="10" t="e">
        <f t="shared" si="11"/>
        <v>#REF!</v>
      </c>
      <c r="BW45" s="10" t="e">
        <f t="shared" si="11"/>
        <v>#REF!</v>
      </c>
      <c r="BX45" s="10" t="e">
        <f t="shared" si="11"/>
        <v>#REF!</v>
      </c>
      <c r="BY45" s="10" t="e">
        <f t="shared" si="11"/>
        <v>#REF!</v>
      </c>
      <c r="BZ45" s="10" t="e">
        <f t="shared" si="11"/>
        <v>#REF!</v>
      </c>
      <c r="CA45" s="10" t="e">
        <f t="shared" si="11"/>
        <v>#REF!</v>
      </c>
      <c r="CB45" s="10" t="e">
        <f t="shared" si="12"/>
        <v>#REF!</v>
      </c>
      <c r="CC45" s="10" t="e">
        <f t="shared" si="12"/>
        <v>#REF!</v>
      </c>
      <c r="CD45" s="10" t="e">
        <f t="shared" si="12"/>
        <v>#REF!</v>
      </c>
      <c r="CE45" s="10" t="e">
        <f t="shared" si="12"/>
        <v>#REF!</v>
      </c>
      <c r="CF45" s="10" t="e">
        <f t="shared" si="12"/>
        <v>#REF!</v>
      </c>
      <c r="CG45" s="10" t="e">
        <f t="shared" si="12"/>
        <v>#REF!</v>
      </c>
      <c r="CH45" s="10" t="e">
        <f t="shared" si="12"/>
        <v>#REF!</v>
      </c>
      <c r="CI45" s="10" t="e">
        <f t="shared" si="12"/>
        <v>#REF!</v>
      </c>
      <c r="CJ45" s="10" t="e">
        <f t="shared" si="12"/>
        <v>#REF!</v>
      </c>
      <c r="CK45" s="10" t="e">
        <f t="shared" si="12"/>
        <v>#REF!</v>
      </c>
      <c r="CL45" s="10" t="e">
        <f t="shared" si="12"/>
        <v>#REF!</v>
      </c>
      <c r="CM45" s="10" t="e">
        <f t="shared" si="12"/>
        <v>#REF!</v>
      </c>
      <c r="CN45" s="10" t="e">
        <f t="shared" si="12"/>
        <v>#REF!</v>
      </c>
      <c r="CO45" s="10" t="e">
        <f t="shared" si="12"/>
        <v>#REF!</v>
      </c>
      <c r="CP45" s="10" t="e">
        <f t="shared" si="12"/>
        <v>#REF!</v>
      </c>
      <c r="CQ45" s="10" t="e">
        <f t="shared" si="12"/>
        <v>#REF!</v>
      </c>
      <c r="CR45" s="10" t="e">
        <f t="shared" si="13"/>
        <v>#REF!</v>
      </c>
      <c r="CS45" s="10" t="e">
        <f t="shared" si="13"/>
        <v>#REF!</v>
      </c>
      <c r="CT45" s="10" t="e">
        <f t="shared" si="13"/>
        <v>#REF!</v>
      </c>
      <c r="CU45" s="10"/>
      <c r="CV45" s="10"/>
      <c r="CW45" s="10"/>
      <c r="CX45" s="10"/>
      <c r="CY45" s="10"/>
      <c r="CZ45" s="10"/>
      <c r="DA45" s="10"/>
      <c r="DB45" s="10"/>
      <c r="DC45" s="10"/>
      <c r="DD45" s="10"/>
    </row>
    <row r="46" spans="1:108" ht="12.75" customHeight="1" x14ac:dyDescent="0.25">
      <c r="C46" s="177" t="e">
        <f>InputC!#REF!</f>
        <v>#REF!</v>
      </c>
      <c r="H46" s="54" t="s">
        <v>3</v>
      </c>
      <c r="J46" s="85" t="e">
        <f>InputC!#REF!</f>
        <v>#REF!</v>
      </c>
      <c r="N46" s="25" t="e">
        <f t="shared" si="7"/>
        <v>#REF!</v>
      </c>
      <c r="O46" s="10"/>
      <c r="P46" s="10" t="e">
        <f t="shared" si="8"/>
        <v>#REF!</v>
      </c>
      <c r="Q46" s="10" t="e">
        <f t="shared" si="8"/>
        <v>#REF!</v>
      </c>
      <c r="R46" s="10" t="e">
        <f t="shared" si="8"/>
        <v>#REF!</v>
      </c>
      <c r="S46" s="10" t="e">
        <f t="shared" si="8"/>
        <v>#REF!</v>
      </c>
      <c r="T46" s="10" t="e">
        <f t="shared" si="8"/>
        <v>#REF!</v>
      </c>
      <c r="U46" s="10" t="e">
        <f t="shared" si="8"/>
        <v>#REF!</v>
      </c>
      <c r="V46" s="10" t="e">
        <f t="shared" si="8"/>
        <v>#REF!</v>
      </c>
      <c r="W46" s="10" t="e">
        <f t="shared" si="8"/>
        <v>#REF!</v>
      </c>
      <c r="X46" s="10" t="e">
        <f t="shared" si="8"/>
        <v>#REF!</v>
      </c>
      <c r="Y46" s="10" t="e">
        <f t="shared" si="8"/>
        <v>#REF!</v>
      </c>
      <c r="Z46" s="10" t="e">
        <f t="shared" si="8"/>
        <v>#REF!</v>
      </c>
      <c r="AA46" s="10" t="e">
        <f t="shared" si="8"/>
        <v>#REF!</v>
      </c>
      <c r="AB46" s="10" t="e">
        <f t="shared" si="8"/>
        <v>#REF!</v>
      </c>
      <c r="AC46" s="10" t="e">
        <f t="shared" si="8"/>
        <v>#REF!</v>
      </c>
      <c r="AD46" s="10" t="e">
        <f t="shared" si="8"/>
        <v>#REF!</v>
      </c>
      <c r="AE46" s="10" t="e">
        <f t="shared" si="8"/>
        <v>#REF!</v>
      </c>
      <c r="AF46" s="10" t="e">
        <f t="shared" si="9"/>
        <v>#REF!</v>
      </c>
      <c r="AG46" s="10" t="e">
        <f t="shared" si="9"/>
        <v>#REF!</v>
      </c>
      <c r="AH46" s="10" t="e">
        <f t="shared" si="9"/>
        <v>#REF!</v>
      </c>
      <c r="AI46" s="10" t="e">
        <f t="shared" si="9"/>
        <v>#REF!</v>
      </c>
      <c r="AJ46" s="10" t="e">
        <f t="shared" si="9"/>
        <v>#REF!</v>
      </c>
      <c r="AK46" s="10" t="e">
        <f t="shared" si="9"/>
        <v>#REF!</v>
      </c>
      <c r="AL46" s="10" t="e">
        <f t="shared" si="9"/>
        <v>#REF!</v>
      </c>
      <c r="AM46" s="10" t="e">
        <f t="shared" si="9"/>
        <v>#REF!</v>
      </c>
      <c r="AN46" s="10" t="e">
        <f t="shared" si="9"/>
        <v>#REF!</v>
      </c>
      <c r="AO46" s="10" t="e">
        <f t="shared" si="9"/>
        <v>#REF!</v>
      </c>
      <c r="AP46" s="10" t="e">
        <f t="shared" si="9"/>
        <v>#REF!</v>
      </c>
      <c r="AQ46" s="10" t="e">
        <f t="shared" si="9"/>
        <v>#REF!</v>
      </c>
      <c r="AR46" s="10" t="e">
        <f t="shared" si="9"/>
        <v>#REF!</v>
      </c>
      <c r="AS46" s="10" t="e">
        <f t="shared" si="9"/>
        <v>#REF!</v>
      </c>
      <c r="AT46" s="10" t="e">
        <f t="shared" si="9"/>
        <v>#REF!</v>
      </c>
      <c r="AU46" s="10" t="e">
        <f t="shared" si="9"/>
        <v>#REF!</v>
      </c>
      <c r="AV46" s="10" t="e">
        <f t="shared" si="10"/>
        <v>#REF!</v>
      </c>
      <c r="AW46" s="10" t="e">
        <f t="shared" si="10"/>
        <v>#REF!</v>
      </c>
      <c r="AX46" s="10" t="e">
        <f t="shared" si="10"/>
        <v>#REF!</v>
      </c>
      <c r="AY46" s="10" t="e">
        <f t="shared" si="10"/>
        <v>#REF!</v>
      </c>
      <c r="AZ46" s="10" t="e">
        <f t="shared" si="10"/>
        <v>#REF!</v>
      </c>
      <c r="BA46" s="10" t="e">
        <f t="shared" si="10"/>
        <v>#REF!</v>
      </c>
      <c r="BB46" s="10" t="e">
        <f t="shared" si="10"/>
        <v>#REF!</v>
      </c>
      <c r="BC46" s="10" t="e">
        <f t="shared" si="10"/>
        <v>#REF!</v>
      </c>
      <c r="BD46" s="10" t="e">
        <f t="shared" si="10"/>
        <v>#REF!</v>
      </c>
      <c r="BE46" s="10" t="e">
        <f t="shared" si="10"/>
        <v>#REF!</v>
      </c>
      <c r="BF46" s="10" t="e">
        <f t="shared" si="10"/>
        <v>#REF!</v>
      </c>
      <c r="BG46" s="10" t="e">
        <f t="shared" si="10"/>
        <v>#REF!</v>
      </c>
      <c r="BH46" s="10" t="e">
        <f t="shared" si="10"/>
        <v>#REF!</v>
      </c>
      <c r="BI46" s="10" t="e">
        <f t="shared" si="10"/>
        <v>#REF!</v>
      </c>
      <c r="BJ46" s="10" t="e">
        <f t="shared" si="10"/>
        <v>#REF!</v>
      </c>
      <c r="BK46" s="10" t="e">
        <f t="shared" si="10"/>
        <v>#REF!</v>
      </c>
      <c r="BL46" s="10" t="e">
        <f t="shared" si="11"/>
        <v>#REF!</v>
      </c>
      <c r="BM46" s="10" t="e">
        <f t="shared" si="11"/>
        <v>#REF!</v>
      </c>
      <c r="BN46" s="10" t="e">
        <f t="shared" si="11"/>
        <v>#REF!</v>
      </c>
      <c r="BO46" s="10" t="e">
        <f t="shared" si="11"/>
        <v>#REF!</v>
      </c>
      <c r="BP46" s="10" t="e">
        <f t="shared" si="11"/>
        <v>#REF!</v>
      </c>
      <c r="BQ46" s="10" t="e">
        <f t="shared" si="11"/>
        <v>#REF!</v>
      </c>
      <c r="BR46" s="10" t="e">
        <f t="shared" si="11"/>
        <v>#REF!</v>
      </c>
      <c r="BS46" s="10" t="e">
        <f t="shared" si="11"/>
        <v>#REF!</v>
      </c>
      <c r="BT46" s="10" t="e">
        <f t="shared" si="11"/>
        <v>#REF!</v>
      </c>
      <c r="BU46" s="10" t="e">
        <f t="shared" si="11"/>
        <v>#REF!</v>
      </c>
      <c r="BV46" s="10" t="e">
        <f t="shared" si="11"/>
        <v>#REF!</v>
      </c>
      <c r="BW46" s="10" t="e">
        <f t="shared" si="11"/>
        <v>#REF!</v>
      </c>
      <c r="BX46" s="10" t="e">
        <f t="shared" si="11"/>
        <v>#REF!</v>
      </c>
      <c r="BY46" s="10" t="e">
        <f t="shared" si="11"/>
        <v>#REF!</v>
      </c>
      <c r="BZ46" s="10" t="e">
        <f t="shared" si="11"/>
        <v>#REF!</v>
      </c>
      <c r="CA46" s="10" t="e">
        <f t="shared" si="11"/>
        <v>#REF!</v>
      </c>
      <c r="CB46" s="10" t="e">
        <f t="shared" si="12"/>
        <v>#REF!</v>
      </c>
      <c r="CC46" s="10" t="e">
        <f t="shared" si="12"/>
        <v>#REF!</v>
      </c>
      <c r="CD46" s="10" t="e">
        <f t="shared" si="12"/>
        <v>#REF!</v>
      </c>
      <c r="CE46" s="10" t="e">
        <f t="shared" si="12"/>
        <v>#REF!</v>
      </c>
      <c r="CF46" s="10" t="e">
        <f t="shared" si="12"/>
        <v>#REF!</v>
      </c>
      <c r="CG46" s="10" t="e">
        <f t="shared" si="12"/>
        <v>#REF!</v>
      </c>
      <c r="CH46" s="10" t="e">
        <f t="shared" si="12"/>
        <v>#REF!</v>
      </c>
      <c r="CI46" s="10" t="e">
        <f t="shared" si="12"/>
        <v>#REF!</v>
      </c>
      <c r="CJ46" s="10" t="e">
        <f t="shared" si="12"/>
        <v>#REF!</v>
      </c>
      <c r="CK46" s="10" t="e">
        <f t="shared" si="12"/>
        <v>#REF!</v>
      </c>
      <c r="CL46" s="10" t="e">
        <f t="shared" si="12"/>
        <v>#REF!</v>
      </c>
      <c r="CM46" s="10" t="e">
        <f t="shared" si="12"/>
        <v>#REF!</v>
      </c>
      <c r="CN46" s="10" t="e">
        <f t="shared" si="12"/>
        <v>#REF!</v>
      </c>
      <c r="CO46" s="10" t="e">
        <f t="shared" si="12"/>
        <v>#REF!</v>
      </c>
      <c r="CP46" s="10" t="e">
        <f t="shared" si="12"/>
        <v>#REF!</v>
      </c>
      <c r="CQ46" s="10" t="e">
        <f t="shared" si="12"/>
        <v>#REF!</v>
      </c>
      <c r="CR46" s="10" t="e">
        <f t="shared" si="13"/>
        <v>#REF!</v>
      </c>
      <c r="CS46" s="10" t="e">
        <f t="shared" si="13"/>
        <v>#REF!</v>
      </c>
      <c r="CT46" s="10" t="e">
        <f t="shared" si="13"/>
        <v>#REF!</v>
      </c>
      <c r="CU46" s="10"/>
      <c r="CV46" s="10"/>
      <c r="CW46" s="10"/>
      <c r="CX46" s="10"/>
      <c r="CY46" s="10"/>
      <c r="CZ46" s="10"/>
      <c r="DA46" s="10"/>
      <c r="DB46" s="10"/>
      <c r="DC46" s="10"/>
      <c r="DD46" s="10"/>
    </row>
    <row r="47" spans="1:108" ht="12.75" customHeight="1" x14ac:dyDescent="0.25">
      <c r="C47" s="177" t="e">
        <f>InputC!#REF!</f>
        <v>#REF!</v>
      </c>
      <c r="H47" s="54" t="s">
        <v>3</v>
      </c>
      <c r="J47" s="85" t="e">
        <f>InputC!#REF!</f>
        <v>#REF!</v>
      </c>
      <c r="N47" s="25" t="e">
        <f t="shared" si="7"/>
        <v>#REF!</v>
      </c>
      <c r="O47" s="10"/>
      <c r="P47" s="10" t="e">
        <f t="shared" si="8"/>
        <v>#REF!</v>
      </c>
      <c r="Q47" s="10" t="e">
        <f t="shared" si="8"/>
        <v>#REF!</v>
      </c>
      <c r="R47" s="10" t="e">
        <f t="shared" si="8"/>
        <v>#REF!</v>
      </c>
      <c r="S47" s="10" t="e">
        <f t="shared" si="8"/>
        <v>#REF!</v>
      </c>
      <c r="T47" s="10" t="e">
        <f t="shared" si="8"/>
        <v>#REF!</v>
      </c>
      <c r="U47" s="10" t="e">
        <f t="shared" si="8"/>
        <v>#REF!</v>
      </c>
      <c r="V47" s="10" t="e">
        <f t="shared" si="8"/>
        <v>#REF!</v>
      </c>
      <c r="W47" s="10" t="e">
        <f t="shared" si="8"/>
        <v>#REF!</v>
      </c>
      <c r="X47" s="10" t="e">
        <f t="shared" si="8"/>
        <v>#REF!</v>
      </c>
      <c r="Y47" s="10" t="e">
        <f t="shared" si="8"/>
        <v>#REF!</v>
      </c>
      <c r="Z47" s="10" t="e">
        <f t="shared" si="8"/>
        <v>#REF!</v>
      </c>
      <c r="AA47" s="10" t="e">
        <f t="shared" si="8"/>
        <v>#REF!</v>
      </c>
      <c r="AB47" s="10" t="e">
        <f t="shared" si="8"/>
        <v>#REF!</v>
      </c>
      <c r="AC47" s="10" t="e">
        <f t="shared" si="8"/>
        <v>#REF!</v>
      </c>
      <c r="AD47" s="10" t="e">
        <f t="shared" si="8"/>
        <v>#REF!</v>
      </c>
      <c r="AE47" s="10" t="e">
        <f t="shared" si="8"/>
        <v>#REF!</v>
      </c>
      <c r="AF47" s="10" t="e">
        <f t="shared" si="9"/>
        <v>#REF!</v>
      </c>
      <c r="AG47" s="10" t="e">
        <f t="shared" si="9"/>
        <v>#REF!</v>
      </c>
      <c r="AH47" s="10" t="e">
        <f t="shared" si="9"/>
        <v>#REF!</v>
      </c>
      <c r="AI47" s="10" t="e">
        <f t="shared" si="9"/>
        <v>#REF!</v>
      </c>
      <c r="AJ47" s="10" t="e">
        <f t="shared" si="9"/>
        <v>#REF!</v>
      </c>
      <c r="AK47" s="10" t="e">
        <f t="shared" si="9"/>
        <v>#REF!</v>
      </c>
      <c r="AL47" s="10" t="e">
        <f t="shared" si="9"/>
        <v>#REF!</v>
      </c>
      <c r="AM47" s="10" t="e">
        <f t="shared" si="9"/>
        <v>#REF!</v>
      </c>
      <c r="AN47" s="10" t="e">
        <f t="shared" si="9"/>
        <v>#REF!</v>
      </c>
      <c r="AO47" s="10" t="e">
        <f t="shared" si="9"/>
        <v>#REF!</v>
      </c>
      <c r="AP47" s="10" t="e">
        <f t="shared" si="9"/>
        <v>#REF!</v>
      </c>
      <c r="AQ47" s="10" t="e">
        <f t="shared" si="9"/>
        <v>#REF!</v>
      </c>
      <c r="AR47" s="10" t="e">
        <f t="shared" si="9"/>
        <v>#REF!</v>
      </c>
      <c r="AS47" s="10" t="e">
        <f t="shared" si="9"/>
        <v>#REF!</v>
      </c>
      <c r="AT47" s="10" t="e">
        <f t="shared" si="9"/>
        <v>#REF!</v>
      </c>
      <c r="AU47" s="10" t="e">
        <f t="shared" si="9"/>
        <v>#REF!</v>
      </c>
      <c r="AV47" s="10" t="e">
        <f t="shared" si="10"/>
        <v>#REF!</v>
      </c>
      <c r="AW47" s="10" t="e">
        <f t="shared" si="10"/>
        <v>#REF!</v>
      </c>
      <c r="AX47" s="10" t="e">
        <f t="shared" si="10"/>
        <v>#REF!</v>
      </c>
      <c r="AY47" s="10" t="e">
        <f t="shared" si="10"/>
        <v>#REF!</v>
      </c>
      <c r="AZ47" s="10" t="e">
        <f t="shared" si="10"/>
        <v>#REF!</v>
      </c>
      <c r="BA47" s="10" t="e">
        <f t="shared" si="10"/>
        <v>#REF!</v>
      </c>
      <c r="BB47" s="10" t="e">
        <f t="shared" si="10"/>
        <v>#REF!</v>
      </c>
      <c r="BC47" s="10" t="e">
        <f t="shared" si="10"/>
        <v>#REF!</v>
      </c>
      <c r="BD47" s="10" t="e">
        <f t="shared" si="10"/>
        <v>#REF!</v>
      </c>
      <c r="BE47" s="10" t="e">
        <f t="shared" si="10"/>
        <v>#REF!</v>
      </c>
      <c r="BF47" s="10" t="e">
        <f t="shared" si="10"/>
        <v>#REF!</v>
      </c>
      <c r="BG47" s="10" t="e">
        <f t="shared" si="10"/>
        <v>#REF!</v>
      </c>
      <c r="BH47" s="10" t="e">
        <f t="shared" si="10"/>
        <v>#REF!</v>
      </c>
      <c r="BI47" s="10" t="e">
        <f t="shared" si="10"/>
        <v>#REF!</v>
      </c>
      <c r="BJ47" s="10" t="e">
        <f t="shared" si="10"/>
        <v>#REF!</v>
      </c>
      <c r="BK47" s="10" t="e">
        <f t="shared" si="10"/>
        <v>#REF!</v>
      </c>
      <c r="BL47" s="10" t="e">
        <f t="shared" si="11"/>
        <v>#REF!</v>
      </c>
      <c r="BM47" s="10" t="e">
        <f t="shared" si="11"/>
        <v>#REF!</v>
      </c>
      <c r="BN47" s="10" t="e">
        <f t="shared" si="11"/>
        <v>#REF!</v>
      </c>
      <c r="BO47" s="10" t="e">
        <f t="shared" si="11"/>
        <v>#REF!</v>
      </c>
      <c r="BP47" s="10" t="e">
        <f t="shared" si="11"/>
        <v>#REF!</v>
      </c>
      <c r="BQ47" s="10" t="e">
        <f t="shared" si="11"/>
        <v>#REF!</v>
      </c>
      <c r="BR47" s="10" t="e">
        <f t="shared" si="11"/>
        <v>#REF!</v>
      </c>
      <c r="BS47" s="10" t="e">
        <f t="shared" si="11"/>
        <v>#REF!</v>
      </c>
      <c r="BT47" s="10" t="e">
        <f t="shared" si="11"/>
        <v>#REF!</v>
      </c>
      <c r="BU47" s="10" t="e">
        <f t="shared" si="11"/>
        <v>#REF!</v>
      </c>
      <c r="BV47" s="10" t="e">
        <f t="shared" si="11"/>
        <v>#REF!</v>
      </c>
      <c r="BW47" s="10" t="e">
        <f t="shared" si="11"/>
        <v>#REF!</v>
      </c>
      <c r="BX47" s="10" t="e">
        <f t="shared" si="11"/>
        <v>#REF!</v>
      </c>
      <c r="BY47" s="10" t="e">
        <f t="shared" si="11"/>
        <v>#REF!</v>
      </c>
      <c r="BZ47" s="10" t="e">
        <f t="shared" si="11"/>
        <v>#REF!</v>
      </c>
      <c r="CA47" s="10" t="e">
        <f t="shared" si="11"/>
        <v>#REF!</v>
      </c>
      <c r="CB47" s="10" t="e">
        <f t="shared" si="12"/>
        <v>#REF!</v>
      </c>
      <c r="CC47" s="10" t="e">
        <f t="shared" si="12"/>
        <v>#REF!</v>
      </c>
      <c r="CD47" s="10" t="e">
        <f t="shared" si="12"/>
        <v>#REF!</v>
      </c>
      <c r="CE47" s="10" t="e">
        <f t="shared" si="12"/>
        <v>#REF!</v>
      </c>
      <c r="CF47" s="10" t="e">
        <f t="shared" si="12"/>
        <v>#REF!</v>
      </c>
      <c r="CG47" s="10" t="e">
        <f t="shared" si="12"/>
        <v>#REF!</v>
      </c>
      <c r="CH47" s="10" t="e">
        <f t="shared" si="12"/>
        <v>#REF!</v>
      </c>
      <c r="CI47" s="10" t="e">
        <f t="shared" si="12"/>
        <v>#REF!</v>
      </c>
      <c r="CJ47" s="10" t="e">
        <f t="shared" si="12"/>
        <v>#REF!</v>
      </c>
      <c r="CK47" s="10" t="e">
        <f t="shared" si="12"/>
        <v>#REF!</v>
      </c>
      <c r="CL47" s="10" t="e">
        <f t="shared" si="12"/>
        <v>#REF!</v>
      </c>
      <c r="CM47" s="10" t="e">
        <f t="shared" si="12"/>
        <v>#REF!</v>
      </c>
      <c r="CN47" s="10" t="e">
        <f t="shared" si="12"/>
        <v>#REF!</v>
      </c>
      <c r="CO47" s="10" t="e">
        <f t="shared" si="12"/>
        <v>#REF!</v>
      </c>
      <c r="CP47" s="10" t="e">
        <f t="shared" si="12"/>
        <v>#REF!</v>
      </c>
      <c r="CQ47" s="10" t="e">
        <f t="shared" si="12"/>
        <v>#REF!</v>
      </c>
      <c r="CR47" s="10" t="e">
        <f t="shared" si="13"/>
        <v>#REF!</v>
      </c>
      <c r="CS47" s="10" t="e">
        <f t="shared" si="13"/>
        <v>#REF!</v>
      </c>
      <c r="CT47" s="10" t="e">
        <f t="shared" si="13"/>
        <v>#REF!</v>
      </c>
      <c r="CU47" s="10"/>
      <c r="CV47" s="10"/>
      <c r="CW47" s="10"/>
      <c r="CX47" s="10"/>
      <c r="CY47" s="10"/>
      <c r="CZ47" s="10"/>
      <c r="DA47" s="10"/>
      <c r="DB47" s="10"/>
      <c r="DC47" s="10"/>
      <c r="DD47" s="10"/>
    </row>
    <row r="48" spans="1:108" ht="12.75" customHeight="1" x14ac:dyDescent="0.25">
      <c r="C48" s="177" t="e">
        <f>InputC!#REF!</f>
        <v>#REF!</v>
      </c>
      <c r="H48" s="54" t="s">
        <v>3</v>
      </c>
      <c r="J48" s="85" t="e">
        <f>InputC!#REF!</f>
        <v>#REF!</v>
      </c>
      <c r="N48" s="25" t="e">
        <f t="shared" si="7"/>
        <v>#REF!</v>
      </c>
      <c r="O48" s="10"/>
      <c r="P48" s="10" t="e">
        <f t="shared" si="8"/>
        <v>#REF!</v>
      </c>
      <c r="Q48" s="10" t="e">
        <f t="shared" si="8"/>
        <v>#REF!</v>
      </c>
      <c r="R48" s="10" t="e">
        <f t="shared" si="8"/>
        <v>#REF!</v>
      </c>
      <c r="S48" s="10" t="e">
        <f t="shared" si="8"/>
        <v>#REF!</v>
      </c>
      <c r="T48" s="10" t="e">
        <f t="shared" si="8"/>
        <v>#REF!</v>
      </c>
      <c r="U48" s="10" t="e">
        <f t="shared" si="8"/>
        <v>#REF!</v>
      </c>
      <c r="V48" s="10" t="e">
        <f t="shared" si="8"/>
        <v>#REF!</v>
      </c>
      <c r="W48" s="10" t="e">
        <f t="shared" si="8"/>
        <v>#REF!</v>
      </c>
      <c r="X48" s="10" t="e">
        <f t="shared" si="8"/>
        <v>#REF!</v>
      </c>
      <c r="Y48" s="10" t="e">
        <f t="shared" si="8"/>
        <v>#REF!</v>
      </c>
      <c r="Z48" s="10" t="e">
        <f t="shared" si="8"/>
        <v>#REF!</v>
      </c>
      <c r="AA48" s="10" t="e">
        <f t="shared" si="8"/>
        <v>#REF!</v>
      </c>
      <c r="AB48" s="10" t="e">
        <f t="shared" si="8"/>
        <v>#REF!</v>
      </c>
      <c r="AC48" s="10" t="e">
        <f t="shared" si="8"/>
        <v>#REF!</v>
      </c>
      <c r="AD48" s="10" t="e">
        <f t="shared" si="8"/>
        <v>#REF!</v>
      </c>
      <c r="AE48" s="10" t="e">
        <f t="shared" si="8"/>
        <v>#REF!</v>
      </c>
      <c r="AF48" s="10" t="e">
        <f t="shared" si="9"/>
        <v>#REF!</v>
      </c>
      <c r="AG48" s="10" t="e">
        <f t="shared" si="9"/>
        <v>#REF!</v>
      </c>
      <c r="AH48" s="10" t="e">
        <f t="shared" si="9"/>
        <v>#REF!</v>
      </c>
      <c r="AI48" s="10" t="e">
        <f t="shared" si="9"/>
        <v>#REF!</v>
      </c>
      <c r="AJ48" s="10" t="e">
        <f t="shared" si="9"/>
        <v>#REF!</v>
      </c>
      <c r="AK48" s="10" t="e">
        <f t="shared" si="9"/>
        <v>#REF!</v>
      </c>
      <c r="AL48" s="10" t="e">
        <f t="shared" si="9"/>
        <v>#REF!</v>
      </c>
      <c r="AM48" s="10" t="e">
        <f t="shared" si="9"/>
        <v>#REF!</v>
      </c>
      <c r="AN48" s="10" t="e">
        <f t="shared" si="9"/>
        <v>#REF!</v>
      </c>
      <c r="AO48" s="10" t="e">
        <f t="shared" si="9"/>
        <v>#REF!</v>
      </c>
      <c r="AP48" s="10" t="e">
        <f t="shared" si="9"/>
        <v>#REF!</v>
      </c>
      <c r="AQ48" s="10" t="e">
        <f t="shared" si="9"/>
        <v>#REF!</v>
      </c>
      <c r="AR48" s="10" t="e">
        <f t="shared" si="9"/>
        <v>#REF!</v>
      </c>
      <c r="AS48" s="10" t="e">
        <f t="shared" si="9"/>
        <v>#REF!</v>
      </c>
      <c r="AT48" s="10" t="e">
        <f t="shared" si="9"/>
        <v>#REF!</v>
      </c>
      <c r="AU48" s="10" t="e">
        <f t="shared" si="9"/>
        <v>#REF!</v>
      </c>
      <c r="AV48" s="10" t="e">
        <f t="shared" si="10"/>
        <v>#REF!</v>
      </c>
      <c r="AW48" s="10" t="e">
        <f t="shared" si="10"/>
        <v>#REF!</v>
      </c>
      <c r="AX48" s="10" t="e">
        <f t="shared" si="10"/>
        <v>#REF!</v>
      </c>
      <c r="AY48" s="10" t="e">
        <f t="shared" si="10"/>
        <v>#REF!</v>
      </c>
      <c r="AZ48" s="10" t="e">
        <f t="shared" si="10"/>
        <v>#REF!</v>
      </c>
      <c r="BA48" s="10" t="e">
        <f t="shared" si="10"/>
        <v>#REF!</v>
      </c>
      <c r="BB48" s="10" t="e">
        <f t="shared" si="10"/>
        <v>#REF!</v>
      </c>
      <c r="BC48" s="10" t="e">
        <f t="shared" si="10"/>
        <v>#REF!</v>
      </c>
      <c r="BD48" s="10" t="e">
        <f t="shared" si="10"/>
        <v>#REF!</v>
      </c>
      <c r="BE48" s="10" t="e">
        <f t="shared" si="10"/>
        <v>#REF!</v>
      </c>
      <c r="BF48" s="10" t="e">
        <f t="shared" si="10"/>
        <v>#REF!</v>
      </c>
      <c r="BG48" s="10" t="e">
        <f t="shared" si="10"/>
        <v>#REF!</v>
      </c>
      <c r="BH48" s="10" t="e">
        <f t="shared" si="10"/>
        <v>#REF!</v>
      </c>
      <c r="BI48" s="10" t="e">
        <f t="shared" si="10"/>
        <v>#REF!</v>
      </c>
      <c r="BJ48" s="10" t="e">
        <f t="shared" si="10"/>
        <v>#REF!</v>
      </c>
      <c r="BK48" s="10" t="e">
        <f t="shared" si="10"/>
        <v>#REF!</v>
      </c>
      <c r="BL48" s="10" t="e">
        <f t="shared" si="11"/>
        <v>#REF!</v>
      </c>
      <c r="BM48" s="10" t="e">
        <f t="shared" si="11"/>
        <v>#REF!</v>
      </c>
      <c r="BN48" s="10" t="e">
        <f t="shared" si="11"/>
        <v>#REF!</v>
      </c>
      <c r="BO48" s="10" t="e">
        <f t="shared" si="11"/>
        <v>#REF!</v>
      </c>
      <c r="BP48" s="10" t="e">
        <f t="shared" si="11"/>
        <v>#REF!</v>
      </c>
      <c r="BQ48" s="10" t="e">
        <f t="shared" si="11"/>
        <v>#REF!</v>
      </c>
      <c r="BR48" s="10" t="e">
        <f t="shared" si="11"/>
        <v>#REF!</v>
      </c>
      <c r="BS48" s="10" t="e">
        <f t="shared" si="11"/>
        <v>#REF!</v>
      </c>
      <c r="BT48" s="10" t="e">
        <f t="shared" si="11"/>
        <v>#REF!</v>
      </c>
      <c r="BU48" s="10" t="e">
        <f t="shared" si="11"/>
        <v>#REF!</v>
      </c>
      <c r="BV48" s="10" t="e">
        <f t="shared" si="11"/>
        <v>#REF!</v>
      </c>
      <c r="BW48" s="10" t="e">
        <f t="shared" si="11"/>
        <v>#REF!</v>
      </c>
      <c r="BX48" s="10" t="e">
        <f t="shared" si="11"/>
        <v>#REF!</v>
      </c>
      <c r="BY48" s="10" t="e">
        <f t="shared" si="11"/>
        <v>#REF!</v>
      </c>
      <c r="BZ48" s="10" t="e">
        <f t="shared" si="11"/>
        <v>#REF!</v>
      </c>
      <c r="CA48" s="10" t="e">
        <f t="shared" si="11"/>
        <v>#REF!</v>
      </c>
      <c r="CB48" s="10" t="e">
        <f t="shared" si="12"/>
        <v>#REF!</v>
      </c>
      <c r="CC48" s="10" t="e">
        <f t="shared" si="12"/>
        <v>#REF!</v>
      </c>
      <c r="CD48" s="10" t="e">
        <f t="shared" si="12"/>
        <v>#REF!</v>
      </c>
      <c r="CE48" s="10" t="e">
        <f t="shared" si="12"/>
        <v>#REF!</v>
      </c>
      <c r="CF48" s="10" t="e">
        <f t="shared" si="12"/>
        <v>#REF!</v>
      </c>
      <c r="CG48" s="10" t="e">
        <f t="shared" si="12"/>
        <v>#REF!</v>
      </c>
      <c r="CH48" s="10" t="e">
        <f t="shared" si="12"/>
        <v>#REF!</v>
      </c>
      <c r="CI48" s="10" t="e">
        <f t="shared" si="12"/>
        <v>#REF!</v>
      </c>
      <c r="CJ48" s="10" t="e">
        <f t="shared" si="12"/>
        <v>#REF!</v>
      </c>
      <c r="CK48" s="10" t="e">
        <f t="shared" si="12"/>
        <v>#REF!</v>
      </c>
      <c r="CL48" s="10" t="e">
        <f t="shared" si="12"/>
        <v>#REF!</v>
      </c>
      <c r="CM48" s="10" t="e">
        <f t="shared" si="12"/>
        <v>#REF!</v>
      </c>
      <c r="CN48" s="10" t="e">
        <f t="shared" si="12"/>
        <v>#REF!</v>
      </c>
      <c r="CO48" s="10" t="e">
        <f t="shared" si="12"/>
        <v>#REF!</v>
      </c>
      <c r="CP48" s="10" t="e">
        <f t="shared" si="12"/>
        <v>#REF!</v>
      </c>
      <c r="CQ48" s="10" t="e">
        <f t="shared" si="12"/>
        <v>#REF!</v>
      </c>
      <c r="CR48" s="10" t="e">
        <f t="shared" si="13"/>
        <v>#REF!</v>
      </c>
      <c r="CS48" s="10" t="e">
        <f t="shared" si="13"/>
        <v>#REF!</v>
      </c>
      <c r="CT48" s="10" t="e">
        <f t="shared" si="13"/>
        <v>#REF!</v>
      </c>
      <c r="CU48" s="10"/>
      <c r="CV48" s="10"/>
      <c r="CW48" s="10"/>
      <c r="CX48" s="10"/>
      <c r="CY48" s="10"/>
      <c r="CZ48" s="10"/>
      <c r="DA48" s="10"/>
      <c r="DB48" s="10"/>
      <c r="DC48" s="10"/>
      <c r="DD48" s="10"/>
    </row>
    <row r="49" spans="2:108" ht="12.75" customHeight="1" x14ac:dyDescent="0.25">
      <c r="C49" s="177" t="e">
        <f>InputC!#REF!</f>
        <v>#REF!</v>
      </c>
      <c r="H49" s="54" t="s">
        <v>3</v>
      </c>
      <c r="J49" s="85" t="e">
        <f>InputC!#REF!</f>
        <v>#REF!</v>
      </c>
      <c r="N49" s="25" t="e">
        <f t="shared" si="7"/>
        <v>#REF!</v>
      </c>
      <c r="O49" s="10"/>
      <c r="P49" s="10" t="e">
        <f t="shared" si="8"/>
        <v>#REF!</v>
      </c>
      <c r="Q49" s="10" t="e">
        <f t="shared" si="8"/>
        <v>#REF!</v>
      </c>
      <c r="R49" s="10" t="e">
        <f t="shared" si="8"/>
        <v>#REF!</v>
      </c>
      <c r="S49" s="10" t="e">
        <f t="shared" si="8"/>
        <v>#REF!</v>
      </c>
      <c r="T49" s="10" t="e">
        <f t="shared" si="8"/>
        <v>#REF!</v>
      </c>
      <c r="U49" s="10" t="e">
        <f t="shared" si="8"/>
        <v>#REF!</v>
      </c>
      <c r="V49" s="10" t="e">
        <f t="shared" si="8"/>
        <v>#REF!</v>
      </c>
      <c r="W49" s="10" t="e">
        <f t="shared" si="8"/>
        <v>#REF!</v>
      </c>
      <c r="X49" s="10" t="e">
        <f t="shared" si="8"/>
        <v>#REF!</v>
      </c>
      <c r="Y49" s="10" t="e">
        <f t="shared" si="8"/>
        <v>#REF!</v>
      </c>
      <c r="Z49" s="10" t="e">
        <f t="shared" si="8"/>
        <v>#REF!</v>
      </c>
      <c r="AA49" s="10" t="e">
        <f t="shared" si="8"/>
        <v>#REF!</v>
      </c>
      <c r="AB49" s="10" t="e">
        <f t="shared" si="8"/>
        <v>#REF!</v>
      </c>
      <c r="AC49" s="10" t="e">
        <f t="shared" si="8"/>
        <v>#REF!</v>
      </c>
      <c r="AD49" s="10" t="e">
        <f t="shared" si="8"/>
        <v>#REF!</v>
      </c>
      <c r="AE49" s="10" t="e">
        <f t="shared" si="8"/>
        <v>#REF!</v>
      </c>
      <c r="AF49" s="10" t="e">
        <f t="shared" si="9"/>
        <v>#REF!</v>
      </c>
      <c r="AG49" s="10" t="e">
        <f t="shared" si="9"/>
        <v>#REF!</v>
      </c>
      <c r="AH49" s="10" t="e">
        <f t="shared" si="9"/>
        <v>#REF!</v>
      </c>
      <c r="AI49" s="10" t="e">
        <f t="shared" si="9"/>
        <v>#REF!</v>
      </c>
      <c r="AJ49" s="10" t="e">
        <f t="shared" si="9"/>
        <v>#REF!</v>
      </c>
      <c r="AK49" s="10" t="e">
        <f t="shared" si="9"/>
        <v>#REF!</v>
      </c>
      <c r="AL49" s="10" t="e">
        <f t="shared" si="9"/>
        <v>#REF!</v>
      </c>
      <c r="AM49" s="10" t="e">
        <f t="shared" si="9"/>
        <v>#REF!</v>
      </c>
      <c r="AN49" s="10" t="e">
        <f t="shared" si="9"/>
        <v>#REF!</v>
      </c>
      <c r="AO49" s="10" t="e">
        <f t="shared" si="9"/>
        <v>#REF!</v>
      </c>
      <c r="AP49" s="10" t="e">
        <f t="shared" si="9"/>
        <v>#REF!</v>
      </c>
      <c r="AQ49" s="10" t="e">
        <f t="shared" si="9"/>
        <v>#REF!</v>
      </c>
      <c r="AR49" s="10" t="e">
        <f t="shared" si="9"/>
        <v>#REF!</v>
      </c>
      <c r="AS49" s="10" t="e">
        <f t="shared" si="9"/>
        <v>#REF!</v>
      </c>
      <c r="AT49" s="10" t="e">
        <f t="shared" si="9"/>
        <v>#REF!</v>
      </c>
      <c r="AU49" s="10" t="e">
        <f t="shared" si="9"/>
        <v>#REF!</v>
      </c>
      <c r="AV49" s="10" t="e">
        <f t="shared" si="10"/>
        <v>#REF!</v>
      </c>
      <c r="AW49" s="10" t="e">
        <f t="shared" si="10"/>
        <v>#REF!</v>
      </c>
      <c r="AX49" s="10" t="e">
        <f t="shared" si="10"/>
        <v>#REF!</v>
      </c>
      <c r="AY49" s="10" t="e">
        <f t="shared" si="10"/>
        <v>#REF!</v>
      </c>
      <c r="AZ49" s="10" t="e">
        <f t="shared" si="10"/>
        <v>#REF!</v>
      </c>
      <c r="BA49" s="10" t="e">
        <f t="shared" si="10"/>
        <v>#REF!</v>
      </c>
      <c r="BB49" s="10" t="e">
        <f t="shared" si="10"/>
        <v>#REF!</v>
      </c>
      <c r="BC49" s="10" t="e">
        <f t="shared" si="10"/>
        <v>#REF!</v>
      </c>
      <c r="BD49" s="10" t="e">
        <f t="shared" si="10"/>
        <v>#REF!</v>
      </c>
      <c r="BE49" s="10" t="e">
        <f t="shared" si="10"/>
        <v>#REF!</v>
      </c>
      <c r="BF49" s="10" t="e">
        <f t="shared" si="10"/>
        <v>#REF!</v>
      </c>
      <c r="BG49" s="10" t="e">
        <f t="shared" si="10"/>
        <v>#REF!</v>
      </c>
      <c r="BH49" s="10" t="e">
        <f t="shared" si="10"/>
        <v>#REF!</v>
      </c>
      <c r="BI49" s="10" t="e">
        <f t="shared" si="10"/>
        <v>#REF!</v>
      </c>
      <c r="BJ49" s="10" t="e">
        <f t="shared" si="10"/>
        <v>#REF!</v>
      </c>
      <c r="BK49" s="10" t="e">
        <f t="shared" si="10"/>
        <v>#REF!</v>
      </c>
      <c r="BL49" s="10" t="e">
        <f t="shared" si="11"/>
        <v>#REF!</v>
      </c>
      <c r="BM49" s="10" t="e">
        <f t="shared" si="11"/>
        <v>#REF!</v>
      </c>
      <c r="BN49" s="10" t="e">
        <f t="shared" si="11"/>
        <v>#REF!</v>
      </c>
      <c r="BO49" s="10" t="e">
        <f t="shared" si="11"/>
        <v>#REF!</v>
      </c>
      <c r="BP49" s="10" t="e">
        <f t="shared" si="11"/>
        <v>#REF!</v>
      </c>
      <c r="BQ49" s="10" t="e">
        <f t="shared" si="11"/>
        <v>#REF!</v>
      </c>
      <c r="BR49" s="10" t="e">
        <f t="shared" si="11"/>
        <v>#REF!</v>
      </c>
      <c r="BS49" s="10" t="e">
        <f t="shared" si="11"/>
        <v>#REF!</v>
      </c>
      <c r="BT49" s="10" t="e">
        <f t="shared" si="11"/>
        <v>#REF!</v>
      </c>
      <c r="BU49" s="10" t="e">
        <f t="shared" si="11"/>
        <v>#REF!</v>
      </c>
      <c r="BV49" s="10" t="e">
        <f t="shared" si="11"/>
        <v>#REF!</v>
      </c>
      <c r="BW49" s="10" t="e">
        <f t="shared" si="11"/>
        <v>#REF!</v>
      </c>
      <c r="BX49" s="10" t="e">
        <f t="shared" si="11"/>
        <v>#REF!</v>
      </c>
      <c r="BY49" s="10" t="e">
        <f t="shared" si="11"/>
        <v>#REF!</v>
      </c>
      <c r="BZ49" s="10" t="e">
        <f t="shared" si="11"/>
        <v>#REF!</v>
      </c>
      <c r="CA49" s="10" t="e">
        <f t="shared" si="11"/>
        <v>#REF!</v>
      </c>
      <c r="CB49" s="10" t="e">
        <f t="shared" si="12"/>
        <v>#REF!</v>
      </c>
      <c r="CC49" s="10" t="e">
        <f t="shared" si="12"/>
        <v>#REF!</v>
      </c>
      <c r="CD49" s="10" t="e">
        <f t="shared" si="12"/>
        <v>#REF!</v>
      </c>
      <c r="CE49" s="10" t="e">
        <f t="shared" si="12"/>
        <v>#REF!</v>
      </c>
      <c r="CF49" s="10" t="e">
        <f t="shared" si="12"/>
        <v>#REF!</v>
      </c>
      <c r="CG49" s="10" t="e">
        <f t="shared" si="12"/>
        <v>#REF!</v>
      </c>
      <c r="CH49" s="10" t="e">
        <f t="shared" si="12"/>
        <v>#REF!</v>
      </c>
      <c r="CI49" s="10" t="e">
        <f t="shared" si="12"/>
        <v>#REF!</v>
      </c>
      <c r="CJ49" s="10" t="e">
        <f t="shared" si="12"/>
        <v>#REF!</v>
      </c>
      <c r="CK49" s="10" t="e">
        <f t="shared" si="12"/>
        <v>#REF!</v>
      </c>
      <c r="CL49" s="10" t="e">
        <f t="shared" si="12"/>
        <v>#REF!</v>
      </c>
      <c r="CM49" s="10" t="e">
        <f t="shared" si="12"/>
        <v>#REF!</v>
      </c>
      <c r="CN49" s="10" t="e">
        <f t="shared" si="12"/>
        <v>#REF!</v>
      </c>
      <c r="CO49" s="10" t="e">
        <f t="shared" si="12"/>
        <v>#REF!</v>
      </c>
      <c r="CP49" s="10" t="e">
        <f t="shared" si="12"/>
        <v>#REF!</v>
      </c>
      <c r="CQ49" s="10" t="e">
        <f t="shared" si="12"/>
        <v>#REF!</v>
      </c>
      <c r="CR49" s="10" t="e">
        <f t="shared" si="13"/>
        <v>#REF!</v>
      </c>
      <c r="CS49" s="10" t="e">
        <f t="shared" si="13"/>
        <v>#REF!</v>
      </c>
      <c r="CT49" s="10" t="e">
        <f t="shared" si="13"/>
        <v>#REF!</v>
      </c>
      <c r="CU49" s="10"/>
      <c r="CV49" s="10"/>
      <c r="CW49" s="10"/>
      <c r="CX49" s="10"/>
      <c r="CY49" s="10"/>
      <c r="CZ49" s="10"/>
      <c r="DA49" s="10"/>
      <c r="DB49" s="10"/>
      <c r="DC49" s="10"/>
      <c r="DD49" s="10"/>
    </row>
    <row r="50" spans="2:108" ht="12.75" customHeight="1" x14ac:dyDescent="0.25">
      <c r="C50" s="178" t="e">
        <f>InputC!#REF!</f>
        <v>#REF!</v>
      </c>
      <c r="D50" s="27"/>
      <c r="E50" s="27"/>
      <c r="F50" s="27"/>
      <c r="G50" s="27"/>
      <c r="H50" s="160" t="s">
        <v>3</v>
      </c>
      <c r="I50" s="27"/>
      <c r="J50" s="39" t="e">
        <f>InputC!#REF!</f>
        <v>#REF!</v>
      </c>
      <c r="K50" s="27"/>
      <c r="L50" s="27"/>
      <c r="M50" s="27"/>
      <c r="N50" s="32" t="e">
        <f t="shared" si="7"/>
        <v>#REF!</v>
      </c>
      <c r="O50" s="161"/>
      <c r="P50" s="161" t="e">
        <f t="shared" si="8"/>
        <v>#REF!</v>
      </c>
      <c r="Q50" s="161" t="e">
        <f t="shared" si="8"/>
        <v>#REF!</v>
      </c>
      <c r="R50" s="161" t="e">
        <f t="shared" si="8"/>
        <v>#REF!</v>
      </c>
      <c r="S50" s="161" t="e">
        <f t="shared" si="8"/>
        <v>#REF!</v>
      </c>
      <c r="T50" s="161" t="e">
        <f t="shared" si="8"/>
        <v>#REF!</v>
      </c>
      <c r="U50" s="161" t="e">
        <f t="shared" si="8"/>
        <v>#REF!</v>
      </c>
      <c r="V50" s="161" t="e">
        <f t="shared" si="8"/>
        <v>#REF!</v>
      </c>
      <c r="W50" s="161" t="e">
        <f t="shared" si="8"/>
        <v>#REF!</v>
      </c>
      <c r="X50" s="161" t="e">
        <f t="shared" si="8"/>
        <v>#REF!</v>
      </c>
      <c r="Y50" s="161" t="e">
        <f t="shared" si="8"/>
        <v>#REF!</v>
      </c>
      <c r="Z50" s="161" t="e">
        <f t="shared" si="8"/>
        <v>#REF!</v>
      </c>
      <c r="AA50" s="161" t="e">
        <f t="shared" si="8"/>
        <v>#REF!</v>
      </c>
      <c r="AB50" s="161" t="e">
        <f t="shared" si="8"/>
        <v>#REF!</v>
      </c>
      <c r="AC50" s="161" t="e">
        <f t="shared" si="8"/>
        <v>#REF!</v>
      </c>
      <c r="AD50" s="161" t="e">
        <f t="shared" si="8"/>
        <v>#REF!</v>
      </c>
      <c r="AE50" s="161" t="e">
        <f t="shared" si="8"/>
        <v>#REF!</v>
      </c>
      <c r="AF50" s="161" t="e">
        <f t="shared" si="9"/>
        <v>#REF!</v>
      </c>
      <c r="AG50" s="161" t="e">
        <f t="shared" si="9"/>
        <v>#REF!</v>
      </c>
      <c r="AH50" s="161" t="e">
        <f t="shared" si="9"/>
        <v>#REF!</v>
      </c>
      <c r="AI50" s="161" t="e">
        <f t="shared" si="9"/>
        <v>#REF!</v>
      </c>
      <c r="AJ50" s="161" t="e">
        <f t="shared" si="9"/>
        <v>#REF!</v>
      </c>
      <c r="AK50" s="161" t="e">
        <f t="shared" si="9"/>
        <v>#REF!</v>
      </c>
      <c r="AL50" s="161" t="e">
        <f t="shared" si="9"/>
        <v>#REF!</v>
      </c>
      <c r="AM50" s="161" t="e">
        <f t="shared" si="9"/>
        <v>#REF!</v>
      </c>
      <c r="AN50" s="161" t="e">
        <f t="shared" si="9"/>
        <v>#REF!</v>
      </c>
      <c r="AO50" s="161" t="e">
        <f t="shared" si="9"/>
        <v>#REF!</v>
      </c>
      <c r="AP50" s="161" t="e">
        <f t="shared" si="9"/>
        <v>#REF!</v>
      </c>
      <c r="AQ50" s="161" t="e">
        <f t="shared" si="9"/>
        <v>#REF!</v>
      </c>
      <c r="AR50" s="161" t="e">
        <f t="shared" si="9"/>
        <v>#REF!</v>
      </c>
      <c r="AS50" s="161" t="e">
        <f t="shared" si="9"/>
        <v>#REF!</v>
      </c>
      <c r="AT50" s="161" t="e">
        <f t="shared" si="9"/>
        <v>#REF!</v>
      </c>
      <c r="AU50" s="161" t="e">
        <f t="shared" si="9"/>
        <v>#REF!</v>
      </c>
      <c r="AV50" s="161" t="e">
        <f t="shared" si="10"/>
        <v>#REF!</v>
      </c>
      <c r="AW50" s="161" t="e">
        <f t="shared" si="10"/>
        <v>#REF!</v>
      </c>
      <c r="AX50" s="161" t="e">
        <f t="shared" si="10"/>
        <v>#REF!</v>
      </c>
      <c r="AY50" s="161" t="e">
        <f t="shared" si="10"/>
        <v>#REF!</v>
      </c>
      <c r="AZ50" s="161" t="e">
        <f t="shared" si="10"/>
        <v>#REF!</v>
      </c>
      <c r="BA50" s="161" t="e">
        <f t="shared" si="10"/>
        <v>#REF!</v>
      </c>
      <c r="BB50" s="161" t="e">
        <f t="shared" si="10"/>
        <v>#REF!</v>
      </c>
      <c r="BC50" s="161" t="e">
        <f t="shared" si="10"/>
        <v>#REF!</v>
      </c>
      <c r="BD50" s="161" t="e">
        <f t="shared" si="10"/>
        <v>#REF!</v>
      </c>
      <c r="BE50" s="161" t="e">
        <f t="shared" si="10"/>
        <v>#REF!</v>
      </c>
      <c r="BF50" s="161" t="e">
        <f t="shared" si="10"/>
        <v>#REF!</v>
      </c>
      <c r="BG50" s="161" t="e">
        <f t="shared" si="10"/>
        <v>#REF!</v>
      </c>
      <c r="BH50" s="161" t="e">
        <f t="shared" si="10"/>
        <v>#REF!</v>
      </c>
      <c r="BI50" s="161" t="e">
        <f t="shared" si="10"/>
        <v>#REF!</v>
      </c>
      <c r="BJ50" s="161" t="e">
        <f t="shared" si="10"/>
        <v>#REF!</v>
      </c>
      <c r="BK50" s="161" t="e">
        <f t="shared" si="10"/>
        <v>#REF!</v>
      </c>
      <c r="BL50" s="161" t="e">
        <f t="shared" si="11"/>
        <v>#REF!</v>
      </c>
      <c r="BM50" s="161" t="e">
        <f t="shared" si="11"/>
        <v>#REF!</v>
      </c>
      <c r="BN50" s="161" t="e">
        <f t="shared" si="11"/>
        <v>#REF!</v>
      </c>
      <c r="BO50" s="161" t="e">
        <f t="shared" si="11"/>
        <v>#REF!</v>
      </c>
      <c r="BP50" s="161" t="e">
        <f t="shared" si="11"/>
        <v>#REF!</v>
      </c>
      <c r="BQ50" s="161" t="e">
        <f t="shared" si="11"/>
        <v>#REF!</v>
      </c>
      <c r="BR50" s="161" t="e">
        <f t="shared" si="11"/>
        <v>#REF!</v>
      </c>
      <c r="BS50" s="161" t="e">
        <f t="shared" si="11"/>
        <v>#REF!</v>
      </c>
      <c r="BT50" s="161" t="e">
        <f t="shared" si="11"/>
        <v>#REF!</v>
      </c>
      <c r="BU50" s="161" t="e">
        <f t="shared" si="11"/>
        <v>#REF!</v>
      </c>
      <c r="BV50" s="161" t="e">
        <f t="shared" si="11"/>
        <v>#REF!</v>
      </c>
      <c r="BW50" s="161" t="e">
        <f t="shared" si="11"/>
        <v>#REF!</v>
      </c>
      <c r="BX50" s="161" t="e">
        <f t="shared" si="11"/>
        <v>#REF!</v>
      </c>
      <c r="BY50" s="161" t="e">
        <f t="shared" si="11"/>
        <v>#REF!</v>
      </c>
      <c r="BZ50" s="161" t="e">
        <f t="shared" si="11"/>
        <v>#REF!</v>
      </c>
      <c r="CA50" s="161" t="e">
        <f t="shared" si="11"/>
        <v>#REF!</v>
      </c>
      <c r="CB50" s="161" t="e">
        <f t="shared" si="12"/>
        <v>#REF!</v>
      </c>
      <c r="CC50" s="161" t="e">
        <f t="shared" si="12"/>
        <v>#REF!</v>
      </c>
      <c r="CD50" s="161" t="e">
        <f t="shared" si="12"/>
        <v>#REF!</v>
      </c>
      <c r="CE50" s="161" t="e">
        <f t="shared" si="12"/>
        <v>#REF!</v>
      </c>
      <c r="CF50" s="161" t="e">
        <f t="shared" si="12"/>
        <v>#REF!</v>
      </c>
      <c r="CG50" s="161" t="e">
        <f t="shared" si="12"/>
        <v>#REF!</v>
      </c>
      <c r="CH50" s="161" t="e">
        <f t="shared" si="12"/>
        <v>#REF!</v>
      </c>
      <c r="CI50" s="161" t="e">
        <f t="shared" si="12"/>
        <v>#REF!</v>
      </c>
      <c r="CJ50" s="161" t="e">
        <f t="shared" si="12"/>
        <v>#REF!</v>
      </c>
      <c r="CK50" s="161" t="e">
        <f t="shared" si="12"/>
        <v>#REF!</v>
      </c>
      <c r="CL50" s="161" t="e">
        <f t="shared" si="12"/>
        <v>#REF!</v>
      </c>
      <c r="CM50" s="161" t="e">
        <f t="shared" si="12"/>
        <v>#REF!</v>
      </c>
      <c r="CN50" s="161" t="e">
        <f t="shared" si="12"/>
        <v>#REF!</v>
      </c>
      <c r="CO50" s="161" t="e">
        <f t="shared" si="12"/>
        <v>#REF!</v>
      </c>
      <c r="CP50" s="161" t="e">
        <f t="shared" si="12"/>
        <v>#REF!</v>
      </c>
      <c r="CQ50" s="161" t="e">
        <f t="shared" si="12"/>
        <v>#REF!</v>
      </c>
      <c r="CR50" s="161" t="e">
        <f t="shared" si="13"/>
        <v>#REF!</v>
      </c>
      <c r="CS50" s="161" t="e">
        <f t="shared" si="13"/>
        <v>#REF!</v>
      </c>
      <c r="CT50" s="161" t="e">
        <f t="shared" si="13"/>
        <v>#REF!</v>
      </c>
      <c r="CU50" s="161"/>
      <c r="CV50" s="161"/>
      <c r="CW50" s="161"/>
      <c r="CX50" s="161"/>
      <c r="CY50" s="161"/>
      <c r="CZ50" s="161"/>
      <c r="DA50" s="161"/>
      <c r="DB50" s="161"/>
      <c r="DC50" s="161"/>
      <c r="DD50" s="161"/>
    </row>
    <row r="51" spans="2:108" ht="12.75" customHeight="1" x14ac:dyDescent="0.25">
      <c r="C51" s="177"/>
      <c r="H51" s="54" t="s">
        <v>3</v>
      </c>
      <c r="J51" s="183" t="e">
        <f>SUM(J44:J50)</f>
        <v>#REF!</v>
      </c>
      <c r="N51" s="176" t="e">
        <f t="shared" si="7"/>
        <v>#REF!</v>
      </c>
      <c r="O51" s="10"/>
      <c r="P51" s="51" t="e">
        <f t="shared" ref="P51:CA51" si="14">SUM(P44:P50)</f>
        <v>#REF!</v>
      </c>
      <c r="Q51" s="51" t="e">
        <f t="shared" si="14"/>
        <v>#REF!</v>
      </c>
      <c r="R51" s="51" t="e">
        <f t="shared" si="14"/>
        <v>#REF!</v>
      </c>
      <c r="S51" s="51" t="e">
        <f t="shared" si="14"/>
        <v>#REF!</v>
      </c>
      <c r="T51" s="51" t="e">
        <f t="shared" si="14"/>
        <v>#REF!</v>
      </c>
      <c r="U51" s="51" t="e">
        <f t="shared" si="14"/>
        <v>#REF!</v>
      </c>
      <c r="V51" s="51" t="e">
        <f t="shared" si="14"/>
        <v>#REF!</v>
      </c>
      <c r="W51" s="51" t="e">
        <f t="shared" si="14"/>
        <v>#REF!</v>
      </c>
      <c r="X51" s="51" t="e">
        <f t="shared" si="14"/>
        <v>#REF!</v>
      </c>
      <c r="Y51" s="51" t="e">
        <f t="shared" si="14"/>
        <v>#REF!</v>
      </c>
      <c r="Z51" s="51" t="e">
        <f t="shared" si="14"/>
        <v>#REF!</v>
      </c>
      <c r="AA51" s="51" t="e">
        <f t="shared" si="14"/>
        <v>#REF!</v>
      </c>
      <c r="AB51" s="51" t="e">
        <f t="shared" si="14"/>
        <v>#REF!</v>
      </c>
      <c r="AC51" s="51" t="e">
        <f t="shared" si="14"/>
        <v>#REF!</v>
      </c>
      <c r="AD51" s="51" t="e">
        <f t="shared" si="14"/>
        <v>#REF!</v>
      </c>
      <c r="AE51" s="51" t="e">
        <f t="shared" si="14"/>
        <v>#REF!</v>
      </c>
      <c r="AF51" s="51" t="e">
        <f t="shared" si="14"/>
        <v>#REF!</v>
      </c>
      <c r="AG51" s="51" t="e">
        <f t="shared" si="14"/>
        <v>#REF!</v>
      </c>
      <c r="AH51" s="51" t="e">
        <f t="shared" si="14"/>
        <v>#REF!</v>
      </c>
      <c r="AI51" s="51" t="e">
        <f t="shared" si="14"/>
        <v>#REF!</v>
      </c>
      <c r="AJ51" s="51" t="e">
        <f t="shared" si="14"/>
        <v>#REF!</v>
      </c>
      <c r="AK51" s="51" t="e">
        <f t="shared" si="14"/>
        <v>#REF!</v>
      </c>
      <c r="AL51" s="51" t="e">
        <f t="shared" si="14"/>
        <v>#REF!</v>
      </c>
      <c r="AM51" s="51" t="e">
        <f t="shared" si="14"/>
        <v>#REF!</v>
      </c>
      <c r="AN51" s="51" t="e">
        <f t="shared" si="14"/>
        <v>#REF!</v>
      </c>
      <c r="AO51" s="51" t="e">
        <f t="shared" si="14"/>
        <v>#REF!</v>
      </c>
      <c r="AP51" s="51" t="e">
        <f t="shared" si="14"/>
        <v>#REF!</v>
      </c>
      <c r="AQ51" s="51" t="e">
        <f t="shared" si="14"/>
        <v>#REF!</v>
      </c>
      <c r="AR51" s="51" t="e">
        <f t="shared" si="14"/>
        <v>#REF!</v>
      </c>
      <c r="AS51" s="51" t="e">
        <f t="shared" si="14"/>
        <v>#REF!</v>
      </c>
      <c r="AT51" s="51" t="e">
        <f t="shared" si="14"/>
        <v>#REF!</v>
      </c>
      <c r="AU51" s="51" t="e">
        <f t="shared" si="14"/>
        <v>#REF!</v>
      </c>
      <c r="AV51" s="51" t="e">
        <f t="shared" si="14"/>
        <v>#REF!</v>
      </c>
      <c r="AW51" s="51" t="e">
        <f t="shared" si="14"/>
        <v>#REF!</v>
      </c>
      <c r="AX51" s="51" t="e">
        <f t="shared" si="14"/>
        <v>#REF!</v>
      </c>
      <c r="AY51" s="51" t="e">
        <f t="shared" si="14"/>
        <v>#REF!</v>
      </c>
      <c r="AZ51" s="51" t="e">
        <f t="shared" si="14"/>
        <v>#REF!</v>
      </c>
      <c r="BA51" s="51" t="e">
        <f t="shared" si="14"/>
        <v>#REF!</v>
      </c>
      <c r="BB51" s="51" t="e">
        <f t="shared" si="14"/>
        <v>#REF!</v>
      </c>
      <c r="BC51" s="51" t="e">
        <f t="shared" si="14"/>
        <v>#REF!</v>
      </c>
      <c r="BD51" s="51" t="e">
        <f t="shared" si="14"/>
        <v>#REF!</v>
      </c>
      <c r="BE51" s="51" t="e">
        <f t="shared" si="14"/>
        <v>#REF!</v>
      </c>
      <c r="BF51" s="51" t="e">
        <f t="shared" si="14"/>
        <v>#REF!</v>
      </c>
      <c r="BG51" s="51" t="e">
        <f t="shared" si="14"/>
        <v>#REF!</v>
      </c>
      <c r="BH51" s="51" t="e">
        <f t="shared" si="14"/>
        <v>#REF!</v>
      </c>
      <c r="BI51" s="51" t="e">
        <f t="shared" si="14"/>
        <v>#REF!</v>
      </c>
      <c r="BJ51" s="51" t="e">
        <f t="shared" si="14"/>
        <v>#REF!</v>
      </c>
      <c r="BK51" s="51" t="e">
        <f t="shared" si="14"/>
        <v>#REF!</v>
      </c>
      <c r="BL51" s="51" t="e">
        <f t="shared" si="14"/>
        <v>#REF!</v>
      </c>
      <c r="BM51" s="51" t="e">
        <f t="shared" si="14"/>
        <v>#REF!</v>
      </c>
      <c r="BN51" s="51" t="e">
        <f t="shared" si="14"/>
        <v>#REF!</v>
      </c>
      <c r="BO51" s="51" t="e">
        <f t="shared" si="14"/>
        <v>#REF!</v>
      </c>
      <c r="BP51" s="51" t="e">
        <f t="shared" si="14"/>
        <v>#REF!</v>
      </c>
      <c r="BQ51" s="51" t="e">
        <f t="shared" si="14"/>
        <v>#REF!</v>
      </c>
      <c r="BR51" s="51" t="e">
        <f t="shared" si="14"/>
        <v>#REF!</v>
      </c>
      <c r="BS51" s="51" t="e">
        <f t="shared" si="14"/>
        <v>#REF!</v>
      </c>
      <c r="BT51" s="51" t="e">
        <f t="shared" si="14"/>
        <v>#REF!</v>
      </c>
      <c r="BU51" s="51" t="e">
        <f t="shared" si="14"/>
        <v>#REF!</v>
      </c>
      <c r="BV51" s="51" t="e">
        <f t="shared" si="14"/>
        <v>#REF!</v>
      </c>
      <c r="BW51" s="51" t="e">
        <f t="shared" si="14"/>
        <v>#REF!</v>
      </c>
      <c r="BX51" s="51" t="e">
        <f t="shared" si="14"/>
        <v>#REF!</v>
      </c>
      <c r="BY51" s="51" t="e">
        <f t="shared" si="14"/>
        <v>#REF!</v>
      </c>
      <c r="BZ51" s="51" t="e">
        <f t="shared" si="14"/>
        <v>#REF!</v>
      </c>
      <c r="CA51" s="51" t="e">
        <f t="shared" si="14"/>
        <v>#REF!</v>
      </c>
      <c r="CB51" s="51" t="e">
        <f t="shared" ref="CB51:CQ51" si="15">SUM(CB44:CB50)</f>
        <v>#REF!</v>
      </c>
      <c r="CC51" s="51" t="e">
        <f t="shared" si="15"/>
        <v>#REF!</v>
      </c>
      <c r="CD51" s="51" t="e">
        <f t="shared" si="15"/>
        <v>#REF!</v>
      </c>
      <c r="CE51" s="51" t="e">
        <f t="shared" si="15"/>
        <v>#REF!</v>
      </c>
      <c r="CF51" s="51" t="e">
        <f t="shared" si="15"/>
        <v>#REF!</v>
      </c>
      <c r="CG51" s="51" t="e">
        <f t="shared" si="15"/>
        <v>#REF!</v>
      </c>
      <c r="CH51" s="51" t="e">
        <f t="shared" si="15"/>
        <v>#REF!</v>
      </c>
      <c r="CI51" s="51" t="e">
        <f t="shared" si="15"/>
        <v>#REF!</v>
      </c>
      <c r="CJ51" s="51" t="e">
        <f t="shared" si="15"/>
        <v>#REF!</v>
      </c>
      <c r="CK51" s="51" t="e">
        <f t="shared" si="15"/>
        <v>#REF!</v>
      </c>
      <c r="CL51" s="51" t="e">
        <f t="shared" si="15"/>
        <v>#REF!</v>
      </c>
      <c r="CM51" s="51" t="e">
        <f t="shared" si="15"/>
        <v>#REF!</v>
      </c>
      <c r="CN51" s="51" t="e">
        <f t="shared" si="15"/>
        <v>#REF!</v>
      </c>
      <c r="CO51" s="51" t="e">
        <f t="shared" si="15"/>
        <v>#REF!</v>
      </c>
      <c r="CP51" s="51" t="e">
        <f t="shared" si="15"/>
        <v>#REF!</v>
      </c>
      <c r="CQ51" s="51" t="e">
        <f t="shared" si="15"/>
        <v>#REF!</v>
      </c>
      <c r="CR51" s="51" t="e">
        <f t="shared" ref="CR51:CT51" si="16">SUM(CR44:CR50)</f>
        <v>#REF!</v>
      </c>
      <c r="CS51" s="51" t="e">
        <f t="shared" si="16"/>
        <v>#REF!</v>
      </c>
      <c r="CT51" s="51" t="e">
        <f t="shared" si="16"/>
        <v>#REF!</v>
      </c>
      <c r="CU51" s="10"/>
      <c r="CV51" s="10"/>
      <c r="CW51" s="10"/>
      <c r="CX51" s="10"/>
      <c r="CY51" s="10"/>
      <c r="CZ51" s="10"/>
      <c r="DA51" s="10"/>
      <c r="DB51" s="10"/>
      <c r="DC51" s="10"/>
      <c r="DD51" s="10"/>
    </row>
    <row r="52" spans="2:108" ht="12.75" customHeight="1" x14ac:dyDescent="0.25">
      <c r="H52" s="54"/>
      <c r="N52" s="19"/>
    </row>
    <row r="53" spans="2:108" ht="12.75" customHeight="1" x14ac:dyDescent="0.25">
      <c r="C53" s="23" t="s">
        <v>107</v>
      </c>
      <c r="H53" s="54"/>
      <c r="J53" s="38" t="s">
        <v>175</v>
      </c>
      <c r="N53" s="19"/>
    </row>
    <row r="54" spans="2:108" ht="12.75" customHeight="1" x14ac:dyDescent="0.25">
      <c r="C54" s="177" t="e">
        <f>InputC!#REF!</f>
        <v>#REF!</v>
      </c>
      <c r="H54" s="54" t="s">
        <v>176</v>
      </c>
      <c r="J54" s="85" t="e">
        <f>InputC!#REF!</f>
        <v>#REF!</v>
      </c>
      <c r="N54" s="25" t="e">
        <f t="shared" ref="N54:N59" si="17">SUM(P54:DD54)</f>
        <v>#REF!</v>
      </c>
      <c r="O54" s="10"/>
      <c r="P54" s="10" t="e">
        <f>$J54*P$30*1000000000/1000000*P$17</f>
        <v>#REF!</v>
      </c>
      <c r="Q54" s="10" t="e">
        <f t="shared" ref="Q54:CB58" si="18">$J54*Q$30*1000000000/1000000*Q$17</f>
        <v>#REF!</v>
      </c>
      <c r="R54" s="10" t="e">
        <f t="shared" si="18"/>
        <v>#REF!</v>
      </c>
      <c r="S54" s="10" t="e">
        <f t="shared" si="18"/>
        <v>#REF!</v>
      </c>
      <c r="T54" s="10" t="e">
        <f t="shared" si="18"/>
        <v>#REF!</v>
      </c>
      <c r="U54" s="10" t="e">
        <f t="shared" si="18"/>
        <v>#REF!</v>
      </c>
      <c r="V54" s="10" t="e">
        <f t="shared" si="18"/>
        <v>#REF!</v>
      </c>
      <c r="W54" s="10" t="e">
        <f t="shared" si="18"/>
        <v>#REF!</v>
      </c>
      <c r="X54" s="10" t="e">
        <f t="shared" si="18"/>
        <v>#REF!</v>
      </c>
      <c r="Y54" s="10" t="e">
        <f t="shared" si="18"/>
        <v>#REF!</v>
      </c>
      <c r="Z54" s="10" t="e">
        <f t="shared" si="18"/>
        <v>#REF!</v>
      </c>
      <c r="AA54" s="10" t="e">
        <f t="shared" si="18"/>
        <v>#REF!</v>
      </c>
      <c r="AB54" s="10" t="e">
        <f t="shared" si="18"/>
        <v>#REF!</v>
      </c>
      <c r="AC54" s="10" t="e">
        <f t="shared" si="18"/>
        <v>#REF!</v>
      </c>
      <c r="AD54" s="10" t="e">
        <f t="shared" si="18"/>
        <v>#REF!</v>
      </c>
      <c r="AE54" s="10" t="e">
        <f t="shared" si="18"/>
        <v>#REF!</v>
      </c>
      <c r="AF54" s="10" t="e">
        <f t="shared" si="18"/>
        <v>#REF!</v>
      </c>
      <c r="AG54" s="10" t="e">
        <f t="shared" si="18"/>
        <v>#REF!</v>
      </c>
      <c r="AH54" s="10" t="e">
        <f t="shared" si="18"/>
        <v>#REF!</v>
      </c>
      <c r="AI54" s="10" t="e">
        <f t="shared" si="18"/>
        <v>#REF!</v>
      </c>
      <c r="AJ54" s="10" t="e">
        <f t="shared" si="18"/>
        <v>#REF!</v>
      </c>
      <c r="AK54" s="10" t="e">
        <f t="shared" si="18"/>
        <v>#REF!</v>
      </c>
      <c r="AL54" s="10" t="e">
        <f t="shared" si="18"/>
        <v>#REF!</v>
      </c>
      <c r="AM54" s="10" t="e">
        <f t="shared" si="18"/>
        <v>#REF!</v>
      </c>
      <c r="AN54" s="10" t="e">
        <f t="shared" si="18"/>
        <v>#REF!</v>
      </c>
      <c r="AO54" s="10" t="e">
        <f t="shared" si="18"/>
        <v>#REF!</v>
      </c>
      <c r="AP54" s="10" t="e">
        <f t="shared" si="18"/>
        <v>#REF!</v>
      </c>
      <c r="AQ54" s="10" t="e">
        <f t="shared" si="18"/>
        <v>#REF!</v>
      </c>
      <c r="AR54" s="10" t="e">
        <f t="shared" si="18"/>
        <v>#REF!</v>
      </c>
      <c r="AS54" s="10" t="e">
        <f t="shared" si="18"/>
        <v>#REF!</v>
      </c>
      <c r="AT54" s="10" t="e">
        <f t="shared" si="18"/>
        <v>#REF!</v>
      </c>
      <c r="AU54" s="10" t="e">
        <f t="shared" si="18"/>
        <v>#REF!</v>
      </c>
      <c r="AV54" s="10" t="e">
        <f t="shared" si="18"/>
        <v>#REF!</v>
      </c>
      <c r="AW54" s="10" t="e">
        <f t="shared" si="18"/>
        <v>#REF!</v>
      </c>
      <c r="AX54" s="10" t="e">
        <f t="shared" si="18"/>
        <v>#REF!</v>
      </c>
      <c r="AY54" s="10" t="e">
        <f t="shared" si="18"/>
        <v>#REF!</v>
      </c>
      <c r="AZ54" s="10" t="e">
        <f t="shared" si="18"/>
        <v>#REF!</v>
      </c>
      <c r="BA54" s="10" t="e">
        <f t="shared" si="18"/>
        <v>#REF!</v>
      </c>
      <c r="BB54" s="10" t="e">
        <f t="shared" si="18"/>
        <v>#REF!</v>
      </c>
      <c r="BC54" s="10" t="e">
        <f t="shared" si="18"/>
        <v>#REF!</v>
      </c>
      <c r="BD54" s="10" t="e">
        <f t="shared" si="18"/>
        <v>#REF!</v>
      </c>
      <c r="BE54" s="10" t="e">
        <f t="shared" si="18"/>
        <v>#REF!</v>
      </c>
      <c r="BF54" s="10" t="e">
        <f t="shared" si="18"/>
        <v>#REF!</v>
      </c>
      <c r="BG54" s="10" t="e">
        <f t="shared" si="18"/>
        <v>#REF!</v>
      </c>
      <c r="BH54" s="10" t="e">
        <f t="shared" si="18"/>
        <v>#REF!</v>
      </c>
      <c r="BI54" s="10" t="e">
        <f t="shared" si="18"/>
        <v>#REF!</v>
      </c>
      <c r="BJ54" s="10" t="e">
        <f t="shared" si="18"/>
        <v>#REF!</v>
      </c>
      <c r="BK54" s="10" t="e">
        <f t="shared" si="18"/>
        <v>#REF!</v>
      </c>
      <c r="BL54" s="10" t="e">
        <f t="shared" si="18"/>
        <v>#REF!</v>
      </c>
      <c r="BM54" s="10" t="e">
        <f t="shared" si="18"/>
        <v>#REF!</v>
      </c>
      <c r="BN54" s="10" t="e">
        <f t="shared" si="18"/>
        <v>#REF!</v>
      </c>
      <c r="BO54" s="10" t="e">
        <f t="shared" si="18"/>
        <v>#REF!</v>
      </c>
      <c r="BP54" s="10" t="e">
        <f t="shared" si="18"/>
        <v>#REF!</v>
      </c>
      <c r="BQ54" s="10" t="e">
        <f t="shared" si="18"/>
        <v>#REF!</v>
      </c>
      <c r="BR54" s="10" t="e">
        <f t="shared" si="18"/>
        <v>#REF!</v>
      </c>
      <c r="BS54" s="10" t="e">
        <f t="shared" si="18"/>
        <v>#REF!</v>
      </c>
      <c r="BT54" s="10" t="e">
        <f t="shared" si="18"/>
        <v>#REF!</v>
      </c>
      <c r="BU54" s="10" t="e">
        <f t="shared" si="18"/>
        <v>#REF!</v>
      </c>
      <c r="BV54" s="10" t="e">
        <f t="shared" si="18"/>
        <v>#REF!</v>
      </c>
      <c r="BW54" s="10" t="e">
        <f t="shared" si="18"/>
        <v>#REF!</v>
      </c>
      <c r="BX54" s="10" t="e">
        <f t="shared" si="18"/>
        <v>#REF!</v>
      </c>
      <c r="BY54" s="10" t="e">
        <f t="shared" si="18"/>
        <v>#REF!</v>
      </c>
      <c r="BZ54" s="10" t="e">
        <f t="shared" si="18"/>
        <v>#REF!</v>
      </c>
      <c r="CA54" s="10" t="e">
        <f t="shared" si="18"/>
        <v>#REF!</v>
      </c>
      <c r="CB54" s="10" t="e">
        <f t="shared" si="18"/>
        <v>#REF!</v>
      </c>
      <c r="CC54" s="10" t="e">
        <f t="shared" ref="CC54:CR58" si="19">$J54*CC$30*1000000000/1000000*CC$17</f>
        <v>#REF!</v>
      </c>
      <c r="CD54" s="10" t="e">
        <f t="shared" si="19"/>
        <v>#REF!</v>
      </c>
      <c r="CE54" s="10" t="e">
        <f t="shared" si="19"/>
        <v>#REF!</v>
      </c>
      <c r="CF54" s="10" t="e">
        <f t="shared" si="19"/>
        <v>#REF!</v>
      </c>
      <c r="CG54" s="10" t="e">
        <f t="shared" si="19"/>
        <v>#REF!</v>
      </c>
      <c r="CH54" s="10" t="e">
        <f t="shared" si="19"/>
        <v>#REF!</v>
      </c>
      <c r="CI54" s="10" t="e">
        <f t="shared" si="19"/>
        <v>#REF!</v>
      </c>
      <c r="CJ54" s="10" t="e">
        <f t="shared" si="19"/>
        <v>#REF!</v>
      </c>
      <c r="CK54" s="10" t="e">
        <f t="shared" si="19"/>
        <v>#REF!</v>
      </c>
      <c r="CL54" s="10" t="e">
        <f t="shared" si="19"/>
        <v>#REF!</v>
      </c>
      <c r="CM54" s="10" t="e">
        <f t="shared" si="19"/>
        <v>#REF!</v>
      </c>
      <c r="CN54" s="10" t="e">
        <f t="shared" si="19"/>
        <v>#REF!</v>
      </c>
      <c r="CO54" s="10" t="e">
        <f t="shared" si="19"/>
        <v>#REF!</v>
      </c>
      <c r="CP54" s="10" t="e">
        <f t="shared" si="19"/>
        <v>#REF!</v>
      </c>
      <c r="CQ54" s="10" t="e">
        <f t="shared" si="19"/>
        <v>#REF!</v>
      </c>
      <c r="CR54" s="10" t="e">
        <f t="shared" si="19"/>
        <v>#REF!</v>
      </c>
      <c r="CS54" s="10" t="e">
        <f t="shared" ref="CR54:CT58" si="20">$J54*CS$30*1000000000/1000000*CS$17</f>
        <v>#REF!</v>
      </c>
      <c r="CT54" s="10" t="e">
        <f t="shared" si="20"/>
        <v>#REF!</v>
      </c>
      <c r="CU54" s="10"/>
      <c r="CV54" s="10"/>
      <c r="CW54" s="10"/>
      <c r="CX54" s="10"/>
      <c r="CY54" s="10"/>
      <c r="CZ54" s="10"/>
      <c r="DA54" s="10"/>
      <c r="DB54" s="10"/>
      <c r="DC54" s="10"/>
      <c r="DD54" s="10"/>
    </row>
    <row r="55" spans="2:108" ht="12.75" customHeight="1" x14ac:dyDescent="0.25">
      <c r="C55" s="177" t="e">
        <f>InputC!#REF!</f>
        <v>#REF!</v>
      </c>
      <c r="H55" s="54" t="s">
        <v>176</v>
      </c>
      <c r="J55" s="85" t="e">
        <f>InputC!#REF!</f>
        <v>#REF!</v>
      </c>
      <c r="N55" s="25" t="e">
        <f t="shared" si="17"/>
        <v>#REF!</v>
      </c>
      <c r="O55" s="10"/>
      <c r="P55" s="10" t="e">
        <f t="shared" ref="P55:AE58" si="21">$J55*P$30*1000000000/1000000*P$17</f>
        <v>#REF!</v>
      </c>
      <c r="Q55" s="10" t="e">
        <f t="shared" si="21"/>
        <v>#REF!</v>
      </c>
      <c r="R55" s="10" t="e">
        <f t="shared" si="21"/>
        <v>#REF!</v>
      </c>
      <c r="S55" s="10" t="e">
        <f t="shared" si="21"/>
        <v>#REF!</v>
      </c>
      <c r="T55" s="10" t="e">
        <f t="shared" si="21"/>
        <v>#REF!</v>
      </c>
      <c r="U55" s="10" t="e">
        <f t="shared" si="21"/>
        <v>#REF!</v>
      </c>
      <c r="V55" s="10" t="e">
        <f t="shared" si="21"/>
        <v>#REF!</v>
      </c>
      <c r="W55" s="10" t="e">
        <f t="shared" si="21"/>
        <v>#REF!</v>
      </c>
      <c r="X55" s="10" t="e">
        <f t="shared" si="21"/>
        <v>#REF!</v>
      </c>
      <c r="Y55" s="10" t="e">
        <f t="shared" si="21"/>
        <v>#REF!</v>
      </c>
      <c r="Z55" s="10" t="e">
        <f t="shared" si="21"/>
        <v>#REF!</v>
      </c>
      <c r="AA55" s="10" t="e">
        <f t="shared" si="21"/>
        <v>#REF!</v>
      </c>
      <c r="AB55" s="10" t="e">
        <f t="shared" si="21"/>
        <v>#REF!</v>
      </c>
      <c r="AC55" s="10" t="e">
        <f t="shared" si="21"/>
        <v>#REF!</v>
      </c>
      <c r="AD55" s="10" t="e">
        <f t="shared" si="21"/>
        <v>#REF!</v>
      </c>
      <c r="AE55" s="10" t="e">
        <f t="shared" si="21"/>
        <v>#REF!</v>
      </c>
      <c r="AF55" s="10" t="e">
        <f t="shared" si="18"/>
        <v>#REF!</v>
      </c>
      <c r="AG55" s="10" t="e">
        <f t="shared" si="18"/>
        <v>#REF!</v>
      </c>
      <c r="AH55" s="10" t="e">
        <f t="shared" si="18"/>
        <v>#REF!</v>
      </c>
      <c r="AI55" s="10" t="e">
        <f t="shared" si="18"/>
        <v>#REF!</v>
      </c>
      <c r="AJ55" s="10" t="e">
        <f t="shared" si="18"/>
        <v>#REF!</v>
      </c>
      <c r="AK55" s="10" t="e">
        <f t="shared" si="18"/>
        <v>#REF!</v>
      </c>
      <c r="AL55" s="10" t="e">
        <f t="shared" si="18"/>
        <v>#REF!</v>
      </c>
      <c r="AM55" s="10" t="e">
        <f t="shared" si="18"/>
        <v>#REF!</v>
      </c>
      <c r="AN55" s="10" t="e">
        <f t="shared" si="18"/>
        <v>#REF!</v>
      </c>
      <c r="AO55" s="10" t="e">
        <f t="shared" si="18"/>
        <v>#REF!</v>
      </c>
      <c r="AP55" s="10" t="e">
        <f t="shared" si="18"/>
        <v>#REF!</v>
      </c>
      <c r="AQ55" s="10" t="e">
        <f t="shared" si="18"/>
        <v>#REF!</v>
      </c>
      <c r="AR55" s="10" t="e">
        <f t="shared" si="18"/>
        <v>#REF!</v>
      </c>
      <c r="AS55" s="10" t="e">
        <f t="shared" si="18"/>
        <v>#REF!</v>
      </c>
      <c r="AT55" s="10" t="e">
        <f t="shared" si="18"/>
        <v>#REF!</v>
      </c>
      <c r="AU55" s="10" t="e">
        <f t="shared" si="18"/>
        <v>#REF!</v>
      </c>
      <c r="AV55" s="10" t="e">
        <f t="shared" si="18"/>
        <v>#REF!</v>
      </c>
      <c r="AW55" s="10" t="e">
        <f t="shared" si="18"/>
        <v>#REF!</v>
      </c>
      <c r="AX55" s="10" t="e">
        <f t="shared" si="18"/>
        <v>#REF!</v>
      </c>
      <c r="AY55" s="10" t="e">
        <f t="shared" si="18"/>
        <v>#REF!</v>
      </c>
      <c r="AZ55" s="10" t="e">
        <f t="shared" si="18"/>
        <v>#REF!</v>
      </c>
      <c r="BA55" s="10" t="e">
        <f t="shared" si="18"/>
        <v>#REF!</v>
      </c>
      <c r="BB55" s="10" t="e">
        <f t="shared" si="18"/>
        <v>#REF!</v>
      </c>
      <c r="BC55" s="10" t="e">
        <f t="shared" si="18"/>
        <v>#REF!</v>
      </c>
      <c r="BD55" s="10" t="e">
        <f t="shared" si="18"/>
        <v>#REF!</v>
      </c>
      <c r="BE55" s="10" t="e">
        <f t="shared" si="18"/>
        <v>#REF!</v>
      </c>
      <c r="BF55" s="10" t="e">
        <f t="shared" si="18"/>
        <v>#REF!</v>
      </c>
      <c r="BG55" s="10" t="e">
        <f t="shared" si="18"/>
        <v>#REF!</v>
      </c>
      <c r="BH55" s="10" t="e">
        <f t="shared" si="18"/>
        <v>#REF!</v>
      </c>
      <c r="BI55" s="10" t="e">
        <f t="shared" si="18"/>
        <v>#REF!</v>
      </c>
      <c r="BJ55" s="10" t="e">
        <f t="shared" si="18"/>
        <v>#REF!</v>
      </c>
      <c r="BK55" s="10" t="e">
        <f t="shared" si="18"/>
        <v>#REF!</v>
      </c>
      <c r="BL55" s="10" t="e">
        <f t="shared" si="18"/>
        <v>#REF!</v>
      </c>
      <c r="BM55" s="10" t="e">
        <f t="shared" si="18"/>
        <v>#REF!</v>
      </c>
      <c r="BN55" s="10" t="e">
        <f t="shared" si="18"/>
        <v>#REF!</v>
      </c>
      <c r="BO55" s="10" t="e">
        <f t="shared" si="18"/>
        <v>#REF!</v>
      </c>
      <c r="BP55" s="10" t="e">
        <f t="shared" si="18"/>
        <v>#REF!</v>
      </c>
      <c r="BQ55" s="10" t="e">
        <f t="shared" si="18"/>
        <v>#REF!</v>
      </c>
      <c r="BR55" s="10" t="e">
        <f t="shared" si="18"/>
        <v>#REF!</v>
      </c>
      <c r="BS55" s="10" t="e">
        <f t="shared" si="18"/>
        <v>#REF!</v>
      </c>
      <c r="BT55" s="10" t="e">
        <f t="shared" si="18"/>
        <v>#REF!</v>
      </c>
      <c r="BU55" s="10" t="e">
        <f t="shared" si="18"/>
        <v>#REF!</v>
      </c>
      <c r="BV55" s="10" t="e">
        <f t="shared" si="18"/>
        <v>#REF!</v>
      </c>
      <c r="BW55" s="10" t="e">
        <f t="shared" si="18"/>
        <v>#REF!</v>
      </c>
      <c r="BX55" s="10" t="e">
        <f t="shared" si="18"/>
        <v>#REF!</v>
      </c>
      <c r="BY55" s="10" t="e">
        <f t="shared" si="18"/>
        <v>#REF!</v>
      </c>
      <c r="BZ55" s="10" t="e">
        <f t="shared" si="18"/>
        <v>#REF!</v>
      </c>
      <c r="CA55" s="10" t="e">
        <f t="shared" si="18"/>
        <v>#REF!</v>
      </c>
      <c r="CB55" s="10" t="e">
        <f t="shared" si="18"/>
        <v>#REF!</v>
      </c>
      <c r="CC55" s="10" t="e">
        <f t="shared" si="19"/>
        <v>#REF!</v>
      </c>
      <c r="CD55" s="10" t="e">
        <f t="shared" si="19"/>
        <v>#REF!</v>
      </c>
      <c r="CE55" s="10" t="e">
        <f t="shared" si="19"/>
        <v>#REF!</v>
      </c>
      <c r="CF55" s="10" t="e">
        <f t="shared" si="19"/>
        <v>#REF!</v>
      </c>
      <c r="CG55" s="10" t="e">
        <f t="shared" si="19"/>
        <v>#REF!</v>
      </c>
      <c r="CH55" s="10" t="e">
        <f t="shared" si="19"/>
        <v>#REF!</v>
      </c>
      <c r="CI55" s="10" t="e">
        <f t="shared" si="19"/>
        <v>#REF!</v>
      </c>
      <c r="CJ55" s="10" t="e">
        <f t="shared" si="19"/>
        <v>#REF!</v>
      </c>
      <c r="CK55" s="10" t="e">
        <f t="shared" si="19"/>
        <v>#REF!</v>
      </c>
      <c r="CL55" s="10" t="e">
        <f t="shared" si="19"/>
        <v>#REF!</v>
      </c>
      <c r="CM55" s="10" t="e">
        <f t="shared" si="19"/>
        <v>#REF!</v>
      </c>
      <c r="CN55" s="10" t="e">
        <f t="shared" si="19"/>
        <v>#REF!</v>
      </c>
      <c r="CO55" s="10" t="e">
        <f t="shared" si="19"/>
        <v>#REF!</v>
      </c>
      <c r="CP55" s="10" t="e">
        <f t="shared" si="19"/>
        <v>#REF!</v>
      </c>
      <c r="CQ55" s="10" t="e">
        <f t="shared" si="19"/>
        <v>#REF!</v>
      </c>
      <c r="CR55" s="10" t="e">
        <f t="shared" si="20"/>
        <v>#REF!</v>
      </c>
      <c r="CS55" s="10" t="e">
        <f t="shared" si="20"/>
        <v>#REF!</v>
      </c>
      <c r="CT55" s="10" t="e">
        <f t="shared" si="20"/>
        <v>#REF!</v>
      </c>
      <c r="CU55" s="10"/>
      <c r="CV55" s="10"/>
      <c r="CW55" s="10"/>
      <c r="CX55" s="10"/>
      <c r="CY55" s="10"/>
      <c r="CZ55" s="10"/>
      <c r="DA55" s="10"/>
      <c r="DB55" s="10"/>
      <c r="DC55" s="10"/>
      <c r="DD55" s="10"/>
    </row>
    <row r="56" spans="2:108" ht="12.75" customHeight="1" x14ac:dyDescent="0.25">
      <c r="C56" s="177" t="e">
        <f>InputC!#REF!</f>
        <v>#REF!</v>
      </c>
      <c r="H56" s="54" t="s">
        <v>176</v>
      </c>
      <c r="J56" s="85" t="e">
        <f>InputC!#REF!</f>
        <v>#REF!</v>
      </c>
      <c r="N56" s="25" t="e">
        <f t="shared" si="17"/>
        <v>#REF!</v>
      </c>
      <c r="O56" s="10"/>
      <c r="P56" s="10" t="e">
        <f t="shared" si="21"/>
        <v>#REF!</v>
      </c>
      <c r="Q56" s="10" t="e">
        <f t="shared" si="21"/>
        <v>#REF!</v>
      </c>
      <c r="R56" s="10" t="e">
        <f t="shared" si="21"/>
        <v>#REF!</v>
      </c>
      <c r="S56" s="10" t="e">
        <f t="shared" si="21"/>
        <v>#REF!</v>
      </c>
      <c r="T56" s="10" t="e">
        <f t="shared" si="21"/>
        <v>#REF!</v>
      </c>
      <c r="U56" s="10" t="e">
        <f t="shared" si="21"/>
        <v>#REF!</v>
      </c>
      <c r="V56" s="10" t="e">
        <f t="shared" si="21"/>
        <v>#REF!</v>
      </c>
      <c r="W56" s="10" t="e">
        <f t="shared" si="21"/>
        <v>#REF!</v>
      </c>
      <c r="X56" s="10" t="e">
        <f t="shared" si="21"/>
        <v>#REF!</v>
      </c>
      <c r="Y56" s="10" t="e">
        <f t="shared" si="21"/>
        <v>#REF!</v>
      </c>
      <c r="Z56" s="10" t="e">
        <f t="shared" si="21"/>
        <v>#REF!</v>
      </c>
      <c r="AA56" s="10" t="e">
        <f t="shared" si="21"/>
        <v>#REF!</v>
      </c>
      <c r="AB56" s="10" t="e">
        <f t="shared" si="21"/>
        <v>#REF!</v>
      </c>
      <c r="AC56" s="10" t="e">
        <f t="shared" si="21"/>
        <v>#REF!</v>
      </c>
      <c r="AD56" s="10" t="e">
        <f t="shared" si="21"/>
        <v>#REF!</v>
      </c>
      <c r="AE56" s="10" t="e">
        <f t="shared" si="21"/>
        <v>#REF!</v>
      </c>
      <c r="AF56" s="10" t="e">
        <f t="shared" si="18"/>
        <v>#REF!</v>
      </c>
      <c r="AG56" s="10" t="e">
        <f t="shared" si="18"/>
        <v>#REF!</v>
      </c>
      <c r="AH56" s="10" t="e">
        <f t="shared" si="18"/>
        <v>#REF!</v>
      </c>
      <c r="AI56" s="10" t="e">
        <f t="shared" si="18"/>
        <v>#REF!</v>
      </c>
      <c r="AJ56" s="10" t="e">
        <f t="shared" si="18"/>
        <v>#REF!</v>
      </c>
      <c r="AK56" s="10" t="e">
        <f t="shared" si="18"/>
        <v>#REF!</v>
      </c>
      <c r="AL56" s="10" t="e">
        <f t="shared" si="18"/>
        <v>#REF!</v>
      </c>
      <c r="AM56" s="10" t="e">
        <f t="shared" si="18"/>
        <v>#REF!</v>
      </c>
      <c r="AN56" s="10" t="e">
        <f t="shared" si="18"/>
        <v>#REF!</v>
      </c>
      <c r="AO56" s="10" t="e">
        <f t="shared" si="18"/>
        <v>#REF!</v>
      </c>
      <c r="AP56" s="10" t="e">
        <f t="shared" si="18"/>
        <v>#REF!</v>
      </c>
      <c r="AQ56" s="10" t="e">
        <f t="shared" si="18"/>
        <v>#REF!</v>
      </c>
      <c r="AR56" s="10" t="e">
        <f t="shared" si="18"/>
        <v>#REF!</v>
      </c>
      <c r="AS56" s="10" t="e">
        <f t="shared" si="18"/>
        <v>#REF!</v>
      </c>
      <c r="AT56" s="10" t="e">
        <f t="shared" si="18"/>
        <v>#REF!</v>
      </c>
      <c r="AU56" s="10" t="e">
        <f t="shared" si="18"/>
        <v>#REF!</v>
      </c>
      <c r="AV56" s="10" t="e">
        <f t="shared" si="18"/>
        <v>#REF!</v>
      </c>
      <c r="AW56" s="10" t="e">
        <f t="shared" si="18"/>
        <v>#REF!</v>
      </c>
      <c r="AX56" s="10" t="e">
        <f t="shared" si="18"/>
        <v>#REF!</v>
      </c>
      <c r="AY56" s="10" t="e">
        <f t="shared" si="18"/>
        <v>#REF!</v>
      </c>
      <c r="AZ56" s="10" t="e">
        <f t="shared" si="18"/>
        <v>#REF!</v>
      </c>
      <c r="BA56" s="10" t="e">
        <f t="shared" si="18"/>
        <v>#REF!</v>
      </c>
      <c r="BB56" s="10" t="e">
        <f t="shared" si="18"/>
        <v>#REF!</v>
      </c>
      <c r="BC56" s="10" t="e">
        <f t="shared" si="18"/>
        <v>#REF!</v>
      </c>
      <c r="BD56" s="10" t="e">
        <f t="shared" si="18"/>
        <v>#REF!</v>
      </c>
      <c r="BE56" s="10" t="e">
        <f t="shared" si="18"/>
        <v>#REF!</v>
      </c>
      <c r="BF56" s="10" t="e">
        <f t="shared" si="18"/>
        <v>#REF!</v>
      </c>
      <c r="BG56" s="10" t="e">
        <f t="shared" si="18"/>
        <v>#REF!</v>
      </c>
      <c r="BH56" s="10" t="e">
        <f t="shared" si="18"/>
        <v>#REF!</v>
      </c>
      <c r="BI56" s="10" t="e">
        <f t="shared" si="18"/>
        <v>#REF!</v>
      </c>
      <c r="BJ56" s="10" t="e">
        <f t="shared" si="18"/>
        <v>#REF!</v>
      </c>
      <c r="BK56" s="10" t="e">
        <f t="shared" si="18"/>
        <v>#REF!</v>
      </c>
      <c r="BL56" s="10" t="e">
        <f t="shared" si="18"/>
        <v>#REF!</v>
      </c>
      <c r="BM56" s="10" t="e">
        <f t="shared" si="18"/>
        <v>#REF!</v>
      </c>
      <c r="BN56" s="10" t="e">
        <f t="shared" si="18"/>
        <v>#REF!</v>
      </c>
      <c r="BO56" s="10" t="e">
        <f t="shared" si="18"/>
        <v>#REF!</v>
      </c>
      <c r="BP56" s="10" t="e">
        <f t="shared" si="18"/>
        <v>#REF!</v>
      </c>
      <c r="BQ56" s="10" t="e">
        <f t="shared" si="18"/>
        <v>#REF!</v>
      </c>
      <c r="BR56" s="10" t="e">
        <f t="shared" si="18"/>
        <v>#REF!</v>
      </c>
      <c r="BS56" s="10" t="e">
        <f t="shared" si="18"/>
        <v>#REF!</v>
      </c>
      <c r="BT56" s="10" t="e">
        <f t="shared" si="18"/>
        <v>#REF!</v>
      </c>
      <c r="BU56" s="10" t="e">
        <f t="shared" si="18"/>
        <v>#REF!</v>
      </c>
      <c r="BV56" s="10" t="e">
        <f t="shared" si="18"/>
        <v>#REF!</v>
      </c>
      <c r="BW56" s="10" t="e">
        <f t="shared" si="18"/>
        <v>#REF!</v>
      </c>
      <c r="BX56" s="10" t="e">
        <f t="shared" si="18"/>
        <v>#REF!</v>
      </c>
      <c r="BY56" s="10" t="e">
        <f t="shared" si="18"/>
        <v>#REF!</v>
      </c>
      <c r="BZ56" s="10" t="e">
        <f t="shared" si="18"/>
        <v>#REF!</v>
      </c>
      <c r="CA56" s="10" t="e">
        <f t="shared" si="18"/>
        <v>#REF!</v>
      </c>
      <c r="CB56" s="10" t="e">
        <f t="shared" si="18"/>
        <v>#REF!</v>
      </c>
      <c r="CC56" s="10" t="e">
        <f t="shared" si="19"/>
        <v>#REF!</v>
      </c>
      <c r="CD56" s="10" t="e">
        <f t="shared" si="19"/>
        <v>#REF!</v>
      </c>
      <c r="CE56" s="10" t="e">
        <f t="shared" si="19"/>
        <v>#REF!</v>
      </c>
      <c r="CF56" s="10" t="e">
        <f t="shared" si="19"/>
        <v>#REF!</v>
      </c>
      <c r="CG56" s="10" t="e">
        <f t="shared" si="19"/>
        <v>#REF!</v>
      </c>
      <c r="CH56" s="10" t="e">
        <f t="shared" si="19"/>
        <v>#REF!</v>
      </c>
      <c r="CI56" s="10" t="e">
        <f t="shared" si="19"/>
        <v>#REF!</v>
      </c>
      <c r="CJ56" s="10" t="e">
        <f t="shared" si="19"/>
        <v>#REF!</v>
      </c>
      <c r="CK56" s="10" t="e">
        <f t="shared" si="19"/>
        <v>#REF!</v>
      </c>
      <c r="CL56" s="10" t="e">
        <f t="shared" si="19"/>
        <v>#REF!</v>
      </c>
      <c r="CM56" s="10" t="e">
        <f t="shared" si="19"/>
        <v>#REF!</v>
      </c>
      <c r="CN56" s="10" t="e">
        <f t="shared" si="19"/>
        <v>#REF!</v>
      </c>
      <c r="CO56" s="10" t="e">
        <f t="shared" si="19"/>
        <v>#REF!</v>
      </c>
      <c r="CP56" s="10" t="e">
        <f t="shared" si="19"/>
        <v>#REF!</v>
      </c>
      <c r="CQ56" s="10" t="e">
        <f t="shared" si="19"/>
        <v>#REF!</v>
      </c>
      <c r="CR56" s="10" t="e">
        <f t="shared" si="20"/>
        <v>#REF!</v>
      </c>
      <c r="CS56" s="10" t="e">
        <f t="shared" si="20"/>
        <v>#REF!</v>
      </c>
      <c r="CT56" s="10" t="e">
        <f t="shared" si="20"/>
        <v>#REF!</v>
      </c>
      <c r="CU56" s="10"/>
      <c r="CV56" s="10"/>
      <c r="CW56" s="10"/>
      <c r="CX56" s="10"/>
      <c r="CY56" s="10"/>
      <c r="CZ56" s="10"/>
      <c r="DA56" s="10"/>
      <c r="DB56" s="10"/>
      <c r="DC56" s="10"/>
      <c r="DD56" s="10"/>
    </row>
    <row r="57" spans="2:108" ht="12.75" customHeight="1" x14ac:dyDescent="0.25">
      <c r="C57" s="177" t="e">
        <f>InputC!#REF!</f>
        <v>#REF!</v>
      </c>
      <c r="H57" s="54" t="s">
        <v>176</v>
      </c>
      <c r="J57" s="85" t="e">
        <f>InputC!#REF!</f>
        <v>#REF!</v>
      </c>
      <c r="N57" s="25" t="e">
        <f t="shared" si="17"/>
        <v>#REF!</v>
      </c>
      <c r="O57" s="10"/>
      <c r="P57" s="10" t="e">
        <f t="shared" si="21"/>
        <v>#REF!</v>
      </c>
      <c r="Q57" s="10" t="e">
        <f t="shared" si="18"/>
        <v>#REF!</v>
      </c>
      <c r="R57" s="10" t="e">
        <f t="shared" si="18"/>
        <v>#REF!</v>
      </c>
      <c r="S57" s="10" t="e">
        <f t="shared" si="18"/>
        <v>#REF!</v>
      </c>
      <c r="T57" s="10" t="e">
        <f t="shared" si="18"/>
        <v>#REF!</v>
      </c>
      <c r="U57" s="10" t="e">
        <f t="shared" si="18"/>
        <v>#REF!</v>
      </c>
      <c r="V57" s="10" t="e">
        <f t="shared" si="18"/>
        <v>#REF!</v>
      </c>
      <c r="W57" s="10" t="e">
        <f t="shared" si="18"/>
        <v>#REF!</v>
      </c>
      <c r="X57" s="10" t="e">
        <f t="shared" si="18"/>
        <v>#REF!</v>
      </c>
      <c r="Y57" s="10" t="e">
        <f t="shared" si="18"/>
        <v>#REF!</v>
      </c>
      <c r="Z57" s="10" t="e">
        <f t="shared" si="18"/>
        <v>#REF!</v>
      </c>
      <c r="AA57" s="10" t="e">
        <f t="shared" si="18"/>
        <v>#REF!</v>
      </c>
      <c r="AB57" s="10" t="e">
        <f t="shared" si="18"/>
        <v>#REF!</v>
      </c>
      <c r="AC57" s="10" t="e">
        <f t="shared" si="18"/>
        <v>#REF!</v>
      </c>
      <c r="AD57" s="10" t="e">
        <f t="shared" si="18"/>
        <v>#REF!</v>
      </c>
      <c r="AE57" s="10" t="e">
        <f t="shared" si="18"/>
        <v>#REF!</v>
      </c>
      <c r="AF57" s="10" t="e">
        <f t="shared" si="18"/>
        <v>#REF!</v>
      </c>
      <c r="AG57" s="10" t="e">
        <f t="shared" si="18"/>
        <v>#REF!</v>
      </c>
      <c r="AH57" s="10" t="e">
        <f t="shared" si="18"/>
        <v>#REF!</v>
      </c>
      <c r="AI57" s="10" t="e">
        <f t="shared" si="18"/>
        <v>#REF!</v>
      </c>
      <c r="AJ57" s="10" t="e">
        <f t="shared" si="18"/>
        <v>#REF!</v>
      </c>
      <c r="AK57" s="10" t="e">
        <f t="shared" si="18"/>
        <v>#REF!</v>
      </c>
      <c r="AL57" s="10" t="e">
        <f t="shared" si="18"/>
        <v>#REF!</v>
      </c>
      <c r="AM57" s="10" t="e">
        <f t="shared" si="18"/>
        <v>#REF!</v>
      </c>
      <c r="AN57" s="10" t="e">
        <f t="shared" si="18"/>
        <v>#REF!</v>
      </c>
      <c r="AO57" s="10" t="e">
        <f t="shared" si="18"/>
        <v>#REF!</v>
      </c>
      <c r="AP57" s="10" t="e">
        <f t="shared" si="18"/>
        <v>#REF!</v>
      </c>
      <c r="AQ57" s="10" t="e">
        <f t="shared" si="18"/>
        <v>#REF!</v>
      </c>
      <c r="AR57" s="10" t="e">
        <f t="shared" si="18"/>
        <v>#REF!</v>
      </c>
      <c r="AS57" s="10" t="e">
        <f t="shared" si="18"/>
        <v>#REF!</v>
      </c>
      <c r="AT57" s="10" t="e">
        <f t="shared" si="18"/>
        <v>#REF!</v>
      </c>
      <c r="AU57" s="10" t="e">
        <f t="shared" si="18"/>
        <v>#REF!</v>
      </c>
      <c r="AV57" s="10" t="e">
        <f t="shared" si="18"/>
        <v>#REF!</v>
      </c>
      <c r="AW57" s="10" t="e">
        <f t="shared" si="18"/>
        <v>#REF!</v>
      </c>
      <c r="AX57" s="10" t="e">
        <f t="shared" si="18"/>
        <v>#REF!</v>
      </c>
      <c r="AY57" s="10" t="e">
        <f t="shared" si="18"/>
        <v>#REF!</v>
      </c>
      <c r="AZ57" s="10" t="e">
        <f t="shared" si="18"/>
        <v>#REF!</v>
      </c>
      <c r="BA57" s="10" t="e">
        <f t="shared" si="18"/>
        <v>#REF!</v>
      </c>
      <c r="BB57" s="10" t="e">
        <f t="shared" si="18"/>
        <v>#REF!</v>
      </c>
      <c r="BC57" s="10" t="e">
        <f t="shared" si="18"/>
        <v>#REF!</v>
      </c>
      <c r="BD57" s="10" t="e">
        <f t="shared" si="18"/>
        <v>#REF!</v>
      </c>
      <c r="BE57" s="10" t="e">
        <f t="shared" si="18"/>
        <v>#REF!</v>
      </c>
      <c r="BF57" s="10" t="e">
        <f t="shared" si="18"/>
        <v>#REF!</v>
      </c>
      <c r="BG57" s="10" t="e">
        <f t="shared" si="18"/>
        <v>#REF!</v>
      </c>
      <c r="BH57" s="10" t="e">
        <f t="shared" si="18"/>
        <v>#REF!</v>
      </c>
      <c r="BI57" s="10" t="e">
        <f t="shared" si="18"/>
        <v>#REF!</v>
      </c>
      <c r="BJ57" s="10" t="e">
        <f t="shared" si="18"/>
        <v>#REF!</v>
      </c>
      <c r="BK57" s="10" t="e">
        <f t="shared" si="18"/>
        <v>#REF!</v>
      </c>
      <c r="BL57" s="10" t="e">
        <f t="shared" si="18"/>
        <v>#REF!</v>
      </c>
      <c r="BM57" s="10" t="e">
        <f t="shared" si="18"/>
        <v>#REF!</v>
      </c>
      <c r="BN57" s="10" t="e">
        <f t="shared" si="18"/>
        <v>#REF!</v>
      </c>
      <c r="BO57" s="10" t="e">
        <f t="shared" si="18"/>
        <v>#REF!</v>
      </c>
      <c r="BP57" s="10" t="e">
        <f t="shared" si="18"/>
        <v>#REF!</v>
      </c>
      <c r="BQ57" s="10" t="e">
        <f t="shared" si="18"/>
        <v>#REF!</v>
      </c>
      <c r="BR57" s="10" t="e">
        <f t="shared" si="18"/>
        <v>#REF!</v>
      </c>
      <c r="BS57" s="10" t="e">
        <f t="shared" si="18"/>
        <v>#REF!</v>
      </c>
      <c r="BT57" s="10" t="e">
        <f t="shared" si="18"/>
        <v>#REF!</v>
      </c>
      <c r="BU57" s="10" t="e">
        <f t="shared" si="18"/>
        <v>#REF!</v>
      </c>
      <c r="BV57" s="10" t="e">
        <f t="shared" si="18"/>
        <v>#REF!</v>
      </c>
      <c r="BW57" s="10" t="e">
        <f t="shared" si="18"/>
        <v>#REF!</v>
      </c>
      <c r="BX57" s="10" t="e">
        <f t="shared" si="18"/>
        <v>#REF!</v>
      </c>
      <c r="BY57" s="10" t="e">
        <f t="shared" si="18"/>
        <v>#REF!</v>
      </c>
      <c r="BZ57" s="10" t="e">
        <f t="shared" si="18"/>
        <v>#REF!</v>
      </c>
      <c r="CA57" s="10" t="e">
        <f t="shared" si="18"/>
        <v>#REF!</v>
      </c>
      <c r="CB57" s="10" t="e">
        <f t="shared" si="18"/>
        <v>#REF!</v>
      </c>
      <c r="CC57" s="10" t="e">
        <f t="shared" si="19"/>
        <v>#REF!</v>
      </c>
      <c r="CD57" s="10" t="e">
        <f t="shared" si="19"/>
        <v>#REF!</v>
      </c>
      <c r="CE57" s="10" t="e">
        <f t="shared" si="19"/>
        <v>#REF!</v>
      </c>
      <c r="CF57" s="10" t="e">
        <f t="shared" si="19"/>
        <v>#REF!</v>
      </c>
      <c r="CG57" s="10" t="e">
        <f t="shared" si="19"/>
        <v>#REF!</v>
      </c>
      <c r="CH57" s="10" t="e">
        <f t="shared" si="19"/>
        <v>#REF!</v>
      </c>
      <c r="CI57" s="10" t="e">
        <f t="shared" si="19"/>
        <v>#REF!</v>
      </c>
      <c r="CJ57" s="10" t="e">
        <f t="shared" si="19"/>
        <v>#REF!</v>
      </c>
      <c r="CK57" s="10" t="e">
        <f t="shared" si="19"/>
        <v>#REF!</v>
      </c>
      <c r="CL57" s="10" t="e">
        <f t="shared" si="19"/>
        <v>#REF!</v>
      </c>
      <c r="CM57" s="10" t="e">
        <f t="shared" si="19"/>
        <v>#REF!</v>
      </c>
      <c r="CN57" s="10" t="e">
        <f t="shared" si="19"/>
        <v>#REF!</v>
      </c>
      <c r="CO57" s="10" t="e">
        <f t="shared" si="19"/>
        <v>#REF!</v>
      </c>
      <c r="CP57" s="10" t="e">
        <f t="shared" si="19"/>
        <v>#REF!</v>
      </c>
      <c r="CQ57" s="10" t="e">
        <f t="shared" si="19"/>
        <v>#REF!</v>
      </c>
      <c r="CR57" s="10" t="e">
        <f t="shared" si="20"/>
        <v>#REF!</v>
      </c>
      <c r="CS57" s="10" t="e">
        <f t="shared" si="20"/>
        <v>#REF!</v>
      </c>
      <c r="CT57" s="10" t="e">
        <f t="shared" si="20"/>
        <v>#REF!</v>
      </c>
      <c r="CU57" s="10"/>
      <c r="CV57" s="10"/>
      <c r="CW57" s="10"/>
      <c r="CX57" s="10"/>
      <c r="CY57" s="10"/>
      <c r="CZ57" s="10"/>
      <c r="DA57" s="10"/>
      <c r="DB57" s="10"/>
      <c r="DC57" s="10"/>
      <c r="DD57" s="10"/>
    </row>
    <row r="58" spans="2:108" ht="12.75" customHeight="1" x14ac:dyDescent="0.25">
      <c r="C58" s="178" t="e">
        <f>InputC!#REF!</f>
        <v>#REF!</v>
      </c>
      <c r="D58" s="27"/>
      <c r="E58" s="27"/>
      <c r="F58" s="27"/>
      <c r="G58" s="27"/>
      <c r="H58" s="160" t="s">
        <v>176</v>
      </c>
      <c r="I58" s="27"/>
      <c r="J58" s="39" t="e">
        <f>InputC!#REF!</f>
        <v>#REF!</v>
      </c>
      <c r="K58" s="27"/>
      <c r="L58" s="27"/>
      <c r="M58" s="27"/>
      <c r="N58" s="32" t="e">
        <f t="shared" si="17"/>
        <v>#REF!</v>
      </c>
      <c r="O58" s="161"/>
      <c r="P58" s="161" t="e">
        <f t="shared" si="21"/>
        <v>#REF!</v>
      </c>
      <c r="Q58" s="161" t="e">
        <f t="shared" si="18"/>
        <v>#REF!</v>
      </c>
      <c r="R58" s="161" t="e">
        <f t="shared" si="18"/>
        <v>#REF!</v>
      </c>
      <c r="S58" s="161" t="e">
        <f t="shared" si="18"/>
        <v>#REF!</v>
      </c>
      <c r="T58" s="161" t="e">
        <f t="shared" si="18"/>
        <v>#REF!</v>
      </c>
      <c r="U58" s="161" t="e">
        <f t="shared" si="18"/>
        <v>#REF!</v>
      </c>
      <c r="V58" s="161" t="e">
        <f t="shared" si="18"/>
        <v>#REF!</v>
      </c>
      <c r="W58" s="161" t="e">
        <f t="shared" si="18"/>
        <v>#REF!</v>
      </c>
      <c r="X58" s="161" t="e">
        <f t="shared" si="18"/>
        <v>#REF!</v>
      </c>
      <c r="Y58" s="161" t="e">
        <f t="shared" si="18"/>
        <v>#REF!</v>
      </c>
      <c r="Z58" s="161" t="e">
        <f t="shared" si="18"/>
        <v>#REF!</v>
      </c>
      <c r="AA58" s="161" t="e">
        <f t="shared" si="18"/>
        <v>#REF!</v>
      </c>
      <c r="AB58" s="161" t="e">
        <f t="shared" si="18"/>
        <v>#REF!</v>
      </c>
      <c r="AC58" s="161" t="e">
        <f t="shared" si="18"/>
        <v>#REF!</v>
      </c>
      <c r="AD58" s="161" t="e">
        <f t="shared" si="18"/>
        <v>#REF!</v>
      </c>
      <c r="AE58" s="161" t="e">
        <f t="shared" si="18"/>
        <v>#REF!</v>
      </c>
      <c r="AF58" s="161" t="e">
        <f t="shared" si="18"/>
        <v>#REF!</v>
      </c>
      <c r="AG58" s="161" t="e">
        <f t="shared" si="18"/>
        <v>#REF!</v>
      </c>
      <c r="AH58" s="161" t="e">
        <f t="shared" si="18"/>
        <v>#REF!</v>
      </c>
      <c r="AI58" s="161" t="e">
        <f t="shared" si="18"/>
        <v>#REF!</v>
      </c>
      <c r="AJ58" s="161" t="e">
        <f t="shared" si="18"/>
        <v>#REF!</v>
      </c>
      <c r="AK58" s="161" t="e">
        <f t="shared" si="18"/>
        <v>#REF!</v>
      </c>
      <c r="AL58" s="161" t="e">
        <f t="shared" si="18"/>
        <v>#REF!</v>
      </c>
      <c r="AM58" s="161" t="e">
        <f t="shared" si="18"/>
        <v>#REF!</v>
      </c>
      <c r="AN58" s="161" t="e">
        <f t="shared" si="18"/>
        <v>#REF!</v>
      </c>
      <c r="AO58" s="161" t="e">
        <f t="shared" si="18"/>
        <v>#REF!</v>
      </c>
      <c r="AP58" s="161" t="e">
        <f t="shared" si="18"/>
        <v>#REF!</v>
      </c>
      <c r="AQ58" s="161" t="e">
        <f t="shared" si="18"/>
        <v>#REF!</v>
      </c>
      <c r="AR58" s="161" t="e">
        <f t="shared" si="18"/>
        <v>#REF!</v>
      </c>
      <c r="AS58" s="161" t="e">
        <f t="shared" si="18"/>
        <v>#REF!</v>
      </c>
      <c r="AT58" s="161" t="e">
        <f t="shared" ref="AT58:CB58" si="22">$J58*AT$30*1000000000/1000000*AT$17</f>
        <v>#REF!</v>
      </c>
      <c r="AU58" s="161" t="e">
        <f t="shared" si="22"/>
        <v>#REF!</v>
      </c>
      <c r="AV58" s="161" t="e">
        <f t="shared" si="22"/>
        <v>#REF!</v>
      </c>
      <c r="AW58" s="161" t="e">
        <f t="shared" si="22"/>
        <v>#REF!</v>
      </c>
      <c r="AX58" s="161" t="e">
        <f t="shared" si="22"/>
        <v>#REF!</v>
      </c>
      <c r="AY58" s="161" t="e">
        <f t="shared" si="22"/>
        <v>#REF!</v>
      </c>
      <c r="AZ58" s="161" t="e">
        <f t="shared" si="22"/>
        <v>#REF!</v>
      </c>
      <c r="BA58" s="161" t="e">
        <f t="shared" si="22"/>
        <v>#REF!</v>
      </c>
      <c r="BB58" s="161" t="e">
        <f t="shared" si="22"/>
        <v>#REF!</v>
      </c>
      <c r="BC58" s="161" t="e">
        <f t="shared" si="22"/>
        <v>#REF!</v>
      </c>
      <c r="BD58" s="161" t="e">
        <f t="shared" si="22"/>
        <v>#REF!</v>
      </c>
      <c r="BE58" s="161" t="e">
        <f t="shared" si="22"/>
        <v>#REF!</v>
      </c>
      <c r="BF58" s="161" t="e">
        <f t="shared" si="22"/>
        <v>#REF!</v>
      </c>
      <c r="BG58" s="161" t="e">
        <f t="shared" si="22"/>
        <v>#REF!</v>
      </c>
      <c r="BH58" s="161" t="e">
        <f t="shared" si="22"/>
        <v>#REF!</v>
      </c>
      <c r="BI58" s="161" t="e">
        <f t="shared" si="22"/>
        <v>#REF!</v>
      </c>
      <c r="BJ58" s="161" t="e">
        <f t="shared" si="22"/>
        <v>#REF!</v>
      </c>
      <c r="BK58" s="161" t="e">
        <f t="shared" si="22"/>
        <v>#REF!</v>
      </c>
      <c r="BL58" s="161" t="e">
        <f t="shared" si="22"/>
        <v>#REF!</v>
      </c>
      <c r="BM58" s="161" t="e">
        <f t="shared" si="22"/>
        <v>#REF!</v>
      </c>
      <c r="BN58" s="161" t="e">
        <f t="shared" si="22"/>
        <v>#REF!</v>
      </c>
      <c r="BO58" s="161" t="e">
        <f t="shared" si="22"/>
        <v>#REF!</v>
      </c>
      <c r="BP58" s="161" t="e">
        <f t="shared" si="22"/>
        <v>#REF!</v>
      </c>
      <c r="BQ58" s="161" t="e">
        <f t="shared" si="22"/>
        <v>#REF!</v>
      </c>
      <c r="BR58" s="161" t="e">
        <f t="shared" si="22"/>
        <v>#REF!</v>
      </c>
      <c r="BS58" s="161" t="e">
        <f t="shared" si="22"/>
        <v>#REF!</v>
      </c>
      <c r="BT58" s="161" t="e">
        <f t="shared" si="22"/>
        <v>#REF!</v>
      </c>
      <c r="BU58" s="161" t="e">
        <f t="shared" si="22"/>
        <v>#REF!</v>
      </c>
      <c r="BV58" s="161" t="e">
        <f t="shared" si="22"/>
        <v>#REF!</v>
      </c>
      <c r="BW58" s="161" t="e">
        <f t="shared" si="22"/>
        <v>#REF!</v>
      </c>
      <c r="BX58" s="161" t="e">
        <f t="shared" si="22"/>
        <v>#REF!</v>
      </c>
      <c r="BY58" s="161" t="e">
        <f t="shared" si="22"/>
        <v>#REF!</v>
      </c>
      <c r="BZ58" s="161" t="e">
        <f t="shared" si="22"/>
        <v>#REF!</v>
      </c>
      <c r="CA58" s="161" t="e">
        <f t="shared" si="22"/>
        <v>#REF!</v>
      </c>
      <c r="CB58" s="161" t="e">
        <f t="shared" si="22"/>
        <v>#REF!</v>
      </c>
      <c r="CC58" s="161" t="e">
        <f t="shared" si="19"/>
        <v>#REF!</v>
      </c>
      <c r="CD58" s="161" t="e">
        <f t="shared" si="19"/>
        <v>#REF!</v>
      </c>
      <c r="CE58" s="161" t="e">
        <f t="shared" si="19"/>
        <v>#REF!</v>
      </c>
      <c r="CF58" s="161" t="e">
        <f t="shared" si="19"/>
        <v>#REF!</v>
      </c>
      <c r="CG58" s="161" t="e">
        <f t="shared" si="19"/>
        <v>#REF!</v>
      </c>
      <c r="CH58" s="161" t="e">
        <f t="shared" si="19"/>
        <v>#REF!</v>
      </c>
      <c r="CI58" s="161" t="e">
        <f t="shared" si="19"/>
        <v>#REF!</v>
      </c>
      <c r="CJ58" s="161" t="e">
        <f t="shared" si="19"/>
        <v>#REF!</v>
      </c>
      <c r="CK58" s="161" t="e">
        <f t="shared" si="19"/>
        <v>#REF!</v>
      </c>
      <c r="CL58" s="161" t="e">
        <f t="shared" si="19"/>
        <v>#REF!</v>
      </c>
      <c r="CM58" s="161" t="e">
        <f t="shared" si="19"/>
        <v>#REF!</v>
      </c>
      <c r="CN58" s="161" t="e">
        <f t="shared" si="19"/>
        <v>#REF!</v>
      </c>
      <c r="CO58" s="161" t="e">
        <f t="shared" si="19"/>
        <v>#REF!</v>
      </c>
      <c r="CP58" s="161" t="e">
        <f t="shared" si="19"/>
        <v>#REF!</v>
      </c>
      <c r="CQ58" s="161" t="e">
        <f t="shared" si="19"/>
        <v>#REF!</v>
      </c>
      <c r="CR58" s="161" t="e">
        <f t="shared" si="20"/>
        <v>#REF!</v>
      </c>
      <c r="CS58" s="161" t="e">
        <f t="shared" si="20"/>
        <v>#REF!</v>
      </c>
      <c r="CT58" s="161" t="e">
        <f t="shared" si="20"/>
        <v>#REF!</v>
      </c>
      <c r="CU58" s="161"/>
      <c r="CV58" s="161"/>
      <c r="CW58" s="161"/>
      <c r="CX58" s="161"/>
      <c r="CY58" s="161"/>
      <c r="CZ58" s="161"/>
      <c r="DA58" s="161"/>
      <c r="DB58" s="161"/>
      <c r="DC58" s="161"/>
      <c r="DD58" s="161"/>
    </row>
    <row r="59" spans="2:108" ht="12.75" customHeight="1" x14ac:dyDescent="0.25">
      <c r="B59" s="177"/>
      <c r="H59" s="54" t="s">
        <v>176</v>
      </c>
      <c r="J59" s="183" t="e">
        <f>SUM(J54:J58)</f>
        <v>#REF!</v>
      </c>
      <c r="N59" s="176" t="e">
        <f t="shared" si="17"/>
        <v>#REF!</v>
      </c>
      <c r="O59" s="51"/>
      <c r="P59" s="51" t="e">
        <f t="shared" ref="P59:CA59" si="23">SUM(P54:P58)</f>
        <v>#REF!</v>
      </c>
      <c r="Q59" s="51" t="e">
        <f t="shared" si="23"/>
        <v>#REF!</v>
      </c>
      <c r="R59" s="51" t="e">
        <f t="shared" si="23"/>
        <v>#REF!</v>
      </c>
      <c r="S59" s="51" t="e">
        <f t="shared" si="23"/>
        <v>#REF!</v>
      </c>
      <c r="T59" s="51" t="e">
        <f t="shared" si="23"/>
        <v>#REF!</v>
      </c>
      <c r="U59" s="51" t="e">
        <f t="shared" si="23"/>
        <v>#REF!</v>
      </c>
      <c r="V59" s="51" t="e">
        <f t="shared" si="23"/>
        <v>#REF!</v>
      </c>
      <c r="W59" s="51" t="e">
        <f t="shared" si="23"/>
        <v>#REF!</v>
      </c>
      <c r="X59" s="51" t="e">
        <f t="shared" si="23"/>
        <v>#REF!</v>
      </c>
      <c r="Y59" s="51" t="e">
        <f t="shared" si="23"/>
        <v>#REF!</v>
      </c>
      <c r="Z59" s="51" t="e">
        <f t="shared" si="23"/>
        <v>#REF!</v>
      </c>
      <c r="AA59" s="51" t="e">
        <f t="shared" si="23"/>
        <v>#REF!</v>
      </c>
      <c r="AB59" s="51" t="e">
        <f t="shared" si="23"/>
        <v>#REF!</v>
      </c>
      <c r="AC59" s="51" t="e">
        <f t="shared" si="23"/>
        <v>#REF!</v>
      </c>
      <c r="AD59" s="51" t="e">
        <f t="shared" si="23"/>
        <v>#REF!</v>
      </c>
      <c r="AE59" s="51" t="e">
        <f t="shared" si="23"/>
        <v>#REF!</v>
      </c>
      <c r="AF59" s="51" t="e">
        <f t="shared" si="23"/>
        <v>#REF!</v>
      </c>
      <c r="AG59" s="51" t="e">
        <f t="shared" si="23"/>
        <v>#REF!</v>
      </c>
      <c r="AH59" s="51" t="e">
        <f t="shared" si="23"/>
        <v>#REF!</v>
      </c>
      <c r="AI59" s="51" t="e">
        <f t="shared" si="23"/>
        <v>#REF!</v>
      </c>
      <c r="AJ59" s="51" t="e">
        <f t="shared" si="23"/>
        <v>#REF!</v>
      </c>
      <c r="AK59" s="51" t="e">
        <f t="shared" si="23"/>
        <v>#REF!</v>
      </c>
      <c r="AL59" s="51" t="e">
        <f t="shared" si="23"/>
        <v>#REF!</v>
      </c>
      <c r="AM59" s="51" t="e">
        <f t="shared" si="23"/>
        <v>#REF!</v>
      </c>
      <c r="AN59" s="51" t="e">
        <f t="shared" si="23"/>
        <v>#REF!</v>
      </c>
      <c r="AO59" s="51" t="e">
        <f t="shared" si="23"/>
        <v>#REF!</v>
      </c>
      <c r="AP59" s="51" t="e">
        <f t="shared" si="23"/>
        <v>#REF!</v>
      </c>
      <c r="AQ59" s="51" t="e">
        <f t="shared" si="23"/>
        <v>#REF!</v>
      </c>
      <c r="AR59" s="51" t="e">
        <f t="shared" si="23"/>
        <v>#REF!</v>
      </c>
      <c r="AS59" s="51" t="e">
        <f t="shared" si="23"/>
        <v>#REF!</v>
      </c>
      <c r="AT59" s="51" t="e">
        <f t="shared" si="23"/>
        <v>#REF!</v>
      </c>
      <c r="AU59" s="51" t="e">
        <f t="shared" si="23"/>
        <v>#REF!</v>
      </c>
      <c r="AV59" s="51" t="e">
        <f t="shared" si="23"/>
        <v>#REF!</v>
      </c>
      <c r="AW59" s="51" t="e">
        <f t="shared" si="23"/>
        <v>#REF!</v>
      </c>
      <c r="AX59" s="51" t="e">
        <f t="shared" si="23"/>
        <v>#REF!</v>
      </c>
      <c r="AY59" s="51" t="e">
        <f t="shared" si="23"/>
        <v>#REF!</v>
      </c>
      <c r="AZ59" s="51" t="e">
        <f t="shared" si="23"/>
        <v>#REF!</v>
      </c>
      <c r="BA59" s="51" t="e">
        <f t="shared" si="23"/>
        <v>#REF!</v>
      </c>
      <c r="BB59" s="51" t="e">
        <f t="shared" si="23"/>
        <v>#REF!</v>
      </c>
      <c r="BC59" s="51" t="e">
        <f t="shared" si="23"/>
        <v>#REF!</v>
      </c>
      <c r="BD59" s="51" t="e">
        <f t="shared" si="23"/>
        <v>#REF!</v>
      </c>
      <c r="BE59" s="51" t="e">
        <f t="shared" si="23"/>
        <v>#REF!</v>
      </c>
      <c r="BF59" s="51" t="e">
        <f t="shared" si="23"/>
        <v>#REF!</v>
      </c>
      <c r="BG59" s="51" t="e">
        <f t="shared" si="23"/>
        <v>#REF!</v>
      </c>
      <c r="BH59" s="51" t="e">
        <f t="shared" si="23"/>
        <v>#REF!</v>
      </c>
      <c r="BI59" s="51" t="e">
        <f t="shared" si="23"/>
        <v>#REF!</v>
      </c>
      <c r="BJ59" s="51" t="e">
        <f t="shared" si="23"/>
        <v>#REF!</v>
      </c>
      <c r="BK59" s="51" t="e">
        <f t="shared" si="23"/>
        <v>#REF!</v>
      </c>
      <c r="BL59" s="51" t="e">
        <f t="shared" si="23"/>
        <v>#REF!</v>
      </c>
      <c r="BM59" s="51" t="e">
        <f t="shared" si="23"/>
        <v>#REF!</v>
      </c>
      <c r="BN59" s="51" t="e">
        <f t="shared" si="23"/>
        <v>#REF!</v>
      </c>
      <c r="BO59" s="51" t="e">
        <f t="shared" si="23"/>
        <v>#REF!</v>
      </c>
      <c r="BP59" s="51" t="e">
        <f t="shared" si="23"/>
        <v>#REF!</v>
      </c>
      <c r="BQ59" s="51" t="e">
        <f t="shared" si="23"/>
        <v>#REF!</v>
      </c>
      <c r="BR59" s="51" t="e">
        <f t="shared" si="23"/>
        <v>#REF!</v>
      </c>
      <c r="BS59" s="51" t="e">
        <f t="shared" si="23"/>
        <v>#REF!</v>
      </c>
      <c r="BT59" s="51" t="e">
        <f t="shared" si="23"/>
        <v>#REF!</v>
      </c>
      <c r="BU59" s="51" t="e">
        <f t="shared" si="23"/>
        <v>#REF!</v>
      </c>
      <c r="BV59" s="51" t="e">
        <f t="shared" si="23"/>
        <v>#REF!</v>
      </c>
      <c r="BW59" s="51" t="e">
        <f t="shared" si="23"/>
        <v>#REF!</v>
      </c>
      <c r="BX59" s="51" t="e">
        <f t="shared" si="23"/>
        <v>#REF!</v>
      </c>
      <c r="BY59" s="51" t="e">
        <f t="shared" si="23"/>
        <v>#REF!</v>
      </c>
      <c r="BZ59" s="51" t="e">
        <f t="shared" si="23"/>
        <v>#REF!</v>
      </c>
      <c r="CA59" s="51" t="e">
        <f t="shared" si="23"/>
        <v>#REF!</v>
      </c>
      <c r="CB59" s="51" t="e">
        <f t="shared" ref="CB59:CQ59" si="24">SUM(CB54:CB58)</f>
        <v>#REF!</v>
      </c>
      <c r="CC59" s="51" t="e">
        <f t="shared" si="24"/>
        <v>#REF!</v>
      </c>
      <c r="CD59" s="51" t="e">
        <f t="shared" si="24"/>
        <v>#REF!</v>
      </c>
      <c r="CE59" s="51" t="e">
        <f t="shared" si="24"/>
        <v>#REF!</v>
      </c>
      <c r="CF59" s="51" t="e">
        <f t="shared" si="24"/>
        <v>#REF!</v>
      </c>
      <c r="CG59" s="51" t="e">
        <f t="shared" si="24"/>
        <v>#REF!</v>
      </c>
      <c r="CH59" s="51" t="e">
        <f t="shared" si="24"/>
        <v>#REF!</v>
      </c>
      <c r="CI59" s="51" t="e">
        <f t="shared" si="24"/>
        <v>#REF!</v>
      </c>
      <c r="CJ59" s="51" t="e">
        <f t="shared" si="24"/>
        <v>#REF!</v>
      </c>
      <c r="CK59" s="51" t="e">
        <f t="shared" si="24"/>
        <v>#REF!</v>
      </c>
      <c r="CL59" s="51" t="e">
        <f t="shared" si="24"/>
        <v>#REF!</v>
      </c>
      <c r="CM59" s="51" t="e">
        <f t="shared" si="24"/>
        <v>#REF!</v>
      </c>
      <c r="CN59" s="51" t="e">
        <f t="shared" si="24"/>
        <v>#REF!</v>
      </c>
      <c r="CO59" s="51" t="e">
        <f t="shared" si="24"/>
        <v>#REF!</v>
      </c>
      <c r="CP59" s="51" t="e">
        <f t="shared" si="24"/>
        <v>#REF!</v>
      </c>
      <c r="CQ59" s="51" t="e">
        <f t="shared" si="24"/>
        <v>#REF!</v>
      </c>
      <c r="CR59" s="51" t="e">
        <f t="shared" ref="CR59:CT59" si="25">SUM(CR54:CR58)</f>
        <v>#REF!</v>
      </c>
      <c r="CS59" s="51" t="e">
        <f t="shared" si="25"/>
        <v>#REF!</v>
      </c>
      <c r="CT59" s="51" t="e">
        <f t="shared" si="25"/>
        <v>#REF!</v>
      </c>
      <c r="CU59" s="51"/>
      <c r="CV59" s="51"/>
      <c r="CW59" s="51"/>
      <c r="CX59" s="51"/>
      <c r="CY59" s="51"/>
      <c r="CZ59" s="51"/>
      <c r="DA59" s="51"/>
      <c r="DB59" s="51"/>
      <c r="DC59" s="51"/>
      <c r="DD59" s="51"/>
    </row>
    <row r="60" spans="2:108" ht="12.75" customHeight="1" x14ac:dyDescent="0.25">
      <c r="H60" s="54"/>
      <c r="N60" s="19"/>
    </row>
    <row r="61" spans="2:108" ht="12.75" customHeight="1" x14ac:dyDescent="0.25">
      <c r="C61" s="65" t="s">
        <v>177</v>
      </c>
      <c r="H61" s="54" t="s">
        <v>3</v>
      </c>
      <c r="N61" s="176" t="e">
        <f>SUM(P61:DD61)</f>
        <v>#REF!</v>
      </c>
      <c r="O61" s="51"/>
      <c r="P61" s="51" t="e">
        <f t="shared" ref="P61:CA61" si="26">P59+P51</f>
        <v>#REF!</v>
      </c>
      <c r="Q61" s="51" t="e">
        <f t="shared" si="26"/>
        <v>#REF!</v>
      </c>
      <c r="R61" s="51" t="e">
        <f t="shared" si="26"/>
        <v>#REF!</v>
      </c>
      <c r="S61" s="51" t="e">
        <f t="shared" si="26"/>
        <v>#REF!</v>
      </c>
      <c r="T61" s="51" t="e">
        <f t="shared" si="26"/>
        <v>#REF!</v>
      </c>
      <c r="U61" s="51" t="e">
        <f t="shared" si="26"/>
        <v>#REF!</v>
      </c>
      <c r="V61" s="51" t="e">
        <f t="shared" si="26"/>
        <v>#REF!</v>
      </c>
      <c r="W61" s="51" t="e">
        <f t="shared" si="26"/>
        <v>#REF!</v>
      </c>
      <c r="X61" s="51" t="e">
        <f t="shared" si="26"/>
        <v>#REF!</v>
      </c>
      <c r="Y61" s="51" t="e">
        <f t="shared" si="26"/>
        <v>#REF!</v>
      </c>
      <c r="Z61" s="51" t="e">
        <f t="shared" si="26"/>
        <v>#REF!</v>
      </c>
      <c r="AA61" s="51" t="e">
        <f t="shared" si="26"/>
        <v>#REF!</v>
      </c>
      <c r="AB61" s="51" t="e">
        <f t="shared" si="26"/>
        <v>#REF!</v>
      </c>
      <c r="AC61" s="51" t="e">
        <f t="shared" si="26"/>
        <v>#REF!</v>
      </c>
      <c r="AD61" s="51" t="e">
        <f t="shared" si="26"/>
        <v>#REF!</v>
      </c>
      <c r="AE61" s="51" t="e">
        <f t="shared" si="26"/>
        <v>#REF!</v>
      </c>
      <c r="AF61" s="51" t="e">
        <f t="shared" si="26"/>
        <v>#REF!</v>
      </c>
      <c r="AG61" s="51" t="e">
        <f t="shared" si="26"/>
        <v>#REF!</v>
      </c>
      <c r="AH61" s="51" t="e">
        <f t="shared" si="26"/>
        <v>#REF!</v>
      </c>
      <c r="AI61" s="51" t="e">
        <f t="shared" si="26"/>
        <v>#REF!</v>
      </c>
      <c r="AJ61" s="51" t="e">
        <f t="shared" si="26"/>
        <v>#REF!</v>
      </c>
      <c r="AK61" s="51" t="e">
        <f t="shared" si="26"/>
        <v>#REF!</v>
      </c>
      <c r="AL61" s="51" t="e">
        <f t="shared" si="26"/>
        <v>#REF!</v>
      </c>
      <c r="AM61" s="51" t="e">
        <f t="shared" si="26"/>
        <v>#REF!</v>
      </c>
      <c r="AN61" s="51" t="e">
        <f t="shared" si="26"/>
        <v>#REF!</v>
      </c>
      <c r="AO61" s="51" t="e">
        <f t="shared" si="26"/>
        <v>#REF!</v>
      </c>
      <c r="AP61" s="51" t="e">
        <f t="shared" si="26"/>
        <v>#REF!</v>
      </c>
      <c r="AQ61" s="51" t="e">
        <f t="shared" si="26"/>
        <v>#REF!</v>
      </c>
      <c r="AR61" s="51" t="e">
        <f t="shared" si="26"/>
        <v>#REF!</v>
      </c>
      <c r="AS61" s="51" t="e">
        <f t="shared" si="26"/>
        <v>#REF!</v>
      </c>
      <c r="AT61" s="51" t="e">
        <f t="shared" si="26"/>
        <v>#REF!</v>
      </c>
      <c r="AU61" s="51" t="e">
        <f t="shared" si="26"/>
        <v>#REF!</v>
      </c>
      <c r="AV61" s="51" t="e">
        <f t="shared" si="26"/>
        <v>#REF!</v>
      </c>
      <c r="AW61" s="51" t="e">
        <f t="shared" si="26"/>
        <v>#REF!</v>
      </c>
      <c r="AX61" s="51" t="e">
        <f t="shared" si="26"/>
        <v>#REF!</v>
      </c>
      <c r="AY61" s="51" t="e">
        <f t="shared" si="26"/>
        <v>#REF!</v>
      </c>
      <c r="AZ61" s="51" t="e">
        <f t="shared" si="26"/>
        <v>#REF!</v>
      </c>
      <c r="BA61" s="51" t="e">
        <f t="shared" si="26"/>
        <v>#REF!</v>
      </c>
      <c r="BB61" s="51" t="e">
        <f t="shared" si="26"/>
        <v>#REF!</v>
      </c>
      <c r="BC61" s="51" t="e">
        <f t="shared" si="26"/>
        <v>#REF!</v>
      </c>
      <c r="BD61" s="51" t="e">
        <f t="shared" si="26"/>
        <v>#REF!</v>
      </c>
      <c r="BE61" s="51" t="e">
        <f t="shared" si="26"/>
        <v>#REF!</v>
      </c>
      <c r="BF61" s="51" t="e">
        <f t="shared" si="26"/>
        <v>#REF!</v>
      </c>
      <c r="BG61" s="51" t="e">
        <f t="shared" si="26"/>
        <v>#REF!</v>
      </c>
      <c r="BH61" s="51" t="e">
        <f t="shared" si="26"/>
        <v>#REF!</v>
      </c>
      <c r="BI61" s="51" t="e">
        <f t="shared" si="26"/>
        <v>#REF!</v>
      </c>
      <c r="BJ61" s="51" t="e">
        <f t="shared" si="26"/>
        <v>#REF!</v>
      </c>
      <c r="BK61" s="51" t="e">
        <f t="shared" si="26"/>
        <v>#REF!</v>
      </c>
      <c r="BL61" s="51" t="e">
        <f t="shared" si="26"/>
        <v>#REF!</v>
      </c>
      <c r="BM61" s="51" t="e">
        <f t="shared" si="26"/>
        <v>#REF!</v>
      </c>
      <c r="BN61" s="51" t="e">
        <f t="shared" si="26"/>
        <v>#REF!</v>
      </c>
      <c r="BO61" s="51" t="e">
        <f t="shared" si="26"/>
        <v>#REF!</v>
      </c>
      <c r="BP61" s="51" t="e">
        <f t="shared" si="26"/>
        <v>#REF!</v>
      </c>
      <c r="BQ61" s="51" t="e">
        <f t="shared" si="26"/>
        <v>#REF!</v>
      </c>
      <c r="BR61" s="51" t="e">
        <f t="shared" si="26"/>
        <v>#REF!</v>
      </c>
      <c r="BS61" s="51" t="e">
        <f t="shared" si="26"/>
        <v>#REF!</v>
      </c>
      <c r="BT61" s="51" t="e">
        <f t="shared" si="26"/>
        <v>#REF!</v>
      </c>
      <c r="BU61" s="51" t="e">
        <f t="shared" si="26"/>
        <v>#REF!</v>
      </c>
      <c r="BV61" s="51" t="e">
        <f t="shared" si="26"/>
        <v>#REF!</v>
      </c>
      <c r="BW61" s="51" t="e">
        <f t="shared" si="26"/>
        <v>#REF!</v>
      </c>
      <c r="BX61" s="51" t="e">
        <f t="shared" si="26"/>
        <v>#REF!</v>
      </c>
      <c r="BY61" s="51" t="e">
        <f t="shared" si="26"/>
        <v>#REF!</v>
      </c>
      <c r="BZ61" s="51" t="e">
        <f t="shared" si="26"/>
        <v>#REF!</v>
      </c>
      <c r="CA61" s="51" t="e">
        <f t="shared" si="26"/>
        <v>#REF!</v>
      </c>
      <c r="CB61" s="51" t="e">
        <f t="shared" ref="CB61:CQ61" si="27">CB59+CB51</f>
        <v>#REF!</v>
      </c>
      <c r="CC61" s="51" t="e">
        <f t="shared" si="27"/>
        <v>#REF!</v>
      </c>
      <c r="CD61" s="51" t="e">
        <f t="shared" si="27"/>
        <v>#REF!</v>
      </c>
      <c r="CE61" s="51" t="e">
        <f t="shared" si="27"/>
        <v>#REF!</v>
      </c>
      <c r="CF61" s="51" t="e">
        <f t="shared" si="27"/>
        <v>#REF!</v>
      </c>
      <c r="CG61" s="51" t="e">
        <f t="shared" si="27"/>
        <v>#REF!</v>
      </c>
      <c r="CH61" s="51" t="e">
        <f t="shared" si="27"/>
        <v>#REF!</v>
      </c>
      <c r="CI61" s="51" t="e">
        <f t="shared" si="27"/>
        <v>#REF!</v>
      </c>
      <c r="CJ61" s="51" t="e">
        <f t="shared" si="27"/>
        <v>#REF!</v>
      </c>
      <c r="CK61" s="51" t="e">
        <f t="shared" si="27"/>
        <v>#REF!</v>
      </c>
      <c r="CL61" s="51" t="e">
        <f t="shared" si="27"/>
        <v>#REF!</v>
      </c>
      <c r="CM61" s="51" t="e">
        <f t="shared" si="27"/>
        <v>#REF!</v>
      </c>
      <c r="CN61" s="51" t="e">
        <f t="shared" si="27"/>
        <v>#REF!</v>
      </c>
      <c r="CO61" s="51" t="e">
        <f t="shared" si="27"/>
        <v>#REF!</v>
      </c>
      <c r="CP61" s="51" t="e">
        <f t="shared" si="27"/>
        <v>#REF!</v>
      </c>
      <c r="CQ61" s="51" t="e">
        <f t="shared" si="27"/>
        <v>#REF!</v>
      </c>
      <c r="CR61" s="51" t="e">
        <f t="shared" ref="CR61:CT61" si="28">CR59+CR51</f>
        <v>#REF!</v>
      </c>
      <c r="CS61" s="51" t="e">
        <f t="shared" si="28"/>
        <v>#REF!</v>
      </c>
      <c r="CT61" s="51" t="e">
        <f t="shared" si="28"/>
        <v>#REF!</v>
      </c>
      <c r="CU61" s="51"/>
      <c r="CV61" s="51"/>
      <c r="CW61" s="51"/>
      <c r="CX61" s="51"/>
      <c r="CY61" s="51"/>
      <c r="CZ61" s="51"/>
      <c r="DA61" s="51"/>
      <c r="DB61" s="51"/>
      <c r="DC61" s="51"/>
      <c r="DD61" s="51"/>
    </row>
    <row r="62" spans="2:108" ht="12.75" customHeight="1" x14ac:dyDescent="0.25">
      <c r="H62" s="54"/>
      <c r="N62" s="19"/>
    </row>
    <row r="63" spans="2:108" ht="12.75" customHeight="1" x14ac:dyDescent="0.25">
      <c r="C63" s="162" t="s">
        <v>48</v>
      </c>
      <c r="D63" s="163"/>
      <c r="E63" s="163"/>
      <c r="F63" s="163"/>
      <c r="G63" s="163"/>
      <c r="H63" s="164" t="s">
        <v>3</v>
      </c>
      <c r="I63" s="163"/>
      <c r="J63" s="163"/>
      <c r="K63" s="163"/>
      <c r="L63" s="163"/>
      <c r="M63" s="163"/>
      <c r="N63" s="179" t="e">
        <f>SUM(P63:DD63)</f>
        <v>#REF!</v>
      </c>
      <c r="O63" s="166"/>
      <c r="P63" s="166" t="e">
        <f t="shared" ref="P63:CA63" si="29">P39-P61</f>
        <v>#REF!</v>
      </c>
      <c r="Q63" s="166" t="e">
        <f t="shared" si="29"/>
        <v>#REF!</v>
      </c>
      <c r="R63" s="166" t="e">
        <f t="shared" si="29"/>
        <v>#REF!</v>
      </c>
      <c r="S63" s="166" t="e">
        <f t="shared" si="29"/>
        <v>#REF!</v>
      </c>
      <c r="T63" s="166" t="e">
        <f t="shared" si="29"/>
        <v>#REF!</v>
      </c>
      <c r="U63" s="166" t="e">
        <f t="shared" si="29"/>
        <v>#REF!</v>
      </c>
      <c r="V63" s="166" t="e">
        <f t="shared" si="29"/>
        <v>#REF!</v>
      </c>
      <c r="W63" s="166" t="e">
        <f t="shared" si="29"/>
        <v>#REF!</v>
      </c>
      <c r="X63" s="166" t="e">
        <f t="shared" si="29"/>
        <v>#REF!</v>
      </c>
      <c r="Y63" s="166" t="e">
        <f t="shared" si="29"/>
        <v>#REF!</v>
      </c>
      <c r="Z63" s="166" t="e">
        <f t="shared" si="29"/>
        <v>#REF!</v>
      </c>
      <c r="AA63" s="166" t="e">
        <f t="shared" si="29"/>
        <v>#REF!</v>
      </c>
      <c r="AB63" s="166" t="e">
        <f t="shared" si="29"/>
        <v>#REF!</v>
      </c>
      <c r="AC63" s="166" t="e">
        <f t="shared" si="29"/>
        <v>#REF!</v>
      </c>
      <c r="AD63" s="166" t="e">
        <f t="shared" si="29"/>
        <v>#REF!</v>
      </c>
      <c r="AE63" s="166" t="e">
        <f t="shared" si="29"/>
        <v>#REF!</v>
      </c>
      <c r="AF63" s="166" t="e">
        <f t="shared" si="29"/>
        <v>#REF!</v>
      </c>
      <c r="AG63" s="166" t="e">
        <f t="shared" si="29"/>
        <v>#REF!</v>
      </c>
      <c r="AH63" s="166" t="e">
        <f t="shared" si="29"/>
        <v>#REF!</v>
      </c>
      <c r="AI63" s="166" t="e">
        <f t="shared" si="29"/>
        <v>#REF!</v>
      </c>
      <c r="AJ63" s="166" t="e">
        <f t="shared" si="29"/>
        <v>#REF!</v>
      </c>
      <c r="AK63" s="166" t="e">
        <f t="shared" si="29"/>
        <v>#REF!</v>
      </c>
      <c r="AL63" s="166" t="e">
        <f t="shared" si="29"/>
        <v>#REF!</v>
      </c>
      <c r="AM63" s="166" t="e">
        <f t="shared" si="29"/>
        <v>#REF!</v>
      </c>
      <c r="AN63" s="166" t="e">
        <f t="shared" si="29"/>
        <v>#REF!</v>
      </c>
      <c r="AO63" s="166" t="e">
        <f t="shared" si="29"/>
        <v>#REF!</v>
      </c>
      <c r="AP63" s="166" t="e">
        <f t="shared" si="29"/>
        <v>#REF!</v>
      </c>
      <c r="AQ63" s="166" t="e">
        <f t="shared" si="29"/>
        <v>#REF!</v>
      </c>
      <c r="AR63" s="166" t="e">
        <f t="shared" si="29"/>
        <v>#REF!</v>
      </c>
      <c r="AS63" s="166" t="e">
        <f t="shared" si="29"/>
        <v>#REF!</v>
      </c>
      <c r="AT63" s="166" t="e">
        <f t="shared" si="29"/>
        <v>#REF!</v>
      </c>
      <c r="AU63" s="166" t="e">
        <f t="shared" si="29"/>
        <v>#REF!</v>
      </c>
      <c r="AV63" s="166" t="e">
        <f t="shared" si="29"/>
        <v>#REF!</v>
      </c>
      <c r="AW63" s="166" t="e">
        <f t="shared" si="29"/>
        <v>#REF!</v>
      </c>
      <c r="AX63" s="166" t="e">
        <f t="shared" si="29"/>
        <v>#REF!</v>
      </c>
      <c r="AY63" s="166" t="e">
        <f t="shared" si="29"/>
        <v>#REF!</v>
      </c>
      <c r="AZ63" s="166" t="e">
        <f t="shared" si="29"/>
        <v>#REF!</v>
      </c>
      <c r="BA63" s="166" t="e">
        <f t="shared" si="29"/>
        <v>#REF!</v>
      </c>
      <c r="BB63" s="166" t="e">
        <f t="shared" si="29"/>
        <v>#REF!</v>
      </c>
      <c r="BC63" s="166" t="e">
        <f t="shared" si="29"/>
        <v>#REF!</v>
      </c>
      <c r="BD63" s="166" t="e">
        <f t="shared" si="29"/>
        <v>#REF!</v>
      </c>
      <c r="BE63" s="166" t="e">
        <f t="shared" si="29"/>
        <v>#REF!</v>
      </c>
      <c r="BF63" s="166" t="e">
        <f t="shared" si="29"/>
        <v>#REF!</v>
      </c>
      <c r="BG63" s="166" t="e">
        <f t="shared" si="29"/>
        <v>#REF!</v>
      </c>
      <c r="BH63" s="166" t="e">
        <f t="shared" si="29"/>
        <v>#REF!</v>
      </c>
      <c r="BI63" s="166" t="e">
        <f t="shared" si="29"/>
        <v>#REF!</v>
      </c>
      <c r="BJ63" s="166" t="e">
        <f t="shared" si="29"/>
        <v>#REF!</v>
      </c>
      <c r="BK63" s="166" t="e">
        <f t="shared" si="29"/>
        <v>#REF!</v>
      </c>
      <c r="BL63" s="166" t="e">
        <f t="shared" si="29"/>
        <v>#REF!</v>
      </c>
      <c r="BM63" s="166" t="e">
        <f t="shared" si="29"/>
        <v>#REF!</v>
      </c>
      <c r="BN63" s="166" t="e">
        <f t="shared" si="29"/>
        <v>#REF!</v>
      </c>
      <c r="BO63" s="166" t="e">
        <f t="shared" si="29"/>
        <v>#REF!</v>
      </c>
      <c r="BP63" s="166" t="e">
        <f t="shared" si="29"/>
        <v>#REF!</v>
      </c>
      <c r="BQ63" s="166" t="e">
        <f t="shared" si="29"/>
        <v>#REF!</v>
      </c>
      <c r="BR63" s="166" t="e">
        <f t="shared" si="29"/>
        <v>#REF!</v>
      </c>
      <c r="BS63" s="166" t="e">
        <f t="shared" si="29"/>
        <v>#REF!</v>
      </c>
      <c r="BT63" s="166" t="e">
        <f t="shared" si="29"/>
        <v>#REF!</v>
      </c>
      <c r="BU63" s="166" t="e">
        <f t="shared" si="29"/>
        <v>#REF!</v>
      </c>
      <c r="BV63" s="166" t="e">
        <f t="shared" si="29"/>
        <v>#REF!</v>
      </c>
      <c r="BW63" s="166" t="e">
        <f t="shared" si="29"/>
        <v>#REF!</v>
      </c>
      <c r="BX63" s="166" t="e">
        <f t="shared" si="29"/>
        <v>#REF!</v>
      </c>
      <c r="BY63" s="166" t="e">
        <f t="shared" si="29"/>
        <v>#REF!</v>
      </c>
      <c r="BZ63" s="166" t="e">
        <f t="shared" si="29"/>
        <v>#REF!</v>
      </c>
      <c r="CA63" s="166" t="e">
        <f t="shared" si="29"/>
        <v>#REF!</v>
      </c>
      <c r="CB63" s="166" t="e">
        <f t="shared" ref="CB63:CQ63" si="30">CB39-CB61</f>
        <v>#REF!</v>
      </c>
      <c r="CC63" s="166" t="e">
        <f t="shared" si="30"/>
        <v>#REF!</v>
      </c>
      <c r="CD63" s="166" t="e">
        <f t="shared" si="30"/>
        <v>#REF!</v>
      </c>
      <c r="CE63" s="166" t="e">
        <f t="shared" si="30"/>
        <v>#REF!</v>
      </c>
      <c r="CF63" s="166" t="e">
        <f t="shared" si="30"/>
        <v>#REF!</v>
      </c>
      <c r="CG63" s="166" t="e">
        <f t="shared" si="30"/>
        <v>#REF!</v>
      </c>
      <c r="CH63" s="166" t="e">
        <f t="shared" si="30"/>
        <v>#REF!</v>
      </c>
      <c r="CI63" s="166" t="e">
        <f t="shared" si="30"/>
        <v>#REF!</v>
      </c>
      <c r="CJ63" s="166" t="e">
        <f t="shared" si="30"/>
        <v>#REF!</v>
      </c>
      <c r="CK63" s="166" t="e">
        <f t="shared" si="30"/>
        <v>#REF!</v>
      </c>
      <c r="CL63" s="166" t="e">
        <f t="shared" si="30"/>
        <v>#REF!</v>
      </c>
      <c r="CM63" s="166" t="e">
        <f t="shared" si="30"/>
        <v>#REF!</v>
      </c>
      <c r="CN63" s="166" t="e">
        <f t="shared" si="30"/>
        <v>#REF!</v>
      </c>
      <c r="CO63" s="166" t="e">
        <f t="shared" si="30"/>
        <v>#REF!</v>
      </c>
      <c r="CP63" s="166" t="e">
        <f t="shared" si="30"/>
        <v>#REF!</v>
      </c>
      <c r="CQ63" s="166" t="e">
        <f t="shared" si="30"/>
        <v>#REF!</v>
      </c>
      <c r="CR63" s="166" t="e">
        <f t="shared" ref="CR63:CT63" si="31">CR39-CR61</f>
        <v>#REF!</v>
      </c>
      <c r="CS63" s="166" t="e">
        <f t="shared" si="31"/>
        <v>#REF!</v>
      </c>
      <c r="CT63" s="166" t="e">
        <f t="shared" si="31"/>
        <v>#REF!</v>
      </c>
      <c r="CU63" s="166"/>
      <c r="CV63" s="166"/>
      <c r="CW63" s="166"/>
      <c r="CX63" s="166"/>
      <c r="CY63" s="166"/>
      <c r="CZ63" s="166"/>
      <c r="DA63" s="166"/>
      <c r="DB63" s="166"/>
      <c r="DC63" s="166"/>
      <c r="DD63" s="166"/>
    </row>
    <row r="64" spans="2:108" ht="12.75" customHeight="1" x14ac:dyDescent="0.25">
      <c r="H64" s="54"/>
      <c r="N64" s="19"/>
    </row>
    <row r="65" spans="1:237" s="125" customFormat="1" ht="12.75" customHeight="1" x14ac:dyDescent="0.25">
      <c r="A65" s="124" t="s">
        <v>108</v>
      </c>
      <c r="H65" s="126"/>
      <c r="J65" s="127"/>
      <c r="N65" s="128"/>
    </row>
    <row r="66" spans="1:237" ht="12.75" customHeight="1" x14ac:dyDescent="0.25">
      <c r="H66" s="54"/>
      <c r="N66" s="19"/>
    </row>
    <row r="67" spans="1:237" ht="12.75" customHeight="1" x14ac:dyDescent="0.25">
      <c r="B67" s="21" t="s">
        <v>178</v>
      </c>
      <c r="H67" s="54"/>
      <c r="N67" s="148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</row>
    <row r="68" spans="1:237" ht="12.75" customHeight="1" x14ac:dyDescent="0.25">
      <c r="B68" s="23"/>
      <c r="H68" s="54"/>
      <c r="N68" s="148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</row>
    <row r="69" spans="1:237" ht="12.75" customHeight="1" x14ac:dyDescent="0.25">
      <c r="C69" s="184" t="s">
        <v>179</v>
      </c>
      <c r="H69" s="54" t="s">
        <v>3</v>
      </c>
      <c r="N69" s="148"/>
      <c r="P69" s="10">
        <f t="shared" ref="P69:CA69" si="32">O72</f>
        <v>0</v>
      </c>
      <c r="Q69" s="10" t="e">
        <f t="shared" si="32"/>
        <v>#REF!</v>
      </c>
      <c r="R69" s="10" t="e">
        <f t="shared" si="32"/>
        <v>#REF!</v>
      </c>
      <c r="S69" s="10" t="e">
        <f t="shared" si="32"/>
        <v>#REF!</v>
      </c>
      <c r="T69" s="10" t="e">
        <f t="shared" si="32"/>
        <v>#REF!</v>
      </c>
      <c r="U69" s="10" t="e">
        <f t="shared" si="32"/>
        <v>#REF!</v>
      </c>
      <c r="V69" s="10" t="e">
        <f t="shared" si="32"/>
        <v>#REF!</v>
      </c>
      <c r="W69" s="10" t="e">
        <f t="shared" si="32"/>
        <v>#REF!</v>
      </c>
      <c r="X69" s="10" t="e">
        <f t="shared" si="32"/>
        <v>#REF!</v>
      </c>
      <c r="Y69" s="10" t="e">
        <f t="shared" si="32"/>
        <v>#REF!</v>
      </c>
      <c r="Z69" s="10" t="e">
        <f t="shared" si="32"/>
        <v>#REF!</v>
      </c>
      <c r="AA69" s="10" t="e">
        <f t="shared" si="32"/>
        <v>#REF!</v>
      </c>
      <c r="AB69" s="10" t="e">
        <f t="shared" si="32"/>
        <v>#REF!</v>
      </c>
      <c r="AC69" s="10" t="e">
        <f t="shared" si="32"/>
        <v>#REF!</v>
      </c>
      <c r="AD69" s="10" t="e">
        <f t="shared" si="32"/>
        <v>#REF!</v>
      </c>
      <c r="AE69" s="10" t="e">
        <f t="shared" si="32"/>
        <v>#REF!</v>
      </c>
      <c r="AF69" s="10" t="e">
        <f t="shared" si="32"/>
        <v>#REF!</v>
      </c>
      <c r="AG69" s="10" t="e">
        <f t="shared" si="32"/>
        <v>#REF!</v>
      </c>
      <c r="AH69" s="10" t="e">
        <f t="shared" si="32"/>
        <v>#REF!</v>
      </c>
      <c r="AI69" s="10" t="e">
        <f t="shared" si="32"/>
        <v>#REF!</v>
      </c>
      <c r="AJ69" s="10" t="e">
        <f t="shared" si="32"/>
        <v>#REF!</v>
      </c>
      <c r="AK69" s="10" t="e">
        <f t="shared" si="32"/>
        <v>#REF!</v>
      </c>
      <c r="AL69" s="10" t="e">
        <f t="shared" si="32"/>
        <v>#REF!</v>
      </c>
      <c r="AM69" s="10" t="e">
        <f t="shared" si="32"/>
        <v>#REF!</v>
      </c>
      <c r="AN69" s="10" t="e">
        <f t="shared" si="32"/>
        <v>#REF!</v>
      </c>
      <c r="AO69" s="10" t="e">
        <f t="shared" si="32"/>
        <v>#REF!</v>
      </c>
      <c r="AP69" s="10" t="e">
        <f t="shared" si="32"/>
        <v>#REF!</v>
      </c>
      <c r="AQ69" s="10" t="e">
        <f t="shared" si="32"/>
        <v>#REF!</v>
      </c>
      <c r="AR69" s="10" t="e">
        <f t="shared" si="32"/>
        <v>#REF!</v>
      </c>
      <c r="AS69" s="10" t="e">
        <f t="shared" si="32"/>
        <v>#REF!</v>
      </c>
      <c r="AT69" s="10" t="e">
        <f t="shared" si="32"/>
        <v>#REF!</v>
      </c>
      <c r="AU69" s="10" t="e">
        <f t="shared" si="32"/>
        <v>#REF!</v>
      </c>
      <c r="AV69" s="10" t="e">
        <f t="shared" si="32"/>
        <v>#REF!</v>
      </c>
      <c r="AW69" s="10" t="e">
        <f t="shared" si="32"/>
        <v>#REF!</v>
      </c>
      <c r="AX69" s="10" t="e">
        <f t="shared" si="32"/>
        <v>#REF!</v>
      </c>
      <c r="AY69" s="10" t="e">
        <f t="shared" si="32"/>
        <v>#REF!</v>
      </c>
      <c r="AZ69" s="10" t="e">
        <f t="shared" si="32"/>
        <v>#REF!</v>
      </c>
      <c r="BA69" s="10" t="e">
        <f t="shared" si="32"/>
        <v>#REF!</v>
      </c>
      <c r="BB69" s="10" t="e">
        <f t="shared" si="32"/>
        <v>#REF!</v>
      </c>
      <c r="BC69" s="10" t="e">
        <f t="shared" si="32"/>
        <v>#REF!</v>
      </c>
      <c r="BD69" s="10" t="e">
        <f t="shared" si="32"/>
        <v>#REF!</v>
      </c>
      <c r="BE69" s="10" t="e">
        <f t="shared" si="32"/>
        <v>#REF!</v>
      </c>
      <c r="BF69" s="10" t="e">
        <f t="shared" si="32"/>
        <v>#REF!</v>
      </c>
      <c r="BG69" s="10" t="e">
        <f t="shared" si="32"/>
        <v>#REF!</v>
      </c>
      <c r="BH69" s="10" t="e">
        <f t="shared" si="32"/>
        <v>#REF!</v>
      </c>
      <c r="BI69" s="10" t="e">
        <f t="shared" si="32"/>
        <v>#REF!</v>
      </c>
      <c r="BJ69" s="10" t="e">
        <f t="shared" si="32"/>
        <v>#REF!</v>
      </c>
      <c r="BK69" s="10" t="e">
        <f t="shared" si="32"/>
        <v>#REF!</v>
      </c>
      <c r="BL69" s="10" t="e">
        <f t="shared" si="32"/>
        <v>#REF!</v>
      </c>
      <c r="BM69" s="10" t="e">
        <f t="shared" si="32"/>
        <v>#REF!</v>
      </c>
      <c r="BN69" s="10" t="e">
        <f t="shared" si="32"/>
        <v>#REF!</v>
      </c>
      <c r="BO69" s="10" t="e">
        <f t="shared" si="32"/>
        <v>#REF!</v>
      </c>
      <c r="BP69" s="10" t="e">
        <f t="shared" si="32"/>
        <v>#REF!</v>
      </c>
      <c r="BQ69" s="10" t="e">
        <f t="shared" si="32"/>
        <v>#REF!</v>
      </c>
      <c r="BR69" s="10" t="e">
        <f t="shared" si="32"/>
        <v>#REF!</v>
      </c>
      <c r="BS69" s="10" t="e">
        <f t="shared" si="32"/>
        <v>#REF!</v>
      </c>
      <c r="BT69" s="10" t="e">
        <f t="shared" si="32"/>
        <v>#REF!</v>
      </c>
      <c r="BU69" s="10" t="e">
        <f t="shared" si="32"/>
        <v>#REF!</v>
      </c>
      <c r="BV69" s="10" t="e">
        <f t="shared" si="32"/>
        <v>#REF!</v>
      </c>
      <c r="BW69" s="10" t="e">
        <f t="shared" si="32"/>
        <v>#REF!</v>
      </c>
      <c r="BX69" s="10" t="e">
        <f t="shared" si="32"/>
        <v>#REF!</v>
      </c>
      <c r="BY69" s="10" t="e">
        <f t="shared" si="32"/>
        <v>#REF!</v>
      </c>
      <c r="BZ69" s="10" t="e">
        <f t="shared" si="32"/>
        <v>#REF!</v>
      </c>
      <c r="CA69" s="10" t="e">
        <f t="shared" si="32"/>
        <v>#REF!</v>
      </c>
      <c r="CB69" s="10" t="e">
        <f t="shared" ref="CB69:CQ69" si="33">CA72</f>
        <v>#REF!</v>
      </c>
      <c r="CC69" s="10" t="e">
        <f t="shared" si="33"/>
        <v>#REF!</v>
      </c>
      <c r="CD69" s="10" t="e">
        <f t="shared" si="33"/>
        <v>#REF!</v>
      </c>
      <c r="CE69" s="10" t="e">
        <f t="shared" si="33"/>
        <v>#REF!</v>
      </c>
      <c r="CF69" s="10" t="e">
        <f t="shared" si="33"/>
        <v>#REF!</v>
      </c>
      <c r="CG69" s="10" t="e">
        <f t="shared" si="33"/>
        <v>#REF!</v>
      </c>
      <c r="CH69" s="10" t="e">
        <f t="shared" si="33"/>
        <v>#REF!</v>
      </c>
      <c r="CI69" s="10" t="e">
        <f t="shared" si="33"/>
        <v>#REF!</v>
      </c>
      <c r="CJ69" s="10" t="e">
        <f t="shared" si="33"/>
        <v>#REF!</v>
      </c>
      <c r="CK69" s="10" t="e">
        <f t="shared" si="33"/>
        <v>#REF!</v>
      </c>
      <c r="CL69" s="10" t="e">
        <f t="shared" si="33"/>
        <v>#REF!</v>
      </c>
      <c r="CM69" s="10" t="e">
        <f t="shared" si="33"/>
        <v>#REF!</v>
      </c>
      <c r="CN69" s="10" t="e">
        <f t="shared" si="33"/>
        <v>#REF!</v>
      </c>
      <c r="CO69" s="10" t="e">
        <f t="shared" si="33"/>
        <v>#REF!</v>
      </c>
      <c r="CP69" s="10" t="e">
        <f t="shared" si="33"/>
        <v>#REF!</v>
      </c>
      <c r="CQ69" s="10" t="e">
        <f t="shared" si="33"/>
        <v>#REF!</v>
      </c>
      <c r="CR69" s="10" t="e">
        <f t="shared" ref="CR69" si="34">CQ72</f>
        <v>#REF!</v>
      </c>
      <c r="CS69" s="10" t="e">
        <f t="shared" ref="CS69" si="35">CR72</f>
        <v>#REF!</v>
      </c>
      <c r="CT69" s="10" t="e">
        <f t="shared" ref="CT69" si="36">CS72</f>
        <v>#REF!</v>
      </c>
      <c r="CU69" s="10" t="e">
        <f t="shared" ref="CU69:ET69" si="37">CT72</f>
        <v>#REF!</v>
      </c>
      <c r="CV69" s="10" t="e">
        <f t="shared" si="37"/>
        <v>#REF!</v>
      </c>
      <c r="CW69" s="10" t="e">
        <f t="shared" si="37"/>
        <v>#REF!</v>
      </c>
      <c r="CX69" s="10" t="e">
        <f t="shared" si="37"/>
        <v>#REF!</v>
      </c>
      <c r="CY69" s="10" t="e">
        <f t="shared" si="37"/>
        <v>#REF!</v>
      </c>
      <c r="CZ69" s="10" t="e">
        <f t="shared" si="37"/>
        <v>#REF!</v>
      </c>
      <c r="DA69" s="10" t="e">
        <f t="shared" si="37"/>
        <v>#REF!</v>
      </c>
      <c r="DB69" s="10" t="e">
        <f t="shared" si="37"/>
        <v>#REF!</v>
      </c>
      <c r="DC69" s="10" t="e">
        <f t="shared" si="37"/>
        <v>#REF!</v>
      </c>
      <c r="DD69" s="10" t="e">
        <f t="shared" si="37"/>
        <v>#REF!</v>
      </c>
      <c r="DE69" s="10" t="e">
        <f t="shared" si="37"/>
        <v>#REF!</v>
      </c>
      <c r="DF69" s="10" t="e">
        <f t="shared" si="37"/>
        <v>#REF!</v>
      </c>
      <c r="DG69" s="10" t="e">
        <f t="shared" si="37"/>
        <v>#REF!</v>
      </c>
      <c r="DH69" s="10" t="e">
        <f t="shared" si="37"/>
        <v>#REF!</v>
      </c>
      <c r="DI69" s="10" t="e">
        <f t="shared" si="37"/>
        <v>#REF!</v>
      </c>
      <c r="DJ69" s="10" t="e">
        <f t="shared" si="37"/>
        <v>#REF!</v>
      </c>
      <c r="DK69" s="10" t="e">
        <f t="shared" si="37"/>
        <v>#REF!</v>
      </c>
      <c r="DL69" s="10" t="e">
        <f t="shared" si="37"/>
        <v>#REF!</v>
      </c>
      <c r="DM69" s="10" t="e">
        <f t="shared" si="37"/>
        <v>#REF!</v>
      </c>
      <c r="DN69" s="10" t="e">
        <f t="shared" si="37"/>
        <v>#REF!</v>
      </c>
      <c r="DO69" s="10" t="e">
        <f t="shared" si="37"/>
        <v>#REF!</v>
      </c>
      <c r="DP69" s="10" t="e">
        <f t="shared" si="37"/>
        <v>#REF!</v>
      </c>
      <c r="DQ69" s="10" t="e">
        <f t="shared" si="37"/>
        <v>#REF!</v>
      </c>
      <c r="DR69" s="10" t="e">
        <f t="shared" si="37"/>
        <v>#REF!</v>
      </c>
      <c r="DS69" s="10" t="e">
        <f t="shared" si="37"/>
        <v>#REF!</v>
      </c>
      <c r="DT69" s="10" t="e">
        <f t="shared" si="37"/>
        <v>#REF!</v>
      </c>
      <c r="DU69" s="10" t="e">
        <f t="shared" si="37"/>
        <v>#REF!</v>
      </c>
      <c r="DV69" s="10" t="e">
        <f t="shared" si="37"/>
        <v>#REF!</v>
      </c>
      <c r="DW69" s="10" t="e">
        <f t="shared" si="37"/>
        <v>#REF!</v>
      </c>
      <c r="DX69" s="10" t="e">
        <f t="shared" si="37"/>
        <v>#REF!</v>
      </c>
      <c r="DY69" s="10" t="e">
        <f t="shared" si="37"/>
        <v>#REF!</v>
      </c>
      <c r="DZ69" s="10" t="e">
        <f t="shared" si="37"/>
        <v>#REF!</v>
      </c>
      <c r="EA69" s="10" t="e">
        <f t="shared" si="37"/>
        <v>#REF!</v>
      </c>
      <c r="EB69" s="10" t="e">
        <f t="shared" si="37"/>
        <v>#REF!</v>
      </c>
      <c r="EC69" s="10" t="e">
        <f t="shared" si="37"/>
        <v>#REF!</v>
      </c>
      <c r="ED69" s="10" t="e">
        <f t="shared" si="37"/>
        <v>#REF!</v>
      </c>
      <c r="EE69" s="10" t="e">
        <f t="shared" si="37"/>
        <v>#REF!</v>
      </c>
      <c r="EF69" s="10" t="e">
        <f t="shared" si="37"/>
        <v>#REF!</v>
      </c>
      <c r="EG69" s="10" t="e">
        <f t="shared" si="37"/>
        <v>#REF!</v>
      </c>
      <c r="EH69" s="10" t="e">
        <f t="shared" si="37"/>
        <v>#REF!</v>
      </c>
      <c r="EI69" s="10" t="e">
        <f t="shared" si="37"/>
        <v>#REF!</v>
      </c>
      <c r="EJ69" s="10" t="e">
        <f t="shared" si="37"/>
        <v>#REF!</v>
      </c>
      <c r="EK69" s="10" t="e">
        <f t="shared" si="37"/>
        <v>#REF!</v>
      </c>
      <c r="EL69" s="10" t="e">
        <f t="shared" si="37"/>
        <v>#REF!</v>
      </c>
      <c r="EM69" s="10" t="e">
        <f t="shared" si="37"/>
        <v>#REF!</v>
      </c>
      <c r="EN69" s="10" t="e">
        <f t="shared" si="37"/>
        <v>#REF!</v>
      </c>
      <c r="EO69" s="10" t="e">
        <f t="shared" si="37"/>
        <v>#REF!</v>
      </c>
      <c r="EP69" s="10" t="e">
        <f t="shared" si="37"/>
        <v>#REF!</v>
      </c>
      <c r="EQ69" s="10" t="e">
        <f t="shared" si="37"/>
        <v>#REF!</v>
      </c>
      <c r="ER69" s="10" t="e">
        <f t="shared" si="37"/>
        <v>#REF!</v>
      </c>
      <c r="ES69" s="10" t="e">
        <f t="shared" si="37"/>
        <v>#REF!</v>
      </c>
      <c r="ET69" s="10" t="e">
        <f t="shared" si="37"/>
        <v>#REF!</v>
      </c>
      <c r="EU69" s="51"/>
      <c r="EV69" s="51"/>
      <c r="EW69" s="51"/>
      <c r="EX69" s="51"/>
      <c r="EY69" s="51"/>
      <c r="EZ69" s="51"/>
      <c r="FA69" s="51"/>
      <c r="FB69" s="51"/>
      <c r="FC69" s="51"/>
      <c r="FD69" s="51"/>
      <c r="FE69" s="51"/>
      <c r="FF69" s="51"/>
      <c r="FG69" s="51"/>
      <c r="FH69" s="51"/>
      <c r="FI69" s="51"/>
      <c r="FJ69" s="51"/>
      <c r="FK69" s="51"/>
      <c r="FL69" s="51"/>
      <c r="FM69" s="51"/>
      <c r="FN69" s="51"/>
      <c r="FO69" s="51"/>
      <c r="FP69" s="51"/>
      <c r="FQ69" s="51"/>
      <c r="FR69" s="51"/>
      <c r="FS69" s="51"/>
      <c r="FT69" s="51"/>
      <c r="FU69" s="51"/>
      <c r="FV69" s="51"/>
      <c r="FW69" s="51"/>
      <c r="FX69" s="51"/>
      <c r="FY69" s="51"/>
      <c r="FZ69" s="51"/>
      <c r="GA69" s="51"/>
      <c r="GB69" s="51"/>
      <c r="GC69" s="51"/>
      <c r="GD69" s="51"/>
      <c r="GE69" s="51"/>
      <c r="GF69" s="51"/>
      <c r="GG69" s="51"/>
      <c r="GH69" s="51"/>
      <c r="GI69" s="51"/>
      <c r="GJ69" s="51"/>
      <c r="GK69" s="51"/>
      <c r="GL69" s="51"/>
      <c r="GM69" s="51"/>
      <c r="GN69" s="51"/>
      <c r="GO69" s="51"/>
      <c r="GP69" s="51"/>
      <c r="GQ69" s="51"/>
      <c r="GR69" s="51"/>
      <c r="GS69" s="51"/>
      <c r="GT69" s="51"/>
      <c r="GU69" s="51"/>
      <c r="GV69" s="51"/>
      <c r="GW69" s="51"/>
      <c r="GX69" s="51"/>
      <c r="GY69" s="51"/>
      <c r="GZ69" s="51"/>
      <c r="HA69" s="51"/>
      <c r="HB69" s="51"/>
      <c r="HC69" s="51"/>
      <c r="HD69" s="51"/>
      <c r="HE69" s="51"/>
      <c r="HF69" s="51"/>
      <c r="HG69" s="51"/>
      <c r="HH69" s="51"/>
      <c r="HI69" s="51"/>
      <c r="HJ69" s="51"/>
      <c r="HK69" s="51"/>
      <c r="HL69" s="51"/>
      <c r="HM69" s="51"/>
      <c r="HN69" s="51"/>
      <c r="HO69" s="51"/>
      <c r="HP69" s="51"/>
      <c r="HQ69" s="51"/>
      <c r="HR69" s="51"/>
      <c r="HS69" s="51"/>
      <c r="HT69" s="51"/>
      <c r="HU69" s="51"/>
      <c r="HV69" s="51"/>
      <c r="HW69" s="51"/>
      <c r="HX69" s="51"/>
      <c r="HY69" s="51"/>
      <c r="HZ69" s="51"/>
      <c r="IA69" s="51"/>
      <c r="IB69" s="51"/>
      <c r="IC69" s="51"/>
    </row>
    <row r="70" spans="1:237" ht="12.75" customHeight="1" x14ac:dyDescent="0.25">
      <c r="C70" s="17" t="s">
        <v>34</v>
      </c>
      <c r="D70" t="s">
        <v>180</v>
      </c>
      <c r="H70" s="54" t="s">
        <v>3</v>
      </c>
      <c r="J70" s="38" t="s">
        <v>181</v>
      </c>
      <c r="N70" s="25" t="e">
        <f>SUM(P70:CQ70)</f>
        <v>#REF!</v>
      </c>
      <c r="P70" s="10">
        <f>P39</f>
        <v>0</v>
      </c>
      <c r="Q70" s="10">
        <f t="shared" ref="Q70:CB70" si="38">Q39</f>
        <v>0</v>
      </c>
      <c r="R70" s="10">
        <f t="shared" si="38"/>
        <v>0</v>
      </c>
      <c r="S70" s="10">
        <f t="shared" si="38"/>
        <v>4074.2858019829564</v>
      </c>
      <c r="T70" s="10" t="e">
        <f t="shared" si="38"/>
        <v>#REF!</v>
      </c>
      <c r="U70" s="10">
        <f t="shared" si="38"/>
        <v>4074.2858019829564</v>
      </c>
      <c r="V70" s="10" t="e">
        <f t="shared" si="38"/>
        <v>#REF!</v>
      </c>
      <c r="W70" s="10">
        <f t="shared" si="38"/>
        <v>4074.2858019829564</v>
      </c>
      <c r="X70" s="10" t="e">
        <f t="shared" si="38"/>
        <v>#REF!</v>
      </c>
      <c r="Y70" s="10">
        <f t="shared" si="38"/>
        <v>4074.2858019829564</v>
      </c>
      <c r="Z70" s="10" t="e">
        <f t="shared" si="38"/>
        <v>#REF!</v>
      </c>
      <c r="AA70" s="10">
        <f t="shared" si="38"/>
        <v>4074.2858019829564</v>
      </c>
      <c r="AB70" s="10" t="e">
        <f t="shared" si="38"/>
        <v>#REF!</v>
      </c>
      <c r="AC70" s="10">
        <f t="shared" si="38"/>
        <v>4074.2858019829564</v>
      </c>
      <c r="AD70" s="10" t="e">
        <f t="shared" si="38"/>
        <v>#REF!</v>
      </c>
      <c r="AE70" s="10">
        <f t="shared" si="38"/>
        <v>4074.2858019829564</v>
      </c>
      <c r="AF70" s="10" t="e">
        <f t="shared" si="38"/>
        <v>#REF!</v>
      </c>
      <c r="AG70" s="10">
        <f t="shared" si="38"/>
        <v>4074.2858019829564</v>
      </c>
      <c r="AH70" s="10" t="e">
        <f t="shared" si="38"/>
        <v>#REF!</v>
      </c>
      <c r="AI70" s="10">
        <f t="shared" si="38"/>
        <v>4074.2858019829564</v>
      </c>
      <c r="AJ70" s="10" t="e">
        <f t="shared" si="38"/>
        <v>#REF!</v>
      </c>
      <c r="AK70" s="10">
        <f t="shared" si="38"/>
        <v>4074.2858019829564</v>
      </c>
      <c r="AL70" s="10" t="e">
        <f t="shared" si="38"/>
        <v>#REF!</v>
      </c>
      <c r="AM70" s="10">
        <f t="shared" si="38"/>
        <v>4074.2858019829564</v>
      </c>
      <c r="AN70" s="10" t="e">
        <f t="shared" si="38"/>
        <v>#REF!</v>
      </c>
      <c r="AO70" s="10">
        <f t="shared" si="38"/>
        <v>4074.2858019829564</v>
      </c>
      <c r="AP70" s="10" t="e">
        <f t="shared" si="38"/>
        <v>#REF!</v>
      </c>
      <c r="AQ70" s="10">
        <f t="shared" si="38"/>
        <v>4074.2858019829564</v>
      </c>
      <c r="AR70" s="10" t="e">
        <f t="shared" si="38"/>
        <v>#REF!</v>
      </c>
      <c r="AS70" s="10">
        <f t="shared" si="38"/>
        <v>4074.2858019829564</v>
      </c>
      <c r="AT70" s="10" t="e">
        <f t="shared" si="38"/>
        <v>#REF!</v>
      </c>
      <c r="AU70" s="10">
        <f t="shared" si="38"/>
        <v>4074.2858019829564</v>
      </c>
      <c r="AV70" s="10" t="e">
        <f t="shared" si="38"/>
        <v>#REF!</v>
      </c>
      <c r="AW70" s="10">
        <f t="shared" si="38"/>
        <v>4074.2858019829564</v>
      </c>
      <c r="AX70" s="10" t="e">
        <f t="shared" si="38"/>
        <v>#REF!</v>
      </c>
      <c r="AY70" s="10">
        <f t="shared" si="38"/>
        <v>4074.2858019829564</v>
      </c>
      <c r="AZ70" s="10" t="e">
        <f t="shared" si="38"/>
        <v>#REF!</v>
      </c>
      <c r="BA70" s="10">
        <f t="shared" si="38"/>
        <v>4074.2858019829564</v>
      </c>
      <c r="BB70" s="10" t="e">
        <f t="shared" si="38"/>
        <v>#REF!</v>
      </c>
      <c r="BC70" s="10">
        <f t="shared" si="38"/>
        <v>4074.2858019829564</v>
      </c>
      <c r="BD70" s="10" t="e">
        <f t="shared" si="38"/>
        <v>#REF!</v>
      </c>
      <c r="BE70" s="10">
        <f t="shared" si="38"/>
        <v>4074.2858019829564</v>
      </c>
      <c r="BF70" s="10" t="e">
        <f t="shared" si="38"/>
        <v>#REF!</v>
      </c>
      <c r="BG70" s="10">
        <f t="shared" si="38"/>
        <v>4074.2858019829564</v>
      </c>
      <c r="BH70" s="10" t="e">
        <f t="shared" si="38"/>
        <v>#REF!</v>
      </c>
      <c r="BI70" s="10">
        <f t="shared" si="38"/>
        <v>4074.2858019829564</v>
      </c>
      <c r="BJ70" s="10" t="e">
        <f t="shared" si="38"/>
        <v>#REF!</v>
      </c>
      <c r="BK70" s="10">
        <f t="shared" si="38"/>
        <v>4074.2858019829564</v>
      </c>
      <c r="BL70" s="10" t="e">
        <f t="shared" si="38"/>
        <v>#REF!</v>
      </c>
      <c r="BM70" s="10">
        <f t="shared" si="38"/>
        <v>4074.2858019829564</v>
      </c>
      <c r="BN70" s="10" t="e">
        <f t="shared" si="38"/>
        <v>#REF!</v>
      </c>
      <c r="BO70" s="10">
        <f t="shared" si="38"/>
        <v>4074.2858019829564</v>
      </c>
      <c r="BP70" s="10" t="e">
        <f t="shared" si="38"/>
        <v>#REF!</v>
      </c>
      <c r="BQ70" s="10">
        <f t="shared" si="38"/>
        <v>4074.2858019829564</v>
      </c>
      <c r="BR70" s="10">
        <f t="shared" si="38"/>
        <v>0</v>
      </c>
      <c r="BS70" s="10">
        <f t="shared" si="38"/>
        <v>0</v>
      </c>
      <c r="BT70" s="10">
        <f t="shared" si="38"/>
        <v>0</v>
      </c>
      <c r="BU70" s="10">
        <f t="shared" si="38"/>
        <v>0</v>
      </c>
      <c r="BV70" s="10">
        <f t="shared" si="38"/>
        <v>0</v>
      </c>
      <c r="BW70" s="10">
        <f t="shared" si="38"/>
        <v>0</v>
      </c>
      <c r="BX70" s="10">
        <f t="shared" si="38"/>
        <v>0</v>
      </c>
      <c r="BY70" s="10">
        <f t="shared" si="38"/>
        <v>0</v>
      </c>
      <c r="BZ70" s="10">
        <f t="shared" si="38"/>
        <v>0</v>
      </c>
      <c r="CA70" s="10">
        <f t="shared" si="38"/>
        <v>0</v>
      </c>
      <c r="CB70" s="10">
        <f t="shared" si="38"/>
        <v>0</v>
      </c>
      <c r="CC70" s="10">
        <f t="shared" ref="CC70:CQ70" si="39">CC39</f>
        <v>0</v>
      </c>
      <c r="CD70" s="10">
        <f t="shared" si="39"/>
        <v>0</v>
      </c>
      <c r="CE70" s="10">
        <f t="shared" si="39"/>
        <v>0</v>
      </c>
      <c r="CF70" s="10">
        <f t="shared" si="39"/>
        <v>0</v>
      </c>
      <c r="CG70" s="10">
        <f t="shared" si="39"/>
        <v>0</v>
      </c>
      <c r="CH70" s="10">
        <f t="shared" si="39"/>
        <v>0</v>
      </c>
      <c r="CI70" s="10">
        <f t="shared" si="39"/>
        <v>0</v>
      </c>
      <c r="CJ70" s="10">
        <f t="shared" si="39"/>
        <v>0</v>
      </c>
      <c r="CK70" s="10">
        <f t="shared" si="39"/>
        <v>0</v>
      </c>
      <c r="CL70" s="10">
        <f t="shared" si="39"/>
        <v>0</v>
      </c>
      <c r="CM70" s="10">
        <f t="shared" si="39"/>
        <v>0</v>
      </c>
      <c r="CN70" s="10">
        <f t="shared" si="39"/>
        <v>0</v>
      </c>
      <c r="CO70" s="10">
        <f t="shared" si="39"/>
        <v>0</v>
      </c>
      <c r="CP70" s="10">
        <f t="shared" si="39"/>
        <v>0</v>
      </c>
      <c r="CQ70" s="10">
        <f t="shared" si="39"/>
        <v>0</v>
      </c>
      <c r="CR70" s="10">
        <f t="shared" ref="CR70:CT70" si="40">CR39</f>
        <v>0</v>
      </c>
      <c r="CS70" s="10">
        <f t="shared" si="40"/>
        <v>0</v>
      </c>
      <c r="CT70" s="10">
        <f t="shared" si="40"/>
        <v>0</v>
      </c>
      <c r="CU70" s="10">
        <f t="shared" ref="CU70:ET70" si="41">CU13</f>
        <v>0</v>
      </c>
      <c r="CV70" s="10">
        <f t="shared" si="41"/>
        <v>0</v>
      </c>
      <c r="CW70" s="10">
        <f t="shared" si="41"/>
        <v>0</v>
      </c>
      <c r="CX70" s="10">
        <f t="shared" si="41"/>
        <v>0</v>
      </c>
      <c r="CY70" s="10">
        <f t="shared" si="41"/>
        <v>0</v>
      </c>
      <c r="CZ70" s="10">
        <f t="shared" si="41"/>
        <v>0</v>
      </c>
      <c r="DA70" s="10">
        <f t="shared" si="41"/>
        <v>0</v>
      </c>
      <c r="DB70" s="10">
        <f t="shared" si="41"/>
        <v>0</v>
      </c>
      <c r="DC70" s="10">
        <f t="shared" si="41"/>
        <v>0</v>
      </c>
      <c r="DD70" s="10">
        <f t="shared" si="41"/>
        <v>0</v>
      </c>
      <c r="DE70" s="10">
        <f t="shared" si="41"/>
        <v>0</v>
      </c>
      <c r="DF70" s="10">
        <f t="shared" si="41"/>
        <v>0</v>
      </c>
      <c r="DG70" s="10">
        <f t="shared" si="41"/>
        <v>0</v>
      </c>
      <c r="DH70" s="10">
        <f t="shared" si="41"/>
        <v>0</v>
      </c>
      <c r="DI70" s="10">
        <f t="shared" si="41"/>
        <v>0</v>
      </c>
      <c r="DJ70" s="10">
        <f t="shared" si="41"/>
        <v>0</v>
      </c>
      <c r="DK70" s="10">
        <f t="shared" si="41"/>
        <v>0</v>
      </c>
      <c r="DL70" s="10">
        <f t="shared" si="41"/>
        <v>0</v>
      </c>
      <c r="DM70" s="10">
        <f t="shared" si="41"/>
        <v>0</v>
      </c>
      <c r="DN70" s="10">
        <f t="shared" si="41"/>
        <v>0</v>
      </c>
      <c r="DO70" s="10">
        <f t="shared" si="41"/>
        <v>0</v>
      </c>
      <c r="DP70" s="10">
        <f t="shared" si="41"/>
        <v>0</v>
      </c>
      <c r="DQ70" s="10">
        <f t="shared" si="41"/>
        <v>0</v>
      </c>
      <c r="DR70" s="10">
        <f t="shared" si="41"/>
        <v>0</v>
      </c>
      <c r="DS70" s="10">
        <f t="shared" si="41"/>
        <v>0</v>
      </c>
      <c r="DT70" s="10">
        <f t="shared" si="41"/>
        <v>0</v>
      </c>
      <c r="DU70" s="10">
        <f t="shared" si="41"/>
        <v>0</v>
      </c>
      <c r="DV70" s="10">
        <f t="shared" si="41"/>
        <v>0</v>
      </c>
      <c r="DW70" s="10">
        <f t="shared" si="41"/>
        <v>0</v>
      </c>
      <c r="DX70" s="10">
        <f t="shared" si="41"/>
        <v>0</v>
      </c>
      <c r="DY70" s="10">
        <f t="shared" si="41"/>
        <v>0</v>
      </c>
      <c r="DZ70" s="10">
        <f t="shared" si="41"/>
        <v>0</v>
      </c>
      <c r="EA70" s="10">
        <f t="shared" si="41"/>
        <v>0</v>
      </c>
      <c r="EB70" s="10">
        <f t="shared" si="41"/>
        <v>0</v>
      </c>
      <c r="EC70" s="10">
        <f t="shared" si="41"/>
        <v>0</v>
      </c>
      <c r="ED70" s="10">
        <f t="shared" si="41"/>
        <v>0</v>
      </c>
      <c r="EE70" s="10">
        <f t="shared" si="41"/>
        <v>0</v>
      </c>
      <c r="EF70" s="10">
        <f t="shared" si="41"/>
        <v>0</v>
      </c>
      <c r="EG70" s="10">
        <f t="shared" si="41"/>
        <v>0</v>
      </c>
      <c r="EH70" s="10">
        <f t="shared" si="41"/>
        <v>0</v>
      </c>
      <c r="EI70" s="10">
        <f t="shared" si="41"/>
        <v>0</v>
      </c>
      <c r="EJ70" s="10">
        <f t="shared" si="41"/>
        <v>0</v>
      </c>
      <c r="EK70" s="10">
        <f t="shared" si="41"/>
        <v>0</v>
      </c>
      <c r="EL70" s="10">
        <f t="shared" si="41"/>
        <v>0</v>
      </c>
      <c r="EM70" s="10">
        <f t="shared" si="41"/>
        <v>0</v>
      </c>
      <c r="EN70" s="10">
        <f t="shared" si="41"/>
        <v>0</v>
      </c>
      <c r="EO70" s="10">
        <f t="shared" si="41"/>
        <v>0</v>
      </c>
      <c r="EP70" s="10">
        <f t="shared" si="41"/>
        <v>0</v>
      </c>
      <c r="EQ70" s="10">
        <f t="shared" si="41"/>
        <v>0</v>
      </c>
      <c r="ER70" s="10">
        <f t="shared" si="41"/>
        <v>0</v>
      </c>
      <c r="ES70" s="10">
        <f t="shared" si="41"/>
        <v>0</v>
      </c>
      <c r="ET70" s="10">
        <f t="shared" si="41"/>
        <v>0</v>
      </c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</row>
    <row r="71" spans="1:237" ht="12.75" customHeight="1" x14ac:dyDescent="0.25">
      <c r="C71" s="17" t="s">
        <v>32</v>
      </c>
      <c r="D71" t="s">
        <v>182</v>
      </c>
      <c r="H71" s="54" t="s">
        <v>3</v>
      </c>
      <c r="J71" s="180" t="e">
        <f>InputC!#REF!</f>
        <v>#REF!</v>
      </c>
      <c r="N71" s="25" t="e">
        <f>SUM(P71:CQ71)</f>
        <v>#REF!</v>
      </c>
      <c r="P71" s="181" t="e">
        <f>(365-$J71)/365*P70+P69</f>
        <v>#REF!</v>
      </c>
      <c r="Q71" s="181" t="e">
        <f t="shared" ref="Q71:CB71" si="42">(365-$J71)/365*Q70+Q69</f>
        <v>#REF!</v>
      </c>
      <c r="R71" s="181" t="e">
        <f t="shared" si="42"/>
        <v>#REF!</v>
      </c>
      <c r="S71" s="181" t="e">
        <f t="shared" si="42"/>
        <v>#REF!</v>
      </c>
      <c r="T71" s="181" t="e">
        <f t="shared" si="42"/>
        <v>#REF!</v>
      </c>
      <c r="U71" s="181" t="e">
        <f t="shared" si="42"/>
        <v>#REF!</v>
      </c>
      <c r="V71" s="181" t="e">
        <f t="shared" si="42"/>
        <v>#REF!</v>
      </c>
      <c r="W71" s="181" t="e">
        <f t="shared" si="42"/>
        <v>#REF!</v>
      </c>
      <c r="X71" s="181" t="e">
        <f t="shared" si="42"/>
        <v>#REF!</v>
      </c>
      <c r="Y71" s="181" t="e">
        <f t="shared" si="42"/>
        <v>#REF!</v>
      </c>
      <c r="Z71" s="181" t="e">
        <f t="shared" si="42"/>
        <v>#REF!</v>
      </c>
      <c r="AA71" s="181" t="e">
        <f t="shared" si="42"/>
        <v>#REF!</v>
      </c>
      <c r="AB71" s="181" t="e">
        <f t="shared" si="42"/>
        <v>#REF!</v>
      </c>
      <c r="AC71" s="181" t="e">
        <f t="shared" si="42"/>
        <v>#REF!</v>
      </c>
      <c r="AD71" s="181" t="e">
        <f t="shared" si="42"/>
        <v>#REF!</v>
      </c>
      <c r="AE71" s="181" t="e">
        <f t="shared" si="42"/>
        <v>#REF!</v>
      </c>
      <c r="AF71" s="181" t="e">
        <f t="shared" si="42"/>
        <v>#REF!</v>
      </c>
      <c r="AG71" s="181" t="e">
        <f t="shared" si="42"/>
        <v>#REF!</v>
      </c>
      <c r="AH71" s="181" t="e">
        <f t="shared" si="42"/>
        <v>#REF!</v>
      </c>
      <c r="AI71" s="181" t="e">
        <f t="shared" si="42"/>
        <v>#REF!</v>
      </c>
      <c r="AJ71" s="181" t="e">
        <f t="shared" si="42"/>
        <v>#REF!</v>
      </c>
      <c r="AK71" s="181" t="e">
        <f t="shared" si="42"/>
        <v>#REF!</v>
      </c>
      <c r="AL71" s="181" t="e">
        <f t="shared" si="42"/>
        <v>#REF!</v>
      </c>
      <c r="AM71" s="181" t="e">
        <f t="shared" si="42"/>
        <v>#REF!</v>
      </c>
      <c r="AN71" s="181" t="e">
        <f t="shared" si="42"/>
        <v>#REF!</v>
      </c>
      <c r="AO71" s="181" t="e">
        <f t="shared" si="42"/>
        <v>#REF!</v>
      </c>
      <c r="AP71" s="181" t="e">
        <f t="shared" si="42"/>
        <v>#REF!</v>
      </c>
      <c r="AQ71" s="181" t="e">
        <f t="shared" si="42"/>
        <v>#REF!</v>
      </c>
      <c r="AR71" s="181" t="e">
        <f t="shared" si="42"/>
        <v>#REF!</v>
      </c>
      <c r="AS71" s="181" t="e">
        <f t="shared" si="42"/>
        <v>#REF!</v>
      </c>
      <c r="AT71" s="181" t="e">
        <f t="shared" si="42"/>
        <v>#REF!</v>
      </c>
      <c r="AU71" s="181" t="e">
        <f t="shared" si="42"/>
        <v>#REF!</v>
      </c>
      <c r="AV71" s="181" t="e">
        <f t="shared" si="42"/>
        <v>#REF!</v>
      </c>
      <c r="AW71" s="181" t="e">
        <f t="shared" si="42"/>
        <v>#REF!</v>
      </c>
      <c r="AX71" s="181" t="e">
        <f t="shared" si="42"/>
        <v>#REF!</v>
      </c>
      <c r="AY71" s="181" t="e">
        <f t="shared" si="42"/>
        <v>#REF!</v>
      </c>
      <c r="AZ71" s="181" t="e">
        <f t="shared" si="42"/>
        <v>#REF!</v>
      </c>
      <c r="BA71" s="181" t="e">
        <f t="shared" si="42"/>
        <v>#REF!</v>
      </c>
      <c r="BB71" s="181" t="e">
        <f t="shared" si="42"/>
        <v>#REF!</v>
      </c>
      <c r="BC71" s="181" t="e">
        <f t="shared" si="42"/>
        <v>#REF!</v>
      </c>
      <c r="BD71" s="181" t="e">
        <f t="shared" si="42"/>
        <v>#REF!</v>
      </c>
      <c r="BE71" s="181" t="e">
        <f t="shared" si="42"/>
        <v>#REF!</v>
      </c>
      <c r="BF71" s="181" t="e">
        <f t="shared" si="42"/>
        <v>#REF!</v>
      </c>
      <c r="BG71" s="181" t="e">
        <f t="shared" si="42"/>
        <v>#REF!</v>
      </c>
      <c r="BH71" s="181" t="e">
        <f t="shared" si="42"/>
        <v>#REF!</v>
      </c>
      <c r="BI71" s="181" t="e">
        <f t="shared" si="42"/>
        <v>#REF!</v>
      </c>
      <c r="BJ71" s="181" t="e">
        <f t="shared" si="42"/>
        <v>#REF!</v>
      </c>
      <c r="BK71" s="181" t="e">
        <f t="shared" si="42"/>
        <v>#REF!</v>
      </c>
      <c r="BL71" s="181" t="e">
        <f t="shared" si="42"/>
        <v>#REF!</v>
      </c>
      <c r="BM71" s="181" t="e">
        <f t="shared" si="42"/>
        <v>#REF!</v>
      </c>
      <c r="BN71" s="181" t="e">
        <f t="shared" si="42"/>
        <v>#REF!</v>
      </c>
      <c r="BO71" s="181" t="e">
        <f t="shared" si="42"/>
        <v>#REF!</v>
      </c>
      <c r="BP71" s="181" t="e">
        <f t="shared" si="42"/>
        <v>#REF!</v>
      </c>
      <c r="BQ71" s="181" t="e">
        <f t="shared" si="42"/>
        <v>#REF!</v>
      </c>
      <c r="BR71" s="181" t="e">
        <f t="shared" si="42"/>
        <v>#REF!</v>
      </c>
      <c r="BS71" s="181" t="e">
        <f t="shared" si="42"/>
        <v>#REF!</v>
      </c>
      <c r="BT71" s="181" t="e">
        <f t="shared" si="42"/>
        <v>#REF!</v>
      </c>
      <c r="BU71" s="181" t="e">
        <f t="shared" si="42"/>
        <v>#REF!</v>
      </c>
      <c r="BV71" s="181" t="e">
        <f t="shared" si="42"/>
        <v>#REF!</v>
      </c>
      <c r="BW71" s="181" t="e">
        <f t="shared" si="42"/>
        <v>#REF!</v>
      </c>
      <c r="BX71" s="181" t="e">
        <f t="shared" si="42"/>
        <v>#REF!</v>
      </c>
      <c r="BY71" s="181" t="e">
        <f t="shared" si="42"/>
        <v>#REF!</v>
      </c>
      <c r="BZ71" s="181" t="e">
        <f t="shared" si="42"/>
        <v>#REF!</v>
      </c>
      <c r="CA71" s="181" t="e">
        <f t="shared" si="42"/>
        <v>#REF!</v>
      </c>
      <c r="CB71" s="181" t="e">
        <f t="shared" si="42"/>
        <v>#REF!</v>
      </c>
      <c r="CC71" s="181" t="e">
        <f t="shared" ref="CC71:CQ71" si="43">(365-$J71)/365*CC70+CC69</f>
        <v>#REF!</v>
      </c>
      <c r="CD71" s="181" t="e">
        <f t="shared" si="43"/>
        <v>#REF!</v>
      </c>
      <c r="CE71" s="181" t="e">
        <f t="shared" si="43"/>
        <v>#REF!</v>
      </c>
      <c r="CF71" s="181" t="e">
        <f t="shared" si="43"/>
        <v>#REF!</v>
      </c>
      <c r="CG71" s="181" t="e">
        <f t="shared" si="43"/>
        <v>#REF!</v>
      </c>
      <c r="CH71" s="181" t="e">
        <f t="shared" si="43"/>
        <v>#REF!</v>
      </c>
      <c r="CI71" s="181" t="e">
        <f t="shared" si="43"/>
        <v>#REF!</v>
      </c>
      <c r="CJ71" s="181" t="e">
        <f t="shared" si="43"/>
        <v>#REF!</v>
      </c>
      <c r="CK71" s="181" t="e">
        <f t="shared" si="43"/>
        <v>#REF!</v>
      </c>
      <c r="CL71" s="181" t="e">
        <f t="shared" si="43"/>
        <v>#REF!</v>
      </c>
      <c r="CM71" s="181" t="e">
        <f t="shared" si="43"/>
        <v>#REF!</v>
      </c>
      <c r="CN71" s="181" t="e">
        <f t="shared" si="43"/>
        <v>#REF!</v>
      </c>
      <c r="CO71" s="181" t="e">
        <f t="shared" si="43"/>
        <v>#REF!</v>
      </c>
      <c r="CP71" s="181" t="e">
        <f t="shared" si="43"/>
        <v>#REF!</v>
      </c>
      <c r="CQ71" s="181" t="e">
        <f t="shared" si="43"/>
        <v>#REF!</v>
      </c>
      <c r="CR71" s="181" t="e">
        <f t="shared" ref="CR71:CT71" si="44">(365-$J71)/365*CR70+CR69</f>
        <v>#REF!</v>
      </c>
      <c r="CS71" s="181" t="e">
        <f t="shared" si="44"/>
        <v>#REF!</v>
      </c>
      <c r="CT71" s="181" t="e">
        <f t="shared" si="44"/>
        <v>#REF!</v>
      </c>
      <c r="CU71" s="181" t="e">
        <f>(CU69+(#REF!-$K71)/#REF!*CU70)</f>
        <v>#REF!</v>
      </c>
      <c r="CV71" s="181" t="e">
        <f>(CV69+(#REF!-$K71)/#REF!*CV70)</f>
        <v>#REF!</v>
      </c>
      <c r="CW71" s="181" t="e">
        <f>(CW69+(#REF!-$K71)/#REF!*CW70)</f>
        <v>#REF!</v>
      </c>
      <c r="CX71" s="181" t="e">
        <f>(CX69+(#REF!-$K71)/#REF!*CX70)</f>
        <v>#REF!</v>
      </c>
      <c r="CY71" s="181" t="e">
        <f>(CY69+(#REF!-$K71)/#REF!*CY70)</f>
        <v>#REF!</v>
      </c>
      <c r="CZ71" s="181" t="e">
        <f>(CZ69+(#REF!-$K71)/#REF!*CZ70)</f>
        <v>#REF!</v>
      </c>
      <c r="DA71" s="181" t="e">
        <f>(DA69+(#REF!-$K71)/#REF!*DA70)</f>
        <v>#REF!</v>
      </c>
      <c r="DB71" s="181" t="e">
        <f>(DB69+(#REF!-$K71)/#REF!*DB70)</f>
        <v>#REF!</v>
      </c>
      <c r="DC71" s="181" t="e">
        <f>(DC69+(#REF!-$K71)/#REF!*DC70)</f>
        <v>#REF!</v>
      </c>
      <c r="DD71" s="181" t="e">
        <f>(DD69+(#REF!-$K71)/#REF!*DD70)</f>
        <v>#REF!</v>
      </c>
      <c r="DE71" s="181" t="e">
        <f>(DE69+(#REF!-$K71)/#REF!*DE70)</f>
        <v>#REF!</v>
      </c>
      <c r="DF71" s="181" t="e">
        <f>(DF69+(#REF!-$K71)/#REF!*DF70)</f>
        <v>#REF!</v>
      </c>
      <c r="DG71" s="181" t="e">
        <f>(DG69+(#REF!-$K71)/#REF!*DG70)</f>
        <v>#REF!</v>
      </c>
      <c r="DH71" s="181" t="e">
        <f>(DH69+(#REF!-$K71)/#REF!*DH70)</f>
        <v>#REF!</v>
      </c>
      <c r="DI71" s="181" t="e">
        <f>(DI69+(#REF!-$K71)/#REF!*DI70)</f>
        <v>#REF!</v>
      </c>
      <c r="DJ71" s="181" t="e">
        <f>(DJ69+(#REF!-$K71)/#REF!*DJ70)</f>
        <v>#REF!</v>
      </c>
      <c r="DK71" s="181" t="e">
        <f>(DK69+(#REF!-$K71)/#REF!*DK70)</f>
        <v>#REF!</v>
      </c>
      <c r="DL71" s="181" t="e">
        <f>(DL69+(#REF!-$K71)/#REF!*DL70)</f>
        <v>#REF!</v>
      </c>
      <c r="DM71" s="181" t="e">
        <f>(DM69+(#REF!-$K71)/#REF!*DM70)</f>
        <v>#REF!</v>
      </c>
      <c r="DN71" s="181" t="e">
        <f>(DN69+(#REF!-$K71)/#REF!*DN70)</f>
        <v>#REF!</v>
      </c>
      <c r="DO71" s="181" t="e">
        <f>(DO69+(#REF!-$K71)/#REF!*DO70)</f>
        <v>#REF!</v>
      </c>
      <c r="DP71" s="181" t="e">
        <f>(DP69+(#REF!-$K71)/#REF!*DP70)</f>
        <v>#REF!</v>
      </c>
      <c r="DQ71" s="181" t="e">
        <f>(DQ69+(#REF!-$K71)/#REF!*DQ70)</f>
        <v>#REF!</v>
      </c>
      <c r="DR71" s="181" t="e">
        <f>(DR69+(#REF!-$K71)/#REF!*DR70)</f>
        <v>#REF!</v>
      </c>
      <c r="DS71" s="181" t="e">
        <f>(DS69+(#REF!-$K71)/#REF!*DS70)</f>
        <v>#REF!</v>
      </c>
      <c r="DT71" s="181" t="e">
        <f>(DT69+(#REF!-$K71)/#REF!*DT70)</f>
        <v>#REF!</v>
      </c>
      <c r="DU71" s="181" t="e">
        <f>(DU69+(#REF!-$K71)/#REF!*DU70)</f>
        <v>#REF!</v>
      </c>
      <c r="DV71" s="181" t="e">
        <f>(DV69+(#REF!-$K71)/#REF!*DV70)</f>
        <v>#REF!</v>
      </c>
      <c r="DW71" s="181" t="e">
        <f>(DW69+(#REF!-$K71)/#REF!*DW70)</f>
        <v>#REF!</v>
      </c>
      <c r="DX71" s="181" t="e">
        <f>(DX69+(#REF!-$K71)/#REF!*DX70)</f>
        <v>#REF!</v>
      </c>
      <c r="DY71" s="181" t="e">
        <f>(DY69+(#REF!-$K71)/#REF!*DY70)</f>
        <v>#REF!</v>
      </c>
      <c r="DZ71" s="181" t="e">
        <f>(DZ69+(#REF!-$K71)/#REF!*DZ70)</f>
        <v>#REF!</v>
      </c>
      <c r="EA71" s="181" t="e">
        <f>(EA69+(#REF!-$K71)/#REF!*EA70)</f>
        <v>#REF!</v>
      </c>
      <c r="EB71" s="181" t="e">
        <f>(EB69+(#REF!-$K71)/#REF!*EB70)</f>
        <v>#REF!</v>
      </c>
      <c r="EC71" s="181" t="e">
        <f>(EC69+(#REF!-$K71)/#REF!*EC70)</f>
        <v>#REF!</v>
      </c>
      <c r="ED71" s="181" t="e">
        <f>(ED69+(#REF!-$K71)/#REF!*ED70)</f>
        <v>#REF!</v>
      </c>
      <c r="EE71" s="181" t="e">
        <f>(EE69+(#REF!-$K71)/#REF!*EE70)</f>
        <v>#REF!</v>
      </c>
      <c r="EF71" s="181" t="e">
        <f>(EF69+(#REF!-$K71)/#REF!*EF70)</f>
        <v>#REF!</v>
      </c>
      <c r="EG71" s="181" t="e">
        <f>(EG69+(#REF!-$K71)/#REF!*EG70)</f>
        <v>#REF!</v>
      </c>
      <c r="EH71" s="181" t="e">
        <f>(EH69+(#REF!-$K71)/#REF!*EH70)</f>
        <v>#REF!</v>
      </c>
      <c r="EI71" s="181" t="e">
        <f>(EI69+(#REF!-$K71)/#REF!*EI70)</f>
        <v>#REF!</v>
      </c>
      <c r="EJ71" s="181" t="e">
        <f>(EJ69+(#REF!-$K71)/#REF!*EJ70)</f>
        <v>#REF!</v>
      </c>
      <c r="EK71" s="181" t="e">
        <f>(EK69+(#REF!-$K71)/#REF!*EK70)</f>
        <v>#REF!</v>
      </c>
      <c r="EL71" s="181" t="e">
        <f>(EL69+(#REF!-$K71)/#REF!*EL70)</f>
        <v>#REF!</v>
      </c>
      <c r="EM71" s="181" t="e">
        <f>(EM69+(#REF!-$K71)/#REF!*EM70)</f>
        <v>#REF!</v>
      </c>
      <c r="EN71" s="181" t="e">
        <f>(EN69+(#REF!-$K71)/#REF!*EN70)</f>
        <v>#REF!</v>
      </c>
      <c r="EO71" s="181" t="e">
        <f>(EO69+(#REF!-$K71)/#REF!*EO70)</f>
        <v>#REF!</v>
      </c>
      <c r="EP71" s="181" t="e">
        <f>(EP69+(#REF!-$K71)/#REF!*EP70)</f>
        <v>#REF!</v>
      </c>
      <c r="EQ71" s="181" t="e">
        <f>(EQ69+(#REF!-$K71)/#REF!*EQ70)</f>
        <v>#REF!</v>
      </c>
      <c r="ER71" s="181" t="e">
        <f>(ER69+(#REF!-$K71)/#REF!*ER70)</f>
        <v>#REF!</v>
      </c>
      <c r="ES71" s="181" t="e">
        <f>(ES69+(#REF!-$K71)/#REF!*ES70)</f>
        <v>#REF!</v>
      </c>
      <c r="ET71" s="181" t="e">
        <f>(ET69+(#REF!-$K71)/#REF!*ET70)</f>
        <v>#REF!</v>
      </c>
      <c r="EU71" s="182"/>
      <c r="EV71" s="182"/>
      <c r="EW71" s="182"/>
      <c r="EX71" s="182"/>
      <c r="EY71" s="182"/>
      <c r="EZ71" s="182"/>
      <c r="FA71" s="182"/>
      <c r="FB71" s="182"/>
      <c r="FC71" s="182"/>
      <c r="FD71" s="182"/>
      <c r="FE71" s="182"/>
      <c r="FF71" s="182"/>
      <c r="FG71" s="182"/>
      <c r="FH71" s="182"/>
      <c r="FI71" s="182"/>
      <c r="FJ71" s="182"/>
      <c r="FK71" s="182"/>
      <c r="FL71" s="182"/>
      <c r="FM71" s="182"/>
      <c r="FN71" s="182"/>
      <c r="FO71" s="182"/>
      <c r="FP71" s="182"/>
      <c r="FQ71" s="182"/>
      <c r="FR71" s="182"/>
      <c r="FS71" s="182"/>
      <c r="FT71" s="182"/>
      <c r="FU71" s="182"/>
      <c r="FV71" s="182"/>
      <c r="FW71" s="182"/>
      <c r="FX71" s="182"/>
      <c r="FY71" s="182"/>
      <c r="FZ71" s="182"/>
      <c r="GA71" s="182"/>
      <c r="GB71" s="182"/>
      <c r="GC71" s="182"/>
      <c r="GD71" s="182"/>
      <c r="GE71" s="182"/>
      <c r="GF71" s="182"/>
      <c r="GG71" s="182"/>
      <c r="GH71" s="182"/>
      <c r="GI71" s="182"/>
      <c r="GJ71" s="182"/>
      <c r="GK71" s="182"/>
      <c r="GL71" s="182"/>
      <c r="GM71" s="182"/>
      <c r="GN71" s="182"/>
      <c r="GO71" s="182"/>
      <c r="GP71" s="182"/>
      <c r="GQ71" s="182"/>
      <c r="GR71" s="182"/>
      <c r="GS71" s="182"/>
      <c r="GT71" s="182"/>
      <c r="GU71" s="182"/>
      <c r="GV71" s="182"/>
      <c r="GW71" s="182"/>
      <c r="GX71" s="182"/>
      <c r="GY71" s="182"/>
      <c r="GZ71" s="182"/>
      <c r="HA71" s="182"/>
      <c r="HB71" s="182"/>
      <c r="HC71" s="182"/>
      <c r="HD71" s="182"/>
      <c r="HE71" s="182"/>
      <c r="HF71" s="182"/>
      <c r="HG71" s="182"/>
      <c r="HH71" s="182"/>
      <c r="HI71" s="182"/>
      <c r="HJ71" s="182"/>
      <c r="HK71" s="182"/>
      <c r="HL71" s="182"/>
      <c r="HM71" s="182"/>
      <c r="HN71" s="182"/>
      <c r="HO71" s="182"/>
      <c r="HP71" s="182"/>
      <c r="HQ71" s="182"/>
      <c r="HR71" s="182"/>
      <c r="HS71" s="182"/>
      <c r="HT71" s="182"/>
      <c r="HU71" s="182"/>
      <c r="HV71" s="182"/>
      <c r="HW71" s="182"/>
      <c r="HX71" s="182"/>
      <c r="HY71" s="182"/>
      <c r="HZ71" s="182"/>
      <c r="IA71" s="182"/>
      <c r="IB71" s="182"/>
      <c r="IC71" s="182"/>
    </row>
    <row r="72" spans="1:237" ht="12.75" customHeight="1" x14ac:dyDescent="0.25">
      <c r="C72" s="184" t="s">
        <v>183</v>
      </c>
      <c r="H72" s="54" t="s">
        <v>3</v>
      </c>
      <c r="N72" s="148"/>
      <c r="P72" s="10" t="e">
        <f t="shared" ref="P72:CA72" si="45">P69+P70-P71</f>
        <v>#REF!</v>
      </c>
      <c r="Q72" s="10" t="e">
        <f t="shared" si="45"/>
        <v>#REF!</v>
      </c>
      <c r="R72" s="10" t="e">
        <f t="shared" si="45"/>
        <v>#REF!</v>
      </c>
      <c r="S72" s="10" t="e">
        <f t="shared" si="45"/>
        <v>#REF!</v>
      </c>
      <c r="T72" s="10" t="e">
        <f t="shared" si="45"/>
        <v>#REF!</v>
      </c>
      <c r="U72" s="10" t="e">
        <f t="shared" si="45"/>
        <v>#REF!</v>
      </c>
      <c r="V72" s="10" t="e">
        <f t="shared" si="45"/>
        <v>#REF!</v>
      </c>
      <c r="W72" s="10" t="e">
        <f t="shared" si="45"/>
        <v>#REF!</v>
      </c>
      <c r="X72" s="10" t="e">
        <f t="shared" si="45"/>
        <v>#REF!</v>
      </c>
      <c r="Y72" s="10" t="e">
        <f t="shared" si="45"/>
        <v>#REF!</v>
      </c>
      <c r="Z72" s="10" t="e">
        <f t="shared" si="45"/>
        <v>#REF!</v>
      </c>
      <c r="AA72" s="10" t="e">
        <f t="shared" si="45"/>
        <v>#REF!</v>
      </c>
      <c r="AB72" s="10" t="e">
        <f t="shared" si="45"/>
        <v>#REF!</v>
      </c>
      <c r="AC72" s="10" t="e">
        <f t="shared" si="45"/>
        <v>#REF!</v>
      </c>
      <c r="AD72" s="10" t="e">
        <f t="shared" si="45"/>
        <v>#REF!</v>
      </c>
      <c r="AE72" s="10" t="e">
        <f t="shared" si="45"/>
        <v>#REF!</v>
      </c>
      <c r="AF72" s="10" t="e">
        <f t="shared" si="45"/>
        <v>#REF!</v>
      </c>
      <c r="AG72" s="10" t="e">
        <f t="shared" si="45"/>
        <v>#REF!</v>
      </c>
      <c r="AH72" s="10" t="e">
        <f t="shared" si="45"/>
        <v>#REF!</v>
      </c>
      <c r="AI72" s="10" t="e">
        <f t="shared" si="45"/>
        <v>#REF!</v>
      </c>
      <c r="AJ72" s="10" t="e">
        <f t="shared" si="45"/>
        <v>#REF!</v>
      </c>
      <c r="AK72" s="10" t="e">
        <f t="shared" si="45"/>
        <v>#REF!</v>
      </c>
      <c r="AL72" s="10" t="e">
        <f t="shared" si="45"/>
        <v>#REF!</v>
      </c>
      <c r="AM72" s="10" t="e">
        <f t="shared" si="45"/>
        <v>#REF!</v>
      </c>
      <c r="AN72" s="10" t="e">
        <f t="shared" si="45"/>
        <v>#REF!</v>
      </c>
      <c r="AO72" s="10" t="e">
        <f t="shared" si="45"/>
        <v>#REF!</v>
      </c>
      <c r="AP72" s="10" t="e">
        <f t="shared" si="45"/>
        <v>#REF!</v>
      </c>
      <c r="AQ72" s="10" t="e">
        <f t="shared" si="45"/>
        <v>#REF!</v>
      </c>
      <c r="AR72" s="10" t="e">
        <f t="shared" si="45"/>
        <v>#REF!</v>
      </c>
      <c r="AS72" s="10" t="e">
        <f t="shared" si="45"/>
        <v>#REF!</v>
      </c>
      <c r="AT72" s="10" t="e">
        <f t="shared" si="45"/>
        <v>#REF!</v>
      </c>
      <c r="AU72" s="10" t="e">
        <f t="shared" si="45"/>
        <v>#REF!</v>
      </c>
      <c r="AV72" s="10" t="e">
        <f t="shared" si="45"/>
        <v>#REF!</v>
      </c>
      <c r="AW72" s="10" t="e">
        <f t="shared" si="45"/>
        <v>#REF!</v>
      </c>
      <c r="AX72" s="10" t="e">
        <f t="shared" si="45"/>
        <v>#REF!</v>
      </c>
      <c r="AY72" s="10" t="e">
        <f t="shared" si="45"/>
        <v>#REF!</v>
      </c>
      <c r="AZ72" s="10" t="e">
        <f t="shared" si="45"/>
        <v>#REF!</v>
      </c>
      <c r="BA72" s="10" t="e">
        <f t="shared" si="45"/>
        <v>#REF!</v>
      </c>
      <c r="BB72" s="10" t="e">
        <f t="shared" si="45"/>
        <v>#REF!</v>
      </c>
      <c r="BC72" s="10" t="e">
        <f t="shared" si="45"/>
        <v>#REF!</v>
      </c>
      <c r="BD72" s="10" t="e">
        <f t="shared" si="45"/>
        <v>#REF!</v>
      </c>
      <c r="BE72" s="10" t="e">
        <f t="shared" si="45"/>
        <v>#REF!</v>
      </c>
      <c r="BF72" s="10" t="e">
        <f t="shared" si="45"/>
        <v>#REF!</v>
      </c>
      <c r="BG72" s="10" t="e">
        <f t="shared" si="45"/>
        <v>#REF!</v>
      </c>
      <c r="BH72" s="10" t="e">
        <f t="shared" si="45"/>
        <v>#REF!</v>
      </c>
      <c r="BI72" s="10" t="e">
        <f t="shared" si="45"/>
        <v>#REF!</v>
      </c>
      <c r="BJ72" s="10" t="e">
        <f t="shared" si="45"/>
        <v>#REF!</v>
      </c>
      <c r="BK72" s="10" t="e">
        <f t="shared" si="45"/>
        <v>#REF!</v>
      </c>
      <c r="BL72" s="10" t="e">
        <f t="shared" si="45"/>
        <v>#REF!</v>
      </c>
      <c r="BM72" s="10" t="e">
        <f t="shared" si="45"/>
        <v>#REF!</v>
      </c>
      <c r="BN72" s="10" t="e">
        <f t="shared" si="45"/>
        <v>#REF!</v>
      </c>
      <c r="BO72" s="10" t="e">
        <f t="shared" si="45"/>
        <v>#REF!</v>
      </c>
      <c r="BP72" s="10" t="e">
        <f t="shared" si="45"/>
        <v>#REF!</v>
      </c>
      <c r="BQ72" s="10" t="e">
        <f t="shared" si="45"/>
        <v>#REF!</v>
      </c>
      <c r="BR72" s="10" t="e">
        <f t="shared" si="45"/>
        <v>#REF!</v>
      </c>
      <c r="BS72" s="10" t="e">
        <f t="shared" si="45"/>
        <v>#REF!</v>
      </c>
      <c r="BT72" s="10" t="e">
        <f t="shared" si="45"/>
        <v>#REF!</v>
      </c>
      <c r="BU72" s="10" t="e">
        <f t="shared" si="45"/>
        <v>#REF!</v>
      </c>
      <c r="BV72" s="10" t="e">
        <f t="shared" si="45"/>
        <v>#REF!</v>
      </c>
      <c r="BW72" s="10" t="e">
        <f t="shared" si="45"/>
        <v>#REF!</v>
      </c>
      <c r="BX72" s="10" t="e">
        <f t="shared" si="45"/>
        <v>#REF!</v>
      </c>
      <c r="BY72" s="10" t="e">
        <f t="shared" si="45"/>
        <v>#REF!</v>
      </c>
      <c r="BZ72" s="10" t="e">
        <f t="shared" si="45"/>
        <v>#REF!</v>
      </c>
      <c r="CA72" s="10" t="e">
        <f t="shared" si="45"/>
        <v>#REF!</v>
      </c>
      <c r="CB72" s="10" t="e">
        <f t="shared" ref="CB72:EM72" si="46">CB69+CB70-CB71</f>
        <v>#REF!</v>
      </c>
      <c r="CC72" s="10" t="e">
        <f t="shared" si="46"/>
        <v>#REF!</v>
      </c>
      <c r="CD72" s="10" t="e">
        <f t="shared" si="46"/>
        <v>#REF!</v>
      </c>
      <c r="CE72" s="10" t="e">
        <f t="shared" si="46"/>
        <v>#REF!</v>
      </c>
      <c r="CF72" s="10" t="e">
        <f t="shared" si="46"/>
        <v>#REF!</v>
      </c>
      <c r="CG72" s="10" t="e">
        <f t="shared" si="46"/>
        <v>#REF!</v>
      </c>
      <c r="CH72" s="10" t="e">
        <f t="shared" si="46"/>
        <v>#REF!</v>
      </c>
      <c r="CI72" s="10" t="e">
        <f t="shared" si="46"/>
        <v>#REF!</v>
      </c>
      <c r="CJ72" s="10" t="e">
        <f t="shared" si="46"/>
        <v>#REF!</v>
      </c>
      <c r="CK72" s="10" t="e">
        <f t="shared" si="46"/>
        <v>#REF!</v>
      </c>
      <c r="CL72" s="10" t="e">
        <f t="shared" si="46"/>
        <v>#REF!</v>
      </c>
      <c r="CM72" s="10" t="e">
        <f t="shared" si="46"/>
        <v>#REF!</v>
      </c>
      <c r="CN72" s="10" t="e">
        <f t="shared" si="46"/>
        <v>#REF!</v>
      </c>
      <c r="CO72" s="10" t="e">
        <f t="shared" si="46"/>
        <v>#REF!</v>
      </c>
      <c r="CP72" s="10" t="e">
        <f t="shared" si="46"/>
        <v>#REF!</v>
      </c>
      <c r="CQ72" s="10" t="e">
        <f t="shared" si="46"/>
        <v>#REF!</v>
      </c>
      <c r="CR72" s="10" t="e">
        <f t="shared" ref="CR72:CT72" si="47">CR69+CR70-CR71</f>
        <v>#REF!</v>
      </c>
      <c r="CS72" s="10" t="e">
        <f t="shared" si="47"/>
        <v>#REF!</v>
      </c>
      <c r="CT72" s="10" t="e">
        <f t="shared" si="47"/>
        <v>#REF!</v>
      </c>
      <c r="CU72" s="10" t="e">
        <f t="shared" si="46"/>
        <v>#REF!</v>
      </c>
      <c r="CV72" s="10" t="e">
        <f t="shared" si="46"/>
        <v>#REF!</v>
      </c>
      <c r="CW72" s="10" t="e">
        <f t="shared" si="46"/>
        <v>#REF!</v>
      </c>
      <c r="CX72" s="10" t="e">
        <f t="shared" si="46"/>
        <v>#REF!</v>
      </c>
      <c r="CY72" s="10" t="e">
        <f t="shared" si="46"/>
        <v>#REF!</v>
      </c>
      <c r="CZ72" s="10" t="e">
        <f t="shared" si="46"/>
        <v>#REF!</v>
      </c>
      <c r="DA72" s="10" t="e">
        <f t="shared" si="46"/>
        <v>#REF!</v>
      </c>
      <c r="DB72" s="10" t="e">
        <f t="shared" si="46"/>
        <v>#REF!</v>
      </c>
      <c r="DC72" s="10" t="e">
        <f t="shared" si="46"/>
        <v>#REF!</v>
      </c>
      <c r="DD72" s="10" t="e">
        <f t="shared" si="46"/>
        <v>#REF!</v>
      </c>
      <c r="DE72" s="10" t="e">
        <f t="shared" si="46"/>
        <v>#REF!</v>
      </c>
      <c r="DF72" s="10" t="e">
        <f t="shared" si="46"/>
        <v>#REF!</v>
      </c>
      <c r="DG72" s="10" t="e">
        <f t="shared" si="46"/>
        <v>#REF!</v>
      </c>
      <c r="DH72" s="10" t="e">
        <f t="shared" si="46"/>
        <v>#REF!</v>
      </c>
      <c r="DI72" s="10" t="e">
        <f t="shared" si="46"/>
        <v>#REF!</v>
      </c>
      <c r="DJ72" s="10" t="e">
        <f t="shared" si="46"/>
        <v>#REF!</v>
      </c>
      <c r="DK72" s="10" t="e">
        <f t="shared" si="46"/>
        <v>#REF!</v>
      </c>
      <c r="DL72" s="10" t="e">
        <f t="shared" si="46"/>
        <v>#REF!</v>
      </c>
      <c r="DM72" s="10" t="e">
        <f t="shared" si="46"/>
        <v>#REF!</v>
      </c>
      <c r="DN72" s="10" t="e">
        <f t="shared" si="46"/>
        <v>#REF!</v>
      </c>
      <c r="DO72" s="10" t="e">
        <f t="shared" si="46"/>
        <v>#REF!</v>
      </c>
      <c r="DP72" s="10" t="e">
        <f t="shared" si="46"/>
        <v>#REF!</v>
      </c>
      <c r="DQ72" s="10" t="e">
        <f t="shared" si="46"/>
        <v>#REF!</v>
      </c>
      <c r="DR72" s="10" t="e">
        <f t="shared" si="46"/>
        <v>#REF!</v>
      </c>
      <c r="DS72" s="10" t="e">
        <f t="shared" si="46"/>
        <v>#REF!</v>
      </c>
      <c r="DT72" s="10" t="e">
        <f t="shared" si="46"/>
        <v>#REF!</v>
      </c>
      <c r="DU72" s="10" t="e">
        <f t="shared" si="46"/>
        <v>#REF!</v>
      </c>
      <c r="DV72" s="10" t="e">
        <f t="shared" si="46"/>
        <v>#REF!</v>
      </c>
      <c r="DW72" s="10" t="e">
        <f t="shared" si="46"/>
        <v>#REF!</v>
      </c>
      <c r="DX72" s="10" t="e">
        <f t="shared" si="46"/>
        <v>#REF!</v>
      </c>
      <c r="DY72" s="10" t="e">
        <f t="shared" si="46"/>
        <v>#REF!</v>
      </c>
      <c r="DZ72" s="10" t="e">
        <f t="shared" si="46"/>
        <v>#REF!</v>
      </c>
      <c r="EA72" s="10" t="e">
        <f t="shared" si="46"/>
        <v>#REF!</v>
      </c>
      <c r="EB72" s="10" t="e">
        <f t="shared" si="46"/>
        <v>#REF!</v>
      </c>
      <c r="EC72" s="10" t="e">
        <f t="shared" si="46"/>
        <v>#REF!</v>
      </c>
      <c r="ED72" s="10" t="e">
        <f t="shared" si="46"/>
        <v>#REF!</v>
      </c>
      <c r="EE72" s="10" t="e">
        <f t="shared" si="46"/>
        <v>#REF!</v>
      </c>
      <c r="EF72" s="10" t="e">
        <f t="shared" si="46"/>
        <v>#REF!</v>
      </c>
      <c r="EG72" s="10" t="e">
        <f t="shared" si="46"/>
        <v>#REF!</v>
      </c>
      <c r="EH72" s="10" t="e">
        <f t="shared" si="46"/>
        <v>#REF!</v>
      </c>
      <c r="EI72" s="10" t="e">
        <f t="shared" si="46"/>
        <v>#REF!</v>
      </c>
      <c r="EJ72" s="10" t="e">
        <f t="shared" si="46"/>
        <v>#REF!</v>
      </c>
      <c r="EK72" s="10" t="e">
        <f t="shared" si="46"/>
        <v>#REF!</v>
      </c>
      <c r="EL72" s="10" t="e">
        <f t="shared" si="46"/>
        <v>#REF!</v>
      </c>
      <c r="EM72" s="10" t="e">
        <f t="shared" si="46"/>
        <v>#REF!</v>
      </c>
      <c r="EN72" s="10" t="e">
        <f t="shared" ref="EN72:ET72" si="48">EN69+EN70-EN71</f>
        <v>#REF!</v>
      </c>
      <c r="EO72" s="10" t="e">
        <f t="shared" si="48"/>
        <v>#REF!</v>
      </c>
      <c r="EP72" s="10" t="e">
        <f t="shared" si="48"/>
        <v>#REF!</v>
      </c>
      <c r="EQ72" s="10" t="e">
        <f t="shared" si="48"/>
        <v>#REF!</v>
      </c>
      <c r="ER72" s="10" t="e">
        <f t="shared" si="48"/>
        <v>#REF!</v>
      </c>
      <c r="ES72" s="10" t="e">
        <f t="shared" si="48"/>
        <v>#REF!</v>
      </c>
      <c r="ET72" s="10" t="e">
        <f t="shared" si="48"/>
        <v>#REF!</v>
      </c>
      <c r="EU72" s="51"/>
      <c r="EV72" s="51"/>
      <c r="EW72" s="51"/>
      <c r="EX72" s="51"/>
      <c r="EY72" s="51"/>
      <c r="EZ72" s="51"/>
      <c r="FA72" s="51"/>
      <c r="FB72" s="51"/>
      <c r="FC72" s="51"/>
      <c r="FD72" s="51"/>
      <c r="FE72" s="51"/>
      <c r="FF72" s="51"/>
      <c r="FG72" s="51"/>
      <c r="FH72" s="51"/>
      <c r="FI72" s="51"/>
      <c r="FJ72" s="51"/>
      <c r="FK72" s="51"/>
      <c r="FL72" s="51"/>
      <c r="FM72" s="51"/>
      <c r="FN72" s="51"/>
      <c r="FO72" s="51"/>
      <c r="FP72" s="51"/>
      <c r="FQ72" s="51"/>
      <c r="FR72" s="51"/>
      <c r="FS72" s="51"/>
      <c r="FT72" s="51"/>
      <c r="FU72" s="51"/>
      <c r="FV72" s="51"/>
      <c r="FW72" s="51"/>
      <c r="FX72" s="51"/>
      <c r="FY72" s="51"/>
      <c r="FZ72" s="51"/>
      <c r="GA72" s="51"/>
      <c r="GB72" s="51"/>
      <c r="GC72" s="51"/>
      <c r="GD72" s="51"/>
      <c r="GE72" s="51"/>
      <c r="GF72" s="51"/>
      <c r="GG72" s="51"/>
      <c r="GH72" s="51"/>
      <c r="GI72" s="51"/>
      <c r="GJ72" s="51"/>
      <c r="GK72" s="51"/>
      <c r="GL72" s="51"/>
      <c r="GM72" s="51"/>
      <c r="GN72" s="51"/>
      <c r="GO72" s="51"/>
      <c r="GP72" s="51"/>
      <c r="GQ72" s="51"/>
      <c r="GR72" s="51"/>
      <c r="GS72" s="51"/>
      <c r="GT72" s="51"/>
      <c r="GU72" s="51"/>
      <c r="GV72" s="51"/>
      <c r="GW72" s="51"/>
      <c r="GX72" s="51"/>
      <c r="GY72" s="51"/>
      <c r="GZ72" s="51"/>
      <c r="HA72" s="51"/>
      <c r="HB72" s="51"/>
      <c r="HC72" s="51"/>
      <c r="HD72" s="51"/>
      <c r="HE72" s="51"/>
      <c r="HF72" s="51"/>
      <c r="HG72" s="51"/>
      <c r="HH72" s="51"/>
      <c r="HI72" s="51"/>
      <c r="HJ72" s="51"/>
      <c r="HK72" s="51"/>
      <c r="HL72" s="51"/>
      <c r="HM72" s="51"/>
      <c r="HN72" s="51"/>
      <c r="HO72" s="51"/>
      <c r="HP72" s="51"/>
      <c r="HQ72" s="51"/>
      <c r="HR72" s="51"/>
      <c r="HS72" s="51"/>
      <c r="HT72" s="51"/>
      <c r="HU72" s="51"/>
      <c r="HV72" s="51"/>
      <c r="HW72" s="51"/>
      <c r="HX72" s="51"/>
      <c r="HY72" s="51"/>
      <c r="HZ72" s="51"/>
      <c r="IA72" s="51"/>
      <c r="IB72" s="51"/>
      <c r="IC72" s="51"/>
    </row>
    <row r="73" spans="1:237" ht="12.75" customHeight="1" x14ac:dyDescent="0.25">
      <c r="C73" s="184"/>
      <c r="H73" s="54"/>
      <c r="N73" s="148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</row>
    <row r="74" spans="1:237" ht="12.75" customHeight="1" x14ac:dyDescent="0.25">
      <c r="C74" s="184" t="s">
        <v>184</v>
      </c>
      <c r="H74" s="54" t="s">
        <v>3</v>
      </c>
      <c r="N74" s="25" t="e">
        <f>SUM(P74:CQ74)</f>
        <v>#REF!</v>
      </c>
      <c r="P74" s="10" t="e">
        <f t="shared" ref="P74:CA74" si="49">(P72-P69)</f>
        <v>#REF!</v>
      </c>
      <c r="Q74" s="10" t="e">
        <f t="shared" si="49"/>
        <v>#REF!</v>
      </c>
      <c r="R74" s="10" t="e">
        <f t="shared" si="49"/>
        <v>#REF!</v>
      </c>
      <c r="S74" s="10" t="e">
        <f t="shared" si="49"/>
        <v>#REF!</v>
      </c>
      <c r="T74" s="10" t="e">
        <f t="shared" si="49"/>
        <v>#REF!</v>
      </c>
      <c r="U74" s="10" t="e">
        <f t="shared" si="49"/>
        <v>#REF!</v>
      </c>
      <c r="V74" s="10" t="e">
        <f t="shared" si="49"/>
        <v>#REF!</v>
      </c>
      <c r="W74" s="10" t="e">
        <f t="shared" si="49"/>
        <v>#REF!</v>
      </c>
      <c r="X74" s="10" t="e">
        <f t="shared" si="49"/>
        <v>#REF!</v>
      </c>
      <c r="Y74" s="10" t="e">
        <f t="shared" si="49"/>
        <v>#REF!</v>
      </c>
      <c r="Z74" s="10" t="e">
        <f t="shared" si="49"/>
        <v>#REF!</v>
      </c>
      <c r="AA74" s="10" t="e">
        <f t="shared" si="49"/>
        <v>#REF!</v>
      </c>
      <c r="AB74" s="10" t="e">
        <f t="shared" si="49"/>
        <v>#REF!</v>
      </c>
      <c r="AC74" s="10" t="e">
        <f t="shared" si="49"/>
        <v>#REF!</v>
      </c>
      <c r="AD74" s="10" t="e">
        <f t="shared" si="49"/>
        <v>#REF!</v>
      </c>
      <c r="AE74" s="10" t="e">
        <f t="shared" si="49"/>
        <v>#REF!</v>
      </c>
      <c r="AF74" s="10" t="e">
        <f t="shared" si="49"/>
        <v>#REF!</v>
      </c>
      <c r="AG74" s="10" t="e">
        <f t="shared" si="49"/>
        <v>#REF!</v>
      </c>
      <c r="AH74" s="10" t="e">
        <f t="shared" si="49"/>
        <v>#REF!</v>
      </c>
      <c r="AI74" s="10" t="e">
        <f t="shared" si="49"/>
        <v>#REF!</v>
      </c>
      <c r="AJ74" s="10" t="e">
        <f t="shared" si="49"/>
        <v>#REF!</v>
      </c>
      <c r="AK74" s="10" t="e">
        <f t="shared" si="49"/>
        <v>#REF!</v>
      </c>
      <c r="AL74" s="10" t="e">
        <f t="shared" si="49"/>
        <v>#REF!</v>
      </c>
      <c r="AM74" s="10" t="e">
        <f t="shared" si="49"/>
        <v>#REF!</v>
      </c>
      <c r="AN74" s="10" t="e">
        <f t="shared" si="49"/>
        <v>#REF!</v>
      </c>
      <c r="AO74" s="10" t="e">
        <f t="shared" si="49"/>
        <v>#REF!</v>
      </c>
      <c r="AP74" s="10" t="e">
        <f t="shared" si="49"/>
        <v>#REF!</v>
      </c>
      <c r="AQ74" s="10" t="e">
        <f t="shared" si="49"/>
        <v>#REF!</v>
      </c>
      <c r="AR74" s="10" t="e">
        <f t="shared" si="49"/>
        <v>#REF!</v>
      </c>
      <c r="AS74" s="10" t="e">
        <f t="shared" si="49"/>
        <v>#REF!</v>
      </c>
      <c r="AT74" s="10" t="e">
        <f t="shared" si="49"/>
        <v>#REF!</v>
      </c>
      <c r="AU74" s="10" t="e">
        <f t="shared" si="49"/>
        <v>#REF!</v>
      </c>
      <c r="AV74" s="10" t="e">
        <f t="shared" si="49"/>
        <v>#REF!</v>
      </c>
      <c r="AW74" s="10" t="e">
        <f t="shared" si="49"/>
        <v>#REF!</v>
      </c>
      <c r="AX74" s="10" t="e">
        <f t="shared" si="49"/>
        <v>#REF!</v>
      </c>
      <c r="AY74" s="10" t="e">
        <f t="shared" si="49"/>
        <v>#REF!</v>
      </c>
      <c r="AZ74" s="10" t="e">
        <f t="shared" si="49"/>
        <v>#REF!</v>
      </c>
      <c r="BA74" s="10" t="e">
        <f t="shared" si="49"/>
        <v>#REF!</v>
      </c>
      <c r="BB74" s="10" t="e">
        <f t="shared" si="49"/>
        <v>#REF!</v>
      </c>
      <c r="BC74" s="10" t="e">
        <f t="shared" si="49"/>
        <v>#REF!</v>
      </c>
      <c r="BD74" s="10" t="e">
        <f t="shared" si="49"/>
        <v>#REF!</v>
      </c>
      <c r="BE74" s="10" t="e">
        <f t="shared" si="49"/>
        <v>#REF!</v>
      </c>
      <c r="BF74" s="10" t="e">
        <f t="shared" si="49"/>
        <v>#REF!</v>
      </c>
      <c r="BG74" s="10" t="e">
        <f t="shared" si="49"/>
        <v>#REF!</v>
      </c>
      <c r="BH74" s="10" t="e">
        <f t="shared" si="49"/>
        <v>#REF!</v>
      </c>
      <c r="BI74" s="10" t="e">
        <f t="shared" si="49"/>
        <v>#REF!</v>
      </c>
      <c r="BJ74" s="10" t="e">
        <f t="shared" si="49"/>
        <v>#REF!</v>
      </c>
      <c r="BK74" s="10" t="e">
        <f t="shared" si="49"/>
        <v>#REF!</v>
      </c>
      <c r="BL74" s="10" t="e">
        <f t="shared" si="49"/>
        <v>#REF!</v>
      </c>
      <c r="BM74" s="10" t="e">
        <f t="shared" si="49"/>
        <v>#REF!</v>
      </c>
      <c r="BN74" s="10" t="e">
        <f t="shared" si="49"/>
        <v>#REF!</v>
      </c>
      <c r="BO74" s="10" t="e">
        <f t="shared" si="49"/>
        <v>#REF!</v>
      </c>
      <c r="BP74" s="10" t="e">
        <f t="shared" si="49"/>
        <v>#REF!</v>
      </c>
      <c r="BQ74" s="10" t="e">
        <f t="shared" si="49"/>
        <v>#REF!</v>
      </c>
      <c r="BR74" s="10" t="e">
        <f t="shared" si="49"/>
        <v>#REF!</v>
      </c>
      <c r="BS74" s="10" t="e">
        <f t="shared" si="49"/>
        <v>#REF!</v>
      </c>
      <c r="BT74" s="10" t="e">
        <f t="shared" si="49"/>
        <v>#REF!</v>
      </c>
      <c r="BU74" s="10" t="e">
        <f t="shared" si="49"/>
        <v>#REF!</v>
      </c>
      <c r="BV74" s="10" t="e">
        <f t="shared" si="49"/>
        <v>#REF!</v>
      </c>
      <c r="BW74" s="10" t="e">
        <f t="shared" si="49"/>
        <v>#REF!</v>
      </c>
      <c r="BX74" s="10" t="e">
        <f t="shared" si="49"/>
        <v>#REF!</v>
      </c>
      <c r="BY74" s="10" t="e">
        <f t="shared" si="49"/>
        <v>#REF!</v>
      </c>
      <c r="BZ74" s="10" t="e">
        <f t="shared" si="49"/>
        <v>#REF!</v>
      </c>
      <c r="CA74" s="10" t="e">
        <f t="shared" si="49"/>
        <v>#REF!</v>
      </c>
      <c r="CB74" s="10" t="e">
        <f t="shared" ref="CB74:EM74" si="50">(CB72-CB69)</f>
        <v>#REF!</v>
      </c>
      <c r="CC74" s="10" t="e">
        <f t="shared" si="50"/>
        <v>#REF!</v>
      </c>
      <c r="CD74" s="10" t="e">
        <f t="shared" si="50"/>
        <v>#REF!</v>
      </c>
      <c r="CE74" s="10" t="e">
        <f t="shared" si="50"/>
        <v>#REF!</v>
      </c>
      <c r="CF74" s="10" t="e">
        <f t="shared" si="50"/>
        <v>#REF!</v>
      </c>
      <c r="CG74" s="10" t="e">
        <f t="shared" si="50"/>
        <v>#REF!</v>
      </c>
      <c r="CH74" s="10" t="e">
        <f t="shared" si="50"/>
        <v>#REF!</v>
      </c>
      <c r="CI74" s="10" t="e">
        <f t="shared" si="50"/>
        <v>#REF!</v>
      </c>
      <c r="CJ74" s="10" t="e">
        <f t="shared" si="50"/>
        <v>#REF!</v>
      </c>
      <c r="CK74" s="10" t="e">
        <f t="shared" si="50"/>
        <v>#REF!</v>
      </c>
      <c r="CL74" s="10" t="e">
        <f t="shared" si="50"/>
        <v>#REF!</v>
      </c>
      <c r="CM74" s="10" t="e">
        <f t="shared" si="50"/>
        <v>#REF!</v>
      </c>
      <c r="CN74" s="10" t="e">
        <f t="shared" si="50"/>
        <v>#REF!</v>
      </c>
      <c r="CO74" s="10" t="e">
        <f t="shared" si="50"/>
        <v>#REF!</v>
      </c>
      <c r="CP74" s="10" t="e">
        <f t="shared" si="50"/>
        <v>#REF!</v>
      </c>
      <c r="CQ74" s="10" t="e">
        <f t="shared" si="50"/>
        <v>#REF!</v>
      </c>
      <c r="CR74" s="10" t="e">
        <f t="shared" ref="CR74:CT74" si="51">(CR72-CR69)</f>
        <v>#REF!</v>
      </c>
      <c r="CS74" s="10" t="e">
        <f t="shared" si="51"/>
        <v>#REF!</v>
      </c>
      <c r="CT74" s="10" t="e">
        <f t="shared" si="51"/>
        <v>#REF!</v>
      </c>
      <c r="CU74" s="10" t="e">
        <f t="shared" si="50"/>
        <v>#REF!</v>
      </c>
      <c r="CV74" s="10" t="e">
        <f t="shared" si="50"/>
        <v>#REF!</v>
      </c>
      <c r="CW74" s="10" t="e">
        <f t="shared" si="50"/>
        <v>#REF!</v>
      </c>
      <c r="CX74" s="10" t="e">
        <f t="shared" si="50"/>
        <v>#REF!</v>
      </c>
      <c r="CY74" s="10" t="e">
        <f t="shared" si="50"/>
        <v>#REF!</v>
      </c>
      <c r="CZ74" s="10" t="e">
        <f t="shared" si="50"/>
        <v>#REF!</v>
      </c>
      <c r="DA74" s="10" t="e">
        <f t="shared" si="50"/>
        <v>#REF!</v>
      </c>
      <c r="DB74" s="10" t="e">
        <f t="shared" si="50"/>
        <v>#REF!</v>
      </c>
      <c r="DC74" s="10" t="e">
        <f t="shared" si="50"/>
        <v>#REF!</v>
      </c>
      <c r="DD74" s="10" t="e">
        <f t="shared" si="50"/>
        <v>#REF!</v>
      </c>
      <c r="DE74" s="10" t="e">
        <f t="shared" si="50"/>
        <v>#REF!</v>
      </c>
      <c r="DF74" s="10" t="e">
        <f t="shared" si="50"/>
        <v>#REF!</v>
      </c>
      <c r="DG74" s="10" t="e">
        <f t="shared" si="50"/>
        <v>#REF!</v>
      </c>
      <c r="DH74" s="10" t="e">
        <f t="shared" si="50"/>
        <v>#REF!</v>
      </c>
      <c r="DI74" s="10" t="e">
        <f t="shared" si="50"/>
        <v>#REF!</v>
      </c>
      <c r="DJ74" s="10" t="e">
        <f t="shared" si="50"/>
        <v>#REF!</v>
      </c>
      <c r="DK74" s="10" t="e">
        <f t="shared" si="50"/>
        <v>#REF!</v>
      </c>
      <c r="DL74" s="10" t="e">
        <f t="shared" si="50"/>
        <v>#REF!</v>
      </c>
      <c r="DM74" s="10" t="e">
        <f t="shared" si="50"/>
        <v>#REF!</v>
      </c>
      <c r="DN74" s="10" t="e">
        <f t="shared" si="50"/>
        <v>#REF!</v>
      </c>
      <c r="DO74" s="10" t="e">
        <f t="shared" si="50"/>
        <v>#REF!</v>
      </c>
      <c r="DP74" s="10" t="e">
        <f t="shared" si="50"/>
        <v>#REF!</v>
      </c>
      <c r="DQ74" s="10" t="e">
        <f t="shared" si="50"/>
        <v>#REF!</v>
      </c>
      <c r="DR74" s="10" t="e">
        <f t="shared" si="50"/>
        <v>#REF!</v>
      </c>
      <c r="DS74" s="10" t="e">
        <f t="shared" si="50"/>
        <v>#REF!</v>
      </c>
      <c r="DT74" s="10" t="e">
        <f t="shared" si="50"/>
        <v>#REF!</v>
      </c>
      <c r="DU74" s="10" t="e">
        <f t="shared" si="50"/>
        <v>#REF!</v>
      </c>
      <c r="DV74" s="10" t="e">
        <f t="shared" si="50"/>
        <v>#REF!</v>
      </c>
      <c r="DW74" s="10" t="e">
        <f t="shared" si="50"/>
        <v>#REF!</v>
      </c>
      <c r="DX74" s="10" t="e">
        <f t="shared" si="50"/>
        <v>#REF!</v>
      </c>
      <c r="DY74" s="10" t="e">
        <f t="shared" si="50"/>
        <v>#REF!</v>
      </c>
      <c r="DZ74" s="10" t="e">
        <f t="shared" si="50"/>
        <v>#REF!</v>
      </c>
      <c r="EA74" s="10" t="e">
        <f t="shared" si="50"/>
        <v>#REF!</v>
      </c>
      <c r="EB74" s="10" t="e">
        <f t="shared" si="50"/>
        <v>#REF!</v>
      </c>
      <c r="EC74" s="10" t="e">
        <f t="shared" si="50"/>
        <v>#REF!</v>
      </c>
      <c r="ED74" s="10" t="e">
        <f t="shared" si="50"/>
        <v>#REF!</v>
      </c>
      <c r="EE74" s="10" t="e">
        <f t="shared" si="50"/>
        <v>#REF!</v>
      </c>
      <c r="EF74" s="10" t="e">
        <f t="shared" si="50"/>
        <v>#REF!</v>
      </c>
      <c r="EG74" s="10" t="e">
        <f t="shared" si="50"/>
        <v>#REF!</v>
      </c>
      <c r="EH74" s="10" t="e">
        <f t="shared" si="50"/>
        <v>#REF!</v>
      </c>
      <c r="EI74" s="10" t="e">
        <f t="shared" si="50"/>
        <v>#REF!</v>
      </c>
      <c r="EJ74" s="10" t="e">
        <f t="shared" si="50"/>
        <v>#REF!</v>
      </c>
      <c r="EK74" s="10" t="e">
        <f t="shared" si="50"/>
        <v>#REF!</v>
      </c>
      <c r="EL74" s="10" t="e">
        <f t="shared" si="50"/>
        <v>#REF!</v>
      </c>
      <c r="EM74" s="10" t="e">
        <f t="shared" si="50"/>
        <v>#REF!</v>
      </c>
      <c r="EN74" s="10" t="e">
        <f t="shared" ref="EN74:ET74" si="52">(EN72-EN69)</f>
        <v>#REF!</v>
      </c>
      <c r="EO74" s="10" t="e">
        <f t="shared" si="52"/>
        <v>#REF!</v>
      </c>
      <c r="EP74" s="10" t="e">
        <f t="shared" si="52"/>
        <v>#REF!</v>
      </c>
      <c r="EQ74" s="10" t="e">
        <f t="shared" si="52"/>
        <v>#REF!</v>
      </c>
      <c r="ER74" s="10" t="e">
        <f t="shared" si="52"/>
        <v>#REF!</v>
      </c>
      <c r="ES74" s="10" t="e">
        <f t="shared" si="52"/>
        <v>#REF!</v>
      </c>
      <c r="ET74" s="10" t="e">
        <f t="shared" si="52"/>
        <v>#REF!</v>
      </c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</row>
    <row r="75" spans="1:237" ht="12.75" customHeight="1" x14ac:dyDescent="0.25">
      <c r="C75" s="184"/>
      <c r="H75" s="54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</row>
    <row r="76" spans="1:237" ht="12.75" customHeight="1" x14ac:dyDescent="0.25">
      <c r="B76" s="21" t="s">
        <v>185</v>
      </c>
      <c r="C76" s="184"/>
      <c r="H76" s="54"/>
      <c r="N76" s="148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</row>
    <row r="77" spans="1:237" ht="12.75" customHeight="1" x14ac:dyDescent="0.25">
      <c r="B77" s="23"/>
      <c r="C77" s="184"/>
      <c r="H77" s="54"/>
      <c r="N77" s="148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</row>
    <row r="78" spans="1:237" ht="12.75" customHeight="1" x14ac:dyDescent="0.25">
      <c r="C78" s="184" t="s">
        <v>179</v>
      </c>
      <c r="H78" s="54" t="s">
        <v>3</v>
      </c>
      <c r="N78" s="148"/>
      <c r="P78" s="10">
        <f t="shared" ref="P78:CA78" si="53">O81</f>
        <v>0</v>
      </c>
      <c r="Q78" s="10" t="e">
        <f t="shared" si="53"/>
        <v>#REF!</v>
      </c>
      <c r="R78" s="10" t="e">
        <f t="shared" si="53"/>
        <v>#REF!</v>
      </c>
      <c r="S78" s="10" t="e">
        <f t="shared" si="53"/>
        <v>#REF!</v>
      </c>
      <c r="T78" s="10" t="e">
        <f t="shared" si="53"/>
        <v>#REF!</v>
      </c>
      <c r="U78" s="10" t="e">
        <f t="shared" si="53"/>
        <v>#REF!</v>
      </c>
      <c r="V78" s="10" t="e">
        <f t="shared" si="53"/>
        <v>#REF!</v>
      </c>
      <c r="W78" s="10" t="e">
        <f t="shared" si="53"/>
        <v>#REF!</v>
      </c>
      <c r="X78" s="10" t="e">
        <f t="shared" si="53"/>
        <v>#REF!</v>
      </c>
      <c r="Y78" s="10" t="e">
        <f t="shared" si="53"/>
        <v>#REF!</v>
      </c>
      <c r="Z78" s="10" t="e">
        <f t="shared" si="53"/>
        <v>#REF!</v>
      </c>
      <c r="AA78" s="10" t="e">
        <f t="shared" si="53"/>
        <v>#REF!</v>
      </c>
      <c r="AB78" s="10" t="e">
        <f t="shared" si="53"/>
        <v>#REF!</v>
      </c>
      <c r="AC78" s="10" t="e">
        <f t="shared" si="53"/>
        <v>#REF!</v>
      </c>
      <c r="AD78" s="10" t="e">
        <f t="shared" si="53"/>
        <v>#REF!</v>
      </c>
      <c r="AE78" s="10" t="e">
        <f t="shared" si="53"/>
        <v>#REF!</v>
      </c>
      <c r="AF78" s="10" t="e">
        <f t="shared" si="53"/>
        <v>#REF!</v>
      </c>
      <c r="AG78" s="10" t="e">
        <f t="shared" si="53"/>
        <v>#REF!</v>
      </c>
      <c r="AH78" s="10" t="e">
        <f t="shared" si="53"/>
        <v>#REF!</v>
      </c>
      <c r="AI78" s="10" t="e">
        <f t="shared" si="53"/>
        <v>#REF!</v>
      </c>
      <c r="AJ78" s="10" t="e">
        <f t="shared" si="53"/>
        <v>#REF!</v>
      </c>
      <c r="AK78" s="10" t="e">
        <f t="shared" si="53"/>
        <v>#REF!</v>
      </c>
      <c r="AL78" s="10" t="e">
        <f t="shared" si="53"/>
        <v>#REF!</v>
      </c>
      <c r="AM78" s="10" t="e">
        <f t="shared" si="53"/>
        <v>#REF!</v>
      </c>
      <c r="AN78" s="10" t="e">
        <f t="shared" si="53"/>
        <v>#REF!</v>
      </c>
      <c r="AO78" s="10" t="e">
        <f t="shared" si="53"/>
        <v>#REF!</v>
      </c>
      <c r="AP78" s="10" t="e">
        <f t="shared" si="53"/>
        <v>#REF!</v>
      </c>
      <c r="AQ78" s="10" t="e">
        <f t="shared" si="53"/>
        <v>#REF!</v>
      </c>
      <c r="AR78" s="10" t="e">
        <f t="shared" si="53"/>
        <v>#REF!</v>
      </c>
      <c r="AS78" s="10" t="e">
        <f t="shared" si="53"/>
        <v>#REF!</v>
      </c>
      <c r="AT78" s="10" t="e">
        <f t="shared" si="53"/>
        <v>#REF!</v>
      </c>
      <c r="AU78" s="10" t="e">
        <f t="shared" si="53"/>
        <v>#REF!</v>
      </c>
      <c r="AV78" s="10" t="e">
        <f t="shared" si="53"/>
        <v>#REF!</v>
      </c>
      <c r="AW78" s="10" t="e">
        <f t="shared" si="53"/>
        <v>#REF!</v>
      </c>
      <c r="AX78" s="10" t="e">
        <f t="shared" si="53"/>
        <v>#REF!</v>
      </c>
      <c r="AY78" s="10" t="e">
        <f t="shared" si="53"/>
        <v>#REF!</v>
      </c>
      <c r="AZ78" s="10" t="e">
        <f t="shared" si="53"/>
        <v>#REF!</v>
      </c>
      <c r="BA78" s="10" t="e">
        <f t="shared" si="53"/>
        <v>#REF!</v>
      </c>
      <c r="BB78" s="10" t="e">
        <f t="shared" si="53"/>
        <v>#REF!</v>
      </c>
      <c r="BC78" s="10" t="e">
        <f t="shared" si="53"/>
        <v>#REF!</v>
      </c>
      <c r="BD78" s="10" t="e">
        <f t="shared" si="53"/>
        <v>#REF!</v>
      </c>
      <c r="BE78" s="10" t="e">
        <f t="shared" si="53"/>
        <v>#REF!</v>
      </c>
      <c r="BF78" s="10" t="e">
        <f t="shared" si="53"/>
        <v>#REF!</v>
      </c>
      <c r="BG78" s="10" t="e">
        <f t="shared" si="53"/>
        <v>#REF!</v>
      </c>
      <c r="BH78" s="10" t="e">
        <f t="shared" si="53"/>
        <v>#REF!</v>
      </c>
      <c r="BI78" s="10" t="e">
        <f t="shared" si="53"/>
        <v>#REF!</v>
      </c>
      <c r="BJ78" s="10" t="e">
        <f t="shared" si="53"/>
        <v>#REF!</v>
      </c>
      <c r="BK78" s="10" t="e">
        <f t="shared" si="53"/>
        <v>#REF!</v>
      </c>
      <c r="BL78" s="10" t="e">
        <f t="shared" si="53"/>
        <v>#REF!</v>
      </c>
      <c r="BM78" s="10" t="e">
        <f t="shared" si="53"/>
        <v>#REF!</v>
      </c>
      <c r="BN78" s="10" t="e">
        <f t="shared" si="53"/>
        <v>#REF!</v>
      </c>
      <c r="BO78" s="10" t="e">
        <f t="shared" si="53"/>
        <v>#REF!</v>
      </c>
      <c r="BP78" s="10" t="e">
        <f t="shared" si="53"/>
        <v>#REF!</v>
      </c>
      <c r="BQ78" s="10" t="e">
        <f t="shared" si="53"/>
        <v>#REF!</v>
      </c>
      <c r="BR78" s="10" t="e">
        <f t="shared" si="53"/>
        <v>#REF!</v>
      </c>
      <c r="BS78" s="10" t="e">
        <f t="shared" si="53"/>
        <v>#REF!</v>
      </c>
      <c r="BT78" s="10" t="e">
        <f t="shared" si="53"/>
        <v>#REF!</v>
      </c>
      <c r="BU78" s="10" t="e">
        <f t="shared" si="53"/>
        <v>#REF!</v>
      </c>
      <c r="BV78" s="10" t="e">
        <f t="shared" si="53"/>
        <v>#REF!</v>
      </c>
      <c r="BW78" s="10" t="e">
        <f t="shared" si="53"/>
        <v>#REF!</v>
      </c>
      <c r="BX78" s="10" t="e">
        <f t="shared" si="53"/>
        <v>#REF!</v>
      </c>
      <c r="BY78" s="10" t="e">
        <f t="shared" si="53"/>
        <v>#REF!</v>
      </c>
      <c r="BZ78" s="10" t="e">
        <f t="shared" si="53"/>
        <v>#REF!</v>
      </c>
      <c r="CA78" s="10" t="e">
        <f t="shared" si="53"/>
        <v>#REF!</v>
      </c>
      <c r="CB78" s="10" t="e">
        <f t="shared" ref="CB78:CQ78" si="54">CA81</f>
        <v>#REF!</v>
      </c>
      <c r="CC78" s="10" t="e">
        <f t="shared" si="54"/>
        <v>#REF!</v>
      </c>
      <c r="CD78" s="10" t="e">
        <f t="shared" si="54"/>
        <v>#REF!</v>
      </c>
      <c r="CE78" s="10" t="e">
        <f t="shared" si="54"/>
        <v>#REF!</v>
      </c>
      <c r="CF78" s="10" t="e">
        <f t="shared" si="54"/>
        <v>#REF!</v>
      </c>
      <c r="CG78" s="10" t="e">
        <f t="shared" si="54"/>
        <v>#REF!</v>
      </c>
      <c r="CH78" s="10" t="e">
        <f t="shared" si="54"/>
        <v>#REF!</v>
      </c>
      <c r="CI78" s="10" t="e">
        <f t="shared" si="54"/>
        <v>#REF!</v>
      </c>
      <c r="CJ78" s="10" t="e">
        <f t="shared" si="54"/>
        <v>#REF!</v>
      </c>
      <c r="CK78" s="10" t="e">
        <f t="shared" si="54"/>
        <v>#REF!</v>
      </c>
      <c r="CL78" s="10" t="e">
        <f t="shared" si="54"/>
        <v>#REF!</v>
      </c>
      <c r="CM78" s="10" t="e">
        <f t="shared" si="54"/>
        <v>#REF!</v>
      </c>
      <c r="CN78" s="10" t="e">
        <f t="shared" si="54"/>
        <v>#REF!</v>
      </c>
      <c r="CO78" s="10" t="e">
        <f t="shared" si="54"/>
        <v>#REF!</v>
      </c>
      <c r="CP78" s="10" t="e">
        <f t="shared" si="54"/>
        <v>#REF!</v>
      </c>
      <c r="CQ78" s="10" t="e">
        <f t="shared" si="54"/>
        <v>#REF!</v>
      </c>
      <c r="CR78" s="10" t="e">
        <f t="shared" ref="CR78" si="55">CQ81</f>
        <v>#REF!</v>
      </c>
      <c r="CS78" s="10" t="e">
        <f t="shared" ref="CS78" si="56">CR81</f>
        <v>#REF!</v>
      </c>
      <c r="CT78" s="10" t="e">
        <f t="shared" ref="CT78" si="57">CS81</f>
        <v>#REF!</v>
      </c>
      <c r="CU78" s="10" t="e">
        <f t="shared" ref="CU78:ET78" si="58">CT81</f>
        <v>#REF!</v>
      </c>
      <c r="CV78" s="10" t="e">
        <f t="shared" si="58"/>
        <v>#REF!</v>
      </c>
      <c r="CW78" s="10" t="e">
        <f t="shared" si="58"/>
        <v>#REF!</v>
      </c>
      <c r="CX78" s="10" t="e">
        <f t="shared" si="58"/>
        <v>#REF!</v>
      </c>
      <c r="CY78" s="10" t="e">
        <f t="shared" si="58"/>
        <v>#REF!</v>
      </c>
      <c r="CZ78" s="10" t="e">
        <f t="shared" si="58"/>
        <v>#REF!</v>
      </c>
      <c r="DA78" s="10" t="e">
        <f t="shared" si="58"/>
        <v>#REF!</v>
      </c>
      <c r="DB78" s="10" t="e">
        <f t="shared" si="58"/>
        <v>#REF!</v>
      </c>
      <c r="DC78" s="10" t="e">
        <f t="shared" si="58"/>
        <v>#REF!</v>
      </c>
      <c r="DD78" s="10" t="e">
        <f t="shared" si="58"/>
        <v>#REF!</v>
      </c>
      <c r="DE78" s="10" t="e">
        <f t="shared" si="58"/>
        <v>#REF!</v>
      </c>
      <c r="DF78" s="10" t="e">
        <f t="shared" si="58"/>
        <v>#REF!</v>
      </c>
      <c r="DG78" s="10" t="e">
        <f t="shared" si="58"/>
        <v>#REF!</v>
      </c>
      <c r="DH78" s="10" t="e">
        <f t="shared" si="58"/>
        <v>#REF!</v>
      </c>
      <c r="DI78" s="10" t="e">
        <f t="shared" si="58"/>
        <v>#REF!</v>
      </c>
      <c r="DJ78" s="10" t="e">
        <f t="shared" si="58"/>
        <v>#REF!</v>
      </c>
      <c r="DK78" s="10" t="e">
        <f t="shared" si="58"/>
        <v>#REF!</v>
      </c>
      <c r="DL78" s="10" t="e">
        <f t="shared" si="58"/>
        <v>#REF!</v>
      </c>
      <c r="DM78" s="10" t="e">
        <f t="shared" si="58"/>
        <v>#REF!</v>
      </c>
      <c r="DN78" s="10" t="e">
        <f t="shared" si="58"/>
        <v>#REF!</v>
      </c>
      <c r="DO78" s="10" t="e">
        <f t="shared" si="58"/>
        <v>#REF!</v>
      </c>
      <c r="DP78" s="10" t="e">
        <f t="shared" si="58"/>
        <v>#REF!</v>
      </c>
      <c r="DQ78" s="10" t="e">
        <f t="shared" si="58"/>
        <v>#REF!</v>
      </c>
      <c r="DR78" s="10" t="e">
        <f t="shared" si="58"/>
        <v>#REF!</v>
      </c>
      <c r="DS78" s="10" t="e">
        <f t="shared" si="58"/>
        <v>#REF!</v>
      </c>
      <c r="DT78" s="10" t="e">
        <f t="shared" si="58"/>
        <v>#REF!</v>
      </c>
      <c r="DU78" s="10" t="e">
        <f t="shared" si="58"/>
        <v>#REF!</v>
      </c>
      <c r="DV78" s="10" t="e">
        <f t="shared" si="58"/>
        <v>#REF!</v>
      </c>
      <c r="DW78" s="10" t="e">
        <f t="shared" si="58"/>
        <v>#REF!</v>
      </c>
      <c r="DX78" s="10" t="e">
        <f t="shared" si="58"/>
        <v>#REF!</v>
      </c>
      <c r="DY78" s="10" t="e">
        <f t="shared" si="58"/>
        <v>#REF!</v>
      </c>
      <c r="DZ78" s="10" t="e">
        <f t="shared" si="58"/>
        <v>#REF!</v>
      </c>
      <c r="EA78" s="10" t="e">
        <f t="shared" si="58"/>
        <v>#REF!</v>
      </c>
      <c r="EB78" s="10" t="e">
        <f t="shared" si="58"/>
        <v>#REF!</v>
      </c>
      <c r="EC78" s="10" t="e">
        <f t="shared" si="58"/>
        <v>#REF!</v>
      </c>
      <c r="ED78" s="10" t="e">
        <f t="shared" si="58"/>
        <v>#REF!</v>
      </c>
      <c r="EE78" s="10" t="e">
        <f t="shared" si="58"/>
        <v>#REF!</v>
      </c>
      <c r="EF78" s="10" t="e">
        <f t="shared" si="58"/>
        <v>#REF!</v>
      </c>
      <c r="EG78" s="10" t="e">
        <f t="shared" si="58"/>
        <v>#REF!</v>
      </c>
      <c r="EH78" s="10" t="e">
        <f t="shared" si="58"/>
        <v>#REF!</v>
      </c>
      <c r="EI78" s="10" t="e">
        <f t="shared" si="58"/>
        <v>#REF!</v>
      </c>
      <c r="EJ78" s="10" t="e">
        <f t="shared" si="58"/>
        <v>#REF!</v>
      </c>
      <c r="EK78" s="10" t="e">
        <f t="shared" si="58"/>
        <v>#REF!</v>
      </c>
      <c r="EL78" s="10" t="e">
        <f t="shared" si="58"/>
        <v>#REF!</v>
      </c>
      <c r="EM78" s="10" t="e">
        <f t="shared" si="58"/>
        <v>#REF!</v>
      </c>
      <c r="EN78" s="10" t="e">
        <f t="shared" si="58"/>
        <v>#REF!</v>
      </c>
      <c r="EO78" s="10" t="e">
        <f t="shared" si="58"/>
        <v>#REF!</v>
      </c>
      <c r="EP78" s="10" t="e">
        <f t="shared" si="58"/>
        <v>#REF!</v>
      </c>
      <c r="EQ78" s="10" t="e">
        <f t="shared" si="58"/>
        <v>#REF!</v>
      </c>
      <c r="ER78" s="10" t="e">
        <f t="shared" si="58"/>
        <v>#REF!</v>
      </c>
      <c r="ES78" s="10" t="e">
        <f t="shared" si="58"/>
        <v>#REF!</v>
      </c>
      <c r="ET78" s="10" t="e">
        <f t="shared" si="58"/>
        <v>#REF!</v>
      </c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</row>
    <row r="79" spans="1:237" ht="12.75" customHeight="1" x14ac:dyDescent="0.25">
      <c r="C79" s="17" t="s">
        <v>34</v>
      </c>
      <c r="D79" t="s">
        <v>186</v>
      </c>
      <c r="H79" s="54" t="s">
        <v>3</v>
      </c>
      <c r="J79" s="38" t="s">
        <v>181</v>
      </c>
      <c r="N79" s="25" t="e">
        <f t="shared" ref="N79:N80" si="59">SUM(P79:CQ79)</f>
        <v>#REF!</v>
      </c>
      <c r="P79" s="10" t="e">
        <f>P61</f>
        <v>#REF!</v>
      </c>
      <c r="Q79" s="10" t="e">
        <f t="shared" ref="Q79:CB79" si="60">Q61</f>
        <v>#REF!</v>
      </c>
      <c r="R79" s="10" t="e">
        <f t="shared" si="60"/>
        <v>#REF!</v>
      </c>
      <c r="S79" s="10" t="e">
        <f t="shared" si="60"/>
        <v>#REF!</v>
      </c>
      <c r="T79" s="10" t="e">
        <f t="shared" si="60"/>
        <v>#REF!</v>
      </c>
      <c r="U79" s="10" t="e">
        <f t="shared" si="60"/>
        <v>#REF!</v>
      </c>
      <c r="V79" s="10" t="e">
        <f t="shared" si="60"/>
        <v>#REF!</v>
      </c>
      <c r="W79" s="10" t="e">
        <f t="shared" si="60"/>
        <v>#REF!</v>
      </c>
      <c r="X79" s="10" t="e">
        <f t="shared" si="60"/>
        <v>#REF!</v>
      </c>
      <c r="Y79" s="10" t="e">
        <f t="shared" si="60"/>
        <v>#REF!</v>
      </c>
      <c r="Z79" s="10" t="e">
        <f t="shared" si="60"/>
        <v>#REF!</v>
      </c>
      <c r="AA79" s="10" t="e">
        <f t="shared" si="60"/>
        <v>#REF!</v>
      </c>
      <c r="AB79" s="10" t="e">
        <f t="shared" si="60"/>
        <v>#REF!</v>
      </c>
      <c r="AC79" s="10" t="e">
        <f t="shared" si="60"/>
        <v>#REF!</v>
      </c>
      <c r="AD79" s="10" t="e">
        <f t="shared" si="60"/>
        <v>#REF!</v>
      </c>
      <c r="AE79" s="10" t="e">
        <f t="shared" si="60"/>
        <v>#REF!</v>
      </c>
      <c r="AF79" s="10" t="e">
        <f t="shared" si="60"/>
        <v>#REF!</v>
      </c>
      <c r="AG79" s="10" t="e">
        <f t="shared" si="60"/>
        <v>#REF!</v>
      </c>
      <c r="AH79" s="10" t="e">
        <f t="shared" si="60"/>
        <v>#REF!</v>
      </c>
      <c r="AI79" s="10" t="e">
        <f t="shared" si="60"/>
        <v>#REF!</v>
      </c>
      <c r="AJ79" s="10" t="e">
        <f t="shared" si="60"/>
        <v>#REF!</v>
      </c>
      <c r="AK79" s="10" t="e">
        <f t="shared" si="60"/>
        <v>#REF!</v>
      </c>
      <c r="AL79" s="10" t="e">
        <f t="shared" si="60"/>
        <v>#REF!</v>
      </c>
      <c r="AM79" s="10" t="e">
        <f t="shared" si="60"/>
        <v>#REF!</v>
      </c>
      <c r="AN79" s="10" t="e">
        <f t="shared" si="60"/>
        <v>#REF!</v>
      </c>
      <c r="AO79" s="10" t="e">
        <f t="shared" si="60"/>
        <v>#REF!</v>
      </c>
      <c r="AP79" s="10" t="e">
        <f t="shared" si="60"/>
        <v>#REF!</v>
      </c>
      <c r="AQ79" s="10" t="e">
        <f t="shared" si="60"/>
        <v>#REF!</v>
      </c>
      <c r="AR79" s="10" t="e">
        <f t="shared" si="60"/>
        <v>#REF!</v>
      </c>
      <c r="AS79" s="10" t="e">
        <f t="shared" si="60"/>
        <v>#REF!</v>
      </c>
      <c r="AT79" s="10" t="e">
        <f t="shared" si="60"/>
        <v>#REF!</v>
      </c>
      <c r="AU79" s="10" t="e">
        <f t="shared" si="60"/>
        <v>#REF!</v>
      </c>
      <c r="AV79" s="10" t="e">
        <f t="shared" si="60"/>
        <v>#REF!</v>
      </c>
      <c r="AW79" s="10" t="e">
        <f t="shared" si="60"/>
        <v>#REF!</v>
      </c>
      <c r="AX79" s="10" t="e">
        <f t="shared" si="60"/>
        <v>#REF!</v>
      </c>
      <c r="AY79" s="10" t="e">
        <f t="shared" si="60"/>
        <v>#REF!</v>
      </c>
      <c r="AZ79" s="10" t="e">
        <f t="shared" si="60"/>
        <v>#REF!</v>
      </c>
      <c r="BA79" s="10" t="e">
        <f t="shared" si="60"/>
        <v>#REF!</v>
      </c>
      <c r="BB79" s="10" t="e">
        <f t="shared" si="60"/>
        <v>#REF!</v>
      </c>
      <c r="BC79" s="10" t="e">
        <f t="shared" si="60"/>
        <v>#REF!</v>
      </c>
      <c r="BD79" s="10" t="e">
        <f t="shared" si="60"/>
        <v>#REF!</v>
      </c>
      <c r="BE79" s="10" t="e">
        <f t="shared" si="60"/>
        <v>#REF!</v>
      </c>
      <c r="BF79" s="10" t="e">
        <f t="shared" si="60"/>
        <v>#REF!</v>
      </c>
      <c r="BG79" s="10" t="e">
        <f t="shared" si="60"/>
        <v>#REF!</v>
      </c>
      <c r="BH79" s="10" t="e">
        <f t="shared" si="60"/>
        <v>#REF!</v>
      </c>
      <c r="BI79" s="10" t="e">
        <f t="shared" si="60"/>
        <v>#REF!</v>
      </c>
      <c r="BJ79" s="10" t="e">
        <f t="shared" si="60"/>
        <v>#REF!</v>
      </c>
      <c r="BK79" s="10" t="e">
        <f t="shared" si="60"/>
        <v>#REF!</v>
      </c>
      <c r="BL79" s="10" t="e">
        <f t="shared" si="60"/>
        <v>#REF!</v>
      </c>
      <c r="BM79" s="10" t="e">
        <f t="shared" si="60"/>
        <v>#REF!</v>
      </c>
      <c r="BN79" s="10" t="e">
        <f t="shared" si="60"/>
        <v>#REF!</v>
      </c>
      <c r="BO79" s="10" t="e">
        <f t="shared" si="60"/>
        <v>#REF!</v>
      </c>
      <c r="BP79" s="10" t="e">
        <f t="shared" si="60"/>
        <v>#REF!</v>
      </c>
      <c r="BQ79" s="10" t="e">
        <f t="shared" si="60"/>
        <v>#REF!</v>
      </c>
      <c r="BR79" s="10" t="e">
        <f t="shared" si="60"/>
        <v>#REF!</v>
      </c>
      <c r="BS79" s="10" t="e">
        <f t="shared" si="60"/>
        <v>#REF!</v>
      </c>
      <c r="BT79" s="10" t="e">
        <f t="shared" si="60"/>
        <v>#REF!</v>
      </c>
      <c r="BU79" s="10" t="e">
        <f t="shared" si="60"/>
        <v>#REF!</v>
      </c>
      <c r="BV79" s="10" t="e">
        <f t="shared" si="60"/>
        <v>#REF!</v>
      </c>
      <c r="BW79" s="10" t="e">
        <f t="shared" si="60"/>
        <v>#REF!</v>
      </c>
      <c r="BX79" s="10" t="e">
        <f t="shared" si="60"/>
        <v>#REF!</v>
      </c>
      <c r="BY79" s="10" t="e">
        <f t="shared" si="60"/>
        <v>#REF!</v>
      </c>
      <c r="BZ79" s="10" t="e">
        <f t="shared" si="60"/>
        <v>#REF!</v>
      </c>
      <c r="CA79" s="10" t="e">
        <f t="shared" si="60"/>
        <v>#REF!</v>
      </c>
      <c r="CB79" s="10" t="e">
        <f t="shared" si="60"/>
        <v>#REF!</v>
      </c>
      <c r="CC79" s="10" t="e">
        <f t="shared" ref="CC79:CQ79" si="61">CC61</f>
        <v>#REF!</v>
      </c>
      <c r="CD79" s="10" t="e">
        <f t="shared" si="61"/>
        <v>#REF!</v>
      </c>
      <c r="CE79" s="10" t="e">
        <f t="shared" si="61"/>
        <v>#REF!</v>
      </c>
      <c r="CF79" s="10" t="e">
        <f t="shared" si="61"/>
        <v>#REF!</v>
      </c>
      <c r="CG79" s="10" t="e">
        <f t="shared" si="61"/>
        <v>#REF!</v>
      </c>
      <c r="CH79" s="10" t="e">
        <f t="shared" si="61"/>
        <v>#REF!</v>
      </c>
      <c r="CI79" s="10" t="e">
        <f t="shared" si="61"/>
        <v>#REF!</v>
      </c>
      <c r="CJ79" s="10" t="e">
        <f t="shared" si="61"/>
        <v>#REF!</v>
      </c>
      <c r="CK79" s="10" t="e">
        <f t="shared" si="61"/>
        <v>#REF!</v>
      </c>
      <c r="CL79" s="10" t="e">
        <f t="shared" si="61"/>
        <v>#REF!</v>
      </c>
      <c r="CM79" s="10" t="e">
        <f t="shared" si="61"/>
        <v>#REF!</v>
      </c>
      <c r="CN79" s="10" t="e">
        <f t="shared" si="61"/>
        <v>#REF!</v>
      </c>
      <c r="CO79" s="10" t="e">
        <f t="shared" si="61"/>
        <v>#REF!</v>
      </c>
      <c r="CP79" s="10" t="e">
        <f t="shared" si="61"/>
        <v>#REF!</v>
      </c>
      <c r="CQ79" s="10" t="e">
        <f t="shared" si="61"/>
        <v>#REF!</v>
      </c>
      <c r="CR79" s="10" t="e">
        <f t="shared" ref="CR79:CT79" si="62">CR61</f>
        <v>#REF!</v>
      </c>
      <c r="CS79" s="10" t="e">
        <f t="shared" si="62"/>
        <v>#REF!</v>
      </c>
      <c r="CT79" s="10" t="e">
        <f t="shared" si="62"/>
        <v>#REF!</v>
      </c>
      <c r="CU79" s="10">
        <f t="shared" ref="CU79:ET79" si="63">CU62</f>
        <v>0</v>
      </c>
      <c r="CV79" s="10">
        <f t="shared" si="63"/>
        <v>0</v>
      </c>
      <c r="CW79" s="10">
        <f t="shared" si="63"/>
        <v>0</v>
      </c>
      <c r="CX79" s="10">
        <f t="shared" si="63"/>
        <v>0</v>
      </c>
      <c r="CY79" s="10">
        <f t="shared" si="63"/>
        <v>0</v>
      </c>
      <c r="CZ79" s="10">
        <f t="shared" si="63"/>
        <v>0</v>
      </c>
      <c r="DA79" s="10">
        <f t="shared" si="63"/>
        <v>0</v>
      </c>
      <c r="DB79" s="10">
        <f t="shared" si="63"/>
        <v>0</v>
      </c>
      <c r="DC79" s="10">
        <f t="shared" si="63"/>
        <v>0</v>
      </c>
      <c r="DD79" s="10">
        <f t="shared" si="63"/>
        <v>0</v>
      </c>
      <c r="DE79" s="10">
        <f t="shared" si="63"/>
        <v>0</v>
      </c>
      <c r="DF79" s="10">
        <f t="shared" si="63"/>
        <v>0</v>
      </c>
      <c r="DG79" s="10">
        <f t="shared" si="63"/>
        <v>0</v>
      </c>
      <c r="DH79" s="10">
        <f t="shared" si="63"/>
        <v>0</v>
      </c>
      <c r="DI79" s="10">
        <f t="shared" si="63"/>
        <v>0</v>
      </c>
      <c r="DJ79" s="10">
        <f t="shared" si="63"/>
        <v>0</v>
      </c>
      <c r="DK79" s="10">
        <f t="shared" si="63"/>
        <v>0</v>
      </c>
      <c r="DL79" s="10">
        <f t="shared" si="63"/>
        <v>0</v>
      </c>
      <c r="DM79" s="10">
        <f t="shared" si="63"/>
        <v>0</v>
      </c>
      <c r="DN79" s="10">
        <f t="shared" si="63"/>
        <v>0</v>
      </c>
      <c r="DO79" s="10">
        <f t="shared" si="63"/>
        <v>0</v>
      </c>
      <c r="DP79" s="10">
        <f t="shared" si="63"/>
        <v>0</v>
      </c>
      <c r="DQ79" s="10">
        <f t="shared" si="63"/>
        <v>0</v>
      </c>
      <c r="DR79" s="10">
        <f t="shared" si="63"/>
        <v>0</v>
      </c>
      <c r="DS79" s="10">
        <f t="shared" si="63"/>
        <v>0</v>
      </c>
      <c r="DT79" s="10">
        <f t="shared" si="63"/>
        <v>0</v>
      </c>
      <c r="DU79" s="10">
        <f t="shared" si="63"/>
        <v>0</v>
      </c>
      <c r="DV79" s="10">
        <f t="shared" si="63"/>
        <v>0</v>
      </c>
      <c r="DW79" s="10">
        <f t="shared" si="63"/>
        <v>0</v>
      </c>
      <c r="DX79" s="10">
        <f t="shared" si="63"/>
        <v>0</v>
      </c>
      <c r="DY79" s="10">
        <f t="shared" si="63"/>
        <v>0</v>
      </c>
      <c r="DZ79" s="10">
        <f t="shared" si="63"/>
        <v>0</v>
      </c>
      <c r="EA79" s="10">
        <f t="shared" si="63"/>
        <v>0</v>
      </c>
      <c r="EB79" s="10">
        <f t="shared" si="63"/>
        <v>0</v>
      </c>
      <c r="EC79" s="10">
        <f t="shared" si="63"/>
        <v>0</v>
      </c>
      <c r="ED79" s="10">
        <f t="shared" si="63"/>
        <v>0</v>
      </c>
      <c r="EE79" s="10">
        <f t="shared" si="63"/>
        <v>0</v>
      </c>
      <c r="EF79" s="10">
        <f t="shared" si="63"/>
        <v>0</v>
      </c>
      <c r="EG79" s="10">
        <f t="shared" si="63"/>
        <v>0</v>
      </c>
      <c r="EH79" s="10">
        <f t="shared" si="63"/>
        <v>0</v>
      </c>
      <c r="EI79" s="10">
        <f t="shared" si="63"/>
        <v>0</v>
      </c>
      <c r="EJ79" s="10">
        <f t="shared" si="63"/>
        <v>0</v>
      </c>
      <c r="EK79" s="10">
        <f t="shared" si="63"/>
        <v>0</v>
      </c>
      <c r="EL79" s="10">
        <f t="shared" si="63"/>
        <v>0</v>
      </c>
      <c r="EM79" s="10">
        <f t="shared" si="63"/>
        <v>0</v>
      </c>
      <c r="EN79" s="10">
        <f t="shared" si="63"/>
        <v>0</v>
      </c>
      <c r="EO79" s="10">
        <f t="shared" si="63"/>
        <v>0</v>
      </c>
      <c r="EP79" s="10">
        <f t="shared" si="63"/>
        <v>0</v>
      </c>
      <c r="EQ79" s="10">
        <f t="shared" si="63"/>
        <v>0</v>
      </c>
      <c r="ER79" s="10">
        <f t="shared" si="63"/>
        <v>0</v>
      </c>
      <c r="ES79" s="10">
        <f t="shared" si="63"/>
        <v>0</v>
      </c>
      <c r="ET79" s="10">
        <f t="shared" si="63"/>
        <v>0</v>
      </c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</row>
    <row r="80" spans="1:237" ht="12.75" customHeight="1" x14ac:dyDescent="0.25">
      <c r="C80" s="17" t="s">
        <v>32</v>
      </c>
      <c r="D80" t="s">
        <v>187</v>
      </c>
      <c r="H80" s="54" t="s">
        <v>3</v>
      </c>
      <c r="J80" s="180" t="e">
        <f>InputC!#REF!</f>
        <v>#REF!</v>
      </c>
      <c r="N80" s="25" t="e">
        <f t="shared" si="59"/>
        <v>#REF!</v>
      </c>
      <c r="P80" s="181" t="e">
        <f>(365-$J80)/365*P79+P78</f>
        <v>#REF!</v>
      </c>
      <c r="Q80" s="181" t="e">
        <f t="shared" ref="Q80:CB80" si="64">(365-$J80)/365*Q79+Q78</f>
        <v>#REF!</v>
      </c>
      <c r="R80" s="181" t="e">
        <f t="shared" si="64"/>
        <v>#REF!</v>
      </c>
      <c r="S80" s="181" t="e">
        <f t="shared" si="64"/>
        <v>#REF!</v>
      </c>
      <c r="T80" s="181" t="e">
        <f t="shared" si="64"/>
        <v>#REF!</v>
      </c>
      <c r="U80" s="181" t="e">
        <f t="shared" si="64"/>
        <v>#REF!</v>
      </c>
      <c r="V80" s="181" t="e">
        <f t="shared" si="64"/>
        <v>#REF!</v>
      </c>
      <c r="W80" s="181" t="e">
        <f t="shared" si="64"/>
        <v>#REF!</v>
      </c>
      <c r="X80" s="181" t="e">
        <f t="shared" si="64"/>
        <v>#REF!</v>
      </c>
      <c r="Y80" s="181" t="e">
        <f t="shared" si="64"/>
        <v>#REF!</v>
      </c>
      <c r="Z80" s="181" t="e">
        <f t="shared" si="64"/>
        <v>#REF!</v>
      </c>
      <c r="AA80" s="181" t="e">
        <f t="shared" si="64"/>
        <v>#REF!</v>
      </c>
      <c r="AB80" s="181" t="e">
        <f t="shared" si="64"/>
        <v>#REF!</v>
      </c>
      <c r="AC80" s="181" t="e">
        <f t="shared" si="64"/>
        <v>#REF!</v>
      </c>
      <c r="AD80" s="181" t="e">
        <f t="shared" si="64"/>
        <v>#REF!</v>
      </c>
      <c r="AE80" s="181" t="e">
        <f t="shared" si="64"/>
        <v>#REF!</v>
      </c>
      <c r="AF80" s="181" t="e">
        <f t="shared" si="64"/>
        <v>#REF!</v>
      </c>
      <c r="AG80" s="181" t="e">
        <f t="shared" si="64"/>
        <v>#REF!</v>
      </c>
      <c r="AH80" s="181" t="e">
        <f t="shared" si="64"/>
        <v>#REF!</v>
      </c>
      <c r="AI80" s="181" t="e">
        <f t="shared" si="64"/>
        <v>#REF!</v>
      </c>
      <c r="AJ80" s="181" t="e">
        <f t="shared" si="64"/>
        <v>#REF!</v>
      </c>
      <c r="AK80" s="181" t="e">
        <f t="shared" si="64"/>
        <v>#REF!</v>
      </c>
      <c r="AL80" s="181" t="e">
        <f t="shared" si="64"/>
        <v>#REF!</v>
      </c>
      <c r="AM80" s="181" t="e">
        <f t="shared" si="64"/>
        <v>#REF!</v>
      </c>
      <c r="AN80" s="181" t="e">
        <f t="shared" si="64"/>
        <v>#REF!</v>
      </c>
      <c r="AO80" s="181" t="e">
        <f t="shared" si="64"/>
        <v>#REF!</v>
      </c>
      <c r="AP80" s="181" t="e">
        <f t="shared" si="64"/>
        <v>#REF!</v>
      </c>
      <c r="AQ80" s="181" t="e">
        <f t="shared" si="64"/>
        <v>#REF!</v>
      </c>
      <c r="AR80" s="181" t="e">
        <f t="shared" si="64"/>
        <v>#REF!</v>
      </c>
      <c r="AS80" s="181" t="e">
        <f t="shared" si="64"/>
        <v>#REF!</v>
      </c>
      <c r="AT80" s="181" t="e">
        <f t="shared" si="64"/>
        <v>#REF!</v>
      </c>
      <c r="AU80" s="181" t="e">
        <f t="shared" si="64"/>
        <v>#REF!</v>
      </c>
      <c r="AV80" s="181" t="e">
        <f t="shared" si="64"/>
        <v>#REF!</v>
      </c>
      <c r="AW80" s="181" t="e">
        <f t="shared" si="64"/>
        <v>#REF!</v>
      </c>
      <c r="AX80" s="181" t="e">
        <f t="shared" si="64"/>
        <v>#REF!</v>
      </c>
      <c r="AY80" s="181" t="e">
        <f t="shared" si="64"/>
        <v>#REF!</v>
      </c>
      <c r="AZ80" s="181" t="e">
        <f t="shared" si="64"/>
        <v>#REF!</v>
      </c>
      <c r="BA80" s="181" t="e">
        <f t="shared" si="64"/>
        <v>#REF!</v>
      </c>
      <c r="BB80" s="181" t="e">
        <f t="shared" si="64"/>
        <v>#REF!</v>
      </c>
      <c r="BC80" s="181" t="e">
        <f t="shared" si="64"/>
        <v>#REF!</v>
      </c>
      <c r="BD80" s="181" t="e">
        <f t="shared" si="64"/>
        <v>#REF!</v>
      </c>
      <c r="BE80" s="181" t="e">
        <f t="shared" si="64"/>
        <v>#REF!</v>
      </c>
      <c r="BF80" s="181" t="e">
        <f t="shared" si="64"/>
        <v>#REF!</v>
      </c>
      <c r="BG80" s="181" t="e">
        <f t="shared" si="64"/>
        <v>#REF!</v>
      </c>
      <c r="BH80" s="181" t="e">
        <f t="shared" si="64"/>
        <v>#REF!</v>
      </c>
      <c r="BI80" s="181" t="e">
        <f t="shared" si="64"/>
        <v>#REF!</v>
      </c>
      <c r="BJ80" s="181" t="e">
        <f t="shared" si="64"/>
        <v>#REF!</v>
      </c>
      <c r="BK80" s="181" t="e">
        <f t="shared" si="64"/>
        <v>#REF!</v>
      </c>
      <c r="BL80" s="181" t="e">
        <f t="shared" si="64"/>
        <v>#REF!</v>
      </c>
      <c r="BM80" s="181" t="e">
        <f t="shared" si="64"/>
        <v>#REF!</v>
      </c>
      <c r="BN80" s="181" t="e">
        <f t="shared" si="64"/>
        <v>#REF!</v>
      </c>
      <c r="BO80" s="181" t="e">
        <f t="shared" si="64"/>
        <v>#REF!</v>
      </c>
      <c r="BP80" s="181" t="e">
        <f t="shared" si="64"/>
        <v>#REF!</v>
      </c>
      <c r="BQ80" s="181" t="e">
        <f t="shared" si="64"/>
        <v>#REF!</v>
      </c>
      <c r="BR80" s="181" t="e">
        <f t="shared" si="64"/>
        <v>#REF!</v>
      </c>
      <c r="BS80" s="181" t="e">
        <f t="shared" si="64"/>
        <v>#REF!</v>
      </c>
      <c r="BT80" s="181" t="e">
        <f t="shared" si="64"/>
        <v>#REF!</v>
      </c>
      <c r="BU80" s="181" t="e">
        <f t="shared" si="64"/>
        <v>#REF!</v>
      </c>
      <c r="BV80" s="181" t="e">
        <f t="shared" si="64"/>
        <v>#REF!</v>
      </c>
      <c r="BW80" s="181" t="e">
        <f t="shared" si="64"/>
        <v>#REF!</v>
      </c>
      <c r="BX80" s="181" t="e">
        <f t="shared" si="64"/>
        <v>#REF!</v>
      </c>
      <c r="BY80" s="181" t="e">
        <f t="shared" si="64"/>
        <v>#REF!</v>
      </c>
      <c r="BZ80" s="181" t="e">
        <f t="shared" si="64"/>
        <v>#REF!</v>
      </c>
      <c r="CA80" s="181" t="e">
        <f t="shared" si="64"/>
        <v>#REF!</v>
      </c>
      <c r="CB80" s="181" t="e">
        <f t="shared" si="64"/>
        <v>#REF!</v>
      </c>
      <c r="CC80" s="181" t="e">
        <f t="shared" ref="CC80:CQ80" si="65">(365-$J80)/365*CC79+CC78</f>
        <v>#REF!</v>
      </c>
      <c r="CD80" s="181" t="e">
        <f t="shared" si="65"/>
        <v>#REF!</v>
      </c>
      <c r="CE80" s="181" t="e">
        <f t="shared" si="65"/>
        <v>#REF!</v>
      </c>
      <c r="CF80" s="181" t="e">
        <f t="shared" si="65"/>
        <v>#REF!</v>
      </c>
      <c r="CG80" s="181" t="e">
        <f t="shared" si="65"/>
        <v>#REF!</v>
      </c>
      <c r="CH80" s="181" t="e">
        <f t="shared" si="65"/>
        <v>#REF!</v>
      </c>
      <c r="CI80" s="181" t="e">
        <f t="shared" si="65"/>
        <v>#REF!</v>
      </c>
      <c r="CJ80" s="181" t="e">
        <f t="shared" si="65"/>
        <v>#REF!</v>
      </c>
      <c r="CK80" s="181" t="e">
        <f t="shared" si="65"/>
        <v>#REF!</v>
      </c>
      <c r="CL80" s="181" t="e">
        <f t="shared" si="65"/>
        <v>#REF!</v>
      </c>
      <c r="CM80" s="181" t="e">
        <f t="shared" si="65"/>
        <v>#REF!</v>
      </c>
      <c r="CN80" s="181" t="e">
        <f t="shared" si="65"/>
        <v>#REF!</v>
      </c>
      <c r="CO80" s="181" t="e">
        <f t="shared" si="65"/>
        <v>#REF!</v>
      </c>
      <c r="CP80" s="181" t="e">
        <f t="shared" si="65"/>
        <v>#REF!</v>
      </c>
      <c r="CQ80" s="181" t="e">
        <f t="shared" si="65"/>
        <v>#REF!</v>
      </c>
      <c r="CR80" s="181" t="e">
        <f t="shared" ref="CR80:CT80" si="66">(365-$J80)/365*CR79+CR78</f>
        <v>#REF!</v>
      </c>
      <c r="CS80" s="181" t="e">
        <f t="shared" si="66"/>
        <v>#REF!</v>
      </c>
      <c r="CT80" s="181" t="e">
        <f t="shared" si="66"/>
        <v>#REF!</v>
      </c>
      <c r="CU80" s="181" t="e">
        <f>(CU78+(#REF!-$K80)/#REF!*CU79)</f>
        <v>#REF!</v>
      </c>
      <c r="CV80" s="181" t="e">
        <f>(CV78+(#REF!-$K80)/#REF!*CV79)</f>
        <v>#REF!</v>
      </c>
      <c r="CW80" s="181" t="e">
        <f>(CW78+(#REF!-$K80)/#REF!*CW79)</f>
        <v>#REF!</v>
      </c>
      <c r="CX80" s="181" t="e">
        <f>(CX78+(#REF!-$K80)/#REF!*CX79)</f>
        <v>#REF!</v>
      </c>
      <c r="CY80" s="181" t="e">
        <f>(CY78+(#REF!-$K80)/#REF!*CY79)</f>
        <v>#REF!</v>
      </c>
      <c r="CZ80" s="181" t="e">
        <f>(CZ78+(#REF!-$K80)/#REF!*CZ79)</f>
        <v>#REF!</v>
      </c>
      <c r="DA80" s="181" t="e">
        <f>(DA78+(#REF!-$K80)/#REF!*DA79)</f>
        <v>#REF!</v>
      </c>
      <c r="DB80" s="181" t="e">
        <f>(DB78+(#REF!-$K80)/#REF!*DB79)</f>
        <v>#REF!</v>
      </c>
      <c r="DC80" s="181" t="e">
        <f>(DC78+(#REF!-$K80)/#REF!*DC79)</f>
        <v>#REF!</v>
      </c>
      <c r="DD80" s="181" t="e">
        <f>(DD78+(#REF!-$K80)/#REF!*DD79)</f>
        <v>#REF!</v>
      </c>
      <c r="DE80" s="181" t="e">
        <f>(DE78+(#REF!-$K80)/#REF!*DE79)</f>
        <v>#REF!</v>
      </c>
      <c r="DF80" s="181" t="e">
        <f>(DF78+(#REF!-$K80)/#REF!*DF79)</f>
        <v>#REF!</v>
      </c>
      <c r="DG80" s="181" t="e">
        <f>(DG78+(#REF!-$K80)/#REF!*DG79)</f>
        <v>#REF!</v>
      </c>
      <c r="DH80" s="181" t="e">
        <f>(DH78+(#REF!-$K80)/#REF!*DH79)</f>
        <v>#REF!</v>
      </c>
      <c r="DI80" s="181" t="e">
        <f>(DI78+(#REF!-$K80)/#REF!*DI79)</f>
        <v>#REF!</v>
      </c>
      <c r="DJ80" s="181" t="e">
        <f>(DJ78+(#REF!-$K80)/#REF!*DJ79)</f>
        <v>#REF!</v>
      </c>
      <c r="DK80" s="181" t="e">
        <f>(DK78+(#REF!-$K80)/#REF!*DK79)</f>
        <v>#REF!</v>
      </c>
      <c r="DL80" s="181" t="e">
        <f>(DL78+(#REF!-$K80)/#REF!*DL79)</f>
        <v>#REF!</v>
      </c>
      <c r="DM80" s="181" t="e">
        <f>(DM78+(#REF!-$K80)/#REF!*DM79)</f>
        <v>#REF!</v>
      </c>
      <c r="DN80" s="181" t="e">
        <f>(DN78+(#REF!-$K80)/#REF!*DN79)</f>
        <v>#REF!</v>
      </c>
      <c r="DO80" s="181" t="e">
        <f>(DO78+(#REF!-$K80)/#REF!*DO79)</f>
        <v>#REF!</v>
      </c>
      <c r="DP80" s="181" t="e">
        <f>(DP78+(#REF!-$K80)/#REF!*DP79)</f>
        <v>#REF!</v>
      </c>
      <c r="DQ80" s="181" t="e">
        <f>(DQ78+(#REF!-$K80)/#REF!*DQ79)</f>
        <v>#REF!</v>
      </c>
      <c r="DR80" s="181" t="e">
        <f>(DR78+(#REF!-$K80)/#REF!*DR79)</f>
        <v>#REF!</v>
      </c>
      <c r="DS80" s="181" t="e">
        <f>(DS78+(#REF!-$K80)/#REF!*DS79)</f>
        <v>#REF!</v>
      </c>
      <c r="DT80" s="181" t="e">
        <f>(DT78+(#REF!-$K80)/#REF!*DT79)</f>
        <v>#REF!</v>
      </c>
      <c r="DU80" s="181" t="e">
        <f>(DU78+(#REF!-$K80)/#REF!*DU79)</f>
        <v>#REF!</v>
      </c>
      <c r="DV80" s="181" t="e">
        <f>(DV78+(#REF!-$K80)/#REF!*DV79)</f>
        <v>#REF!</v>
      </c>
      <c r="DW80" s="181" t="e">
        <f>(DW78+(#REF!-$K80)/#REF!*DW79)</f>
        <v>#REF!</v>
      </c>
      <c r="DX80" s="181" t="e">
        <f>(DX78+(#REF!-$K80)/#REF!*DX79)</f>
        <v>#REF!</v>
      </c>
      <c r="DY80" s="181" t="e">
        <f>(DY78+(#REF!-$K80)/#REF!*DY79)</f>
        <v>#REF!</v>
      </c>
      <c r="DZ80" s="181" t="e">
        <f>(DZ78+(#REF!-$K80)/#REF!*DZ79)</f>
        <v>#REF!</v>
      </c>
      <c r="EA80" s="181" t="e">
        <f>(EA78+(#REF!-$K80)/#REF!*EA79)</f>
        <v>#REF!</v>
      </c>
      <c r="EB80" s="181" t="e">
        <f>(EB78+(#REF!-$K80)/#REF!*EB79)</f>
        <v>#REF!</v>
      </c>
      <c r="EC80" s="181" t="e">
        <f>(EC78+(#REF!-$K80)/#REF!*EC79)</f>
        <v>#REF!</v>
      </c>
      <c r="ED80" s="181" t="e">
        <f>(ED78+(#REF!-$K80)/#REF!*ED79)</f>
        <v>#REF!</v>
      </c>
      <c r="EE80" s="181" t="e">
        <f>(EE78+(#REF!-$K80)/#REF!*EE79)</f>
        <v>#REF!</v>
      </c>
      <c r="EF80" s="181" t="e">
        <f>(EF78+(#REF!-$K80)/#REF!*EF79)</f>
        <v>#REF!</v>
      </c>
      <c r="EG80" s="181" t="e">
        <f>(EG78+(#REF!-$K80)/#REF!*EG79)</f>
        <v>#REF!</v>
      </c>
      <c r="EH80" s="181" t="e">
        <f>(EH78+(#REF!-$K80)/#REF!*EH79)</f>
        <v>#REF!</v>
      </c>
      <c r="EI80" s="181" t="e">
        <f>(EI78+(#REF!-$K80)/#REF!*EI79)</f>
        <v>#REF!</v>
      </c>
      <c r="EJ80" s="181" t="e">
        <f>(EJ78+(#REF!-$K80)/#REF!*EJ79)</f>
        <v>#REF!</v>
      </c>
      <c r="EK80" s="181" t="e">
        <f>(EK78+(#REF!-$K80)/#REF!*EK79)</f>
        <v>#REF!</v>
      </c>
      <c r="EL80" s="181" t="e">
        <f>(EL78+(#REF!-$K80)/#REF!*EL79)</f>
        <v>#REF!</v>
      </c>
      <c r="EM80" s="181" t="e">
        <f>(EM78+(#REF!-$K80)/#REF!*EM79)</f>
        <v>#REF!</v>
      </c>
      <c r="EN80" s="181" t="e">
        <f>(EN78+(#REF!-$K80)/#REF!*EN79)</f>
        <v>#REF!</v>
      </c>
      <c r="EO80" s="181" t="e">
        <f>(EO78+(#REF!-$K80)/#REF!*EO79)</f>
        <v>#REF!</v>
      </c>
      <c r="EP80" s="181" t="e">
        <f>(EP78+(#REF!-$K80)/#REF!*EP79)</f>
        <v>#REF!</v>
      </c>
      <c r="EQ80" s="181" t="e">
        <f>(EQ78+(#REF!-$K80)/#REF!*EQ79)</f>
        <v>#REF!</v>
      </c>
      <c r="ER80" s="181" t="e">
        <f>(ER78+(#REF!-$K80)/#REF!*ER79)</f>
        <v>#REF!</v>
      </c>
      <c r="ES80" s="181" t="e">
        <f>(ES78+(#REF!-$K80)/#REF!*ES79)</f>
        <v>#REF!</v>
      </c>
      <c r="ET80" s="181" t="e">
        <f>(ET78+(#REF!-$K80)/#REF!*ET79)</f>
        <v>#REF!</v>
      </c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</row>
    <row r="81" spans="1:237" ht="12.75" customHeight="1" x14ac:dyDescent="0.25">
      <c r="C81" s="184" t="s">
        <v>183</v>
      </c>
      <c r="H81" s="54" t="s">
        <v>3</v>
      </c>
      <c r="N81" s="148"/>
      <c r="P81" s="10" t="e">
        <f t="shared" ref="P81:CA81" si="67">P78+P79-P80</f>
        <v>#REF!</v>
      </c>
      <c r="Q81" s="10" t="e">
        <f t="shared" si="67"/>
        <v>#REF!</v>
      </c>
      <c r="R81" s="10" t="e">
        <f t="shared" si="67"/>
        <v>#REF!</v>
      </c>
      <c r="S81" s="10" t="e">
        <f t="shared" si="67"/>
        <v>#REF!</v>
      </c>
      <c r="T81" s="10" t="e">
        <f t="shared" si="67"/>
        <v>#REF!</v>
      </c>
      <c r="U81" s="10" t="e">
        <f t="shared" si="67"/>
        <v>#REF!</v>
      </c>
      <c r="V81" s="10" t="e">
        <f t="shared" si="67"/>
        <v>#REF!</v>
      </c>
      <c r="W81" s="10" t="e">
        <f t="shared" si="67"/>
        <v>#REF!</v>
      </c>
      <c r="X81" s="10" t="e">
        <f t="shared" si="67"/>
        <v>#REF!</v>
      </c>
      <c r="Y81" s="10" t="e">
        <f t="shared" si="67"/>
        <v>#REF!</v>
      </c>
      <c r="Z81" s="10" t="e">
        <f t="shared" si="67"/>
        <v>#REF!</v>
      </c>
      <c r="AA81" s="10" t="e">
        <f t="shared" si="67"/>
        <v>#REF!</v>
      </c>
      <c r="AB81" s="10" t="e">
        <f t="shared" si="67"/>
        <v>#REF!</v>
      </c>
      <c r="AC81" s="10" t="e">
        <f t="shared" si="67"/>
        <v>#REF!</v>
      </c>
      <c r="AD81" s="10" t="e">
        <f t="shared" si="67"/>
        <v>#REF!</v>
      </c>
      <c r="AE81" s="10" t="e">
        <f t="shared" si="67"/>
        <v>#REF!</v>
      </c>
      <c r="AF81" s="10" t="e">
        <f t="shared" si="67"/>
        <v>#REF!</v>
      </c>
      <c r="AG81" s="10" t="e">
        <f t="shared" si="67"/>
        <v>#REF!</v>
      </c>
      <c r="AH81" s="10" t="e">
        <f t="shared" si="67"/>
        <v>#REF!</v>
      </c>
      <c r="AI81" s="10" t="e">
        <f t="shared" si="67"/>
        <v>#REF!</v>
      </c>
      <c r="AJ81" s="10" t="e">
        <f t="shared" si="67"/>
        <v>#REF!</v>
      </c>
      <c r="AK81" s="10" t="e">
        <f t="shared" si="67"/>
        <v>#REF!</v>
      </c>
      <c r="AL81" s="10" t="e">
        <f t="shared" si="67"/>
        <v>#REF!</v>
      </c>
      <c r="AM81" s="10" t="e">
        <f t="shared" si="67"/>
        <v>#REF!</v>
      </c>
      <c r="AN81" s="10" t="e">
        <f t="shared" si="67"/>
        <v>#REF!</v>
      </c>
      <c r="AO81" s="10" t="e">
        <f t="shared" si="67"/>
        <v>#REF!</v>
      </c>
      <c r="AP81" s="10" t="e">
        <f t="shared" si="67"/>
        <v>#REF!</v>
      </c>
      <c r="AQ81" s="10" t="e">
        <f t="shared" si="67"/>
        <v>#REF!</v>
      </c>
      <c r="AR81" s="10" t="e">
        <f t="shared" si="67"/>
        <v>#REF!</v>
      </c>
      <c r="AS81" s="10" t="e">
        <f t="shared" si="67"/>
        <v>#REF!</v>
      </c>
      <c r="AT81" s="10" t="e">
        <f t="shared" si="67"/>
        <v>#REF!</v>
      </c>
      <c r="AU81" s="10" t="e">
        <f t="shared" si="67"/>
        <v>#REF!</v>
      </c>
      <c r="AV81" s="10" t="e">
        <f t="shared" si="67"/>
        <v>#REF!</v>
      </c>
      <c r="AW81" s="10" t="e">
        <f t="shared" si="67"/>
        <v>#REF!</v>
      </c>
      <c r="AX81" s="10" t="e">
        <f t="shared" si="67"/>
        <v>#REF!</v>
      </c>
      <c r="AY81" s="10" t="e">
        <f t="shared" si="67"/>
        <v>#REF!</v>
      </c>
      <c r="AZ81" s="10" t="e">
        <f t="shared" si="67"/>
        <v>#REF!</v>
      </c>
      <c r="BA81" s="10" t="e">
        <f t="shared" si="67"/>
        <v>#REF!</v>
      </c>
      <c r="BB81" s="10" t="e">
        <f t="shared" si="67"/>
        <v>#REF!</v>
      </c>
      <c r="BC81" s="10" t="e">
        <f t="shared" si="67"/>
        <v>#REF!</v>
      </c>
      <c r="BD81" s="10" t="e">
        <f t="shared" si="67"/>
        <v>#REF!</v>
      </c>
      <c r="BE81" s="10" t="e">
        <f t="shared" si="67"/>
        <v>#REF!</v>
      </c>
      <c r="BF81" s="10" t="e">
        <f t="shared" si="67"/>
        <v>#REF!</v>
      </c>
      <c r="BG81" s="10" t="e">
        <f t="shared" si="67"/>
        <v>#REF!</v>
      </c>
      <c r="BH81" s="10" t="e">
        <f t="shared" si="67"/>
        <v>#REF!</v>
      </c>
      <c r="BI81" s="10" t="e">
        <f t="shared" si="67"/>
        <v>#REF!</v>
      </c>
      <c r="BJ81" s="10" t="e">
        <f t="shared" si="67"/>
        <v>#REF!</v>
      </c>
      <c r="BK81" s="10" t="e">
        <f t="shared" si="67"/>
        <v>#REF!</v>
      </c>
      <c r="BL81" s="10" t="e">
        <f t="shared" si="67"/>
        <v>#REF!</v>
      </c>
      <c r="BM81" s="10" t="e">
        <f t="shared" si="67"/>
        <v>#REF!</v>
      </c>
      <c r="BN81" s="10" t="e">
        <f t="shared" si="67"/>
        <v>#REF!</v>
      </c>
      <c r="BO81" s="10" t="e">
        <f t="shared" si="67"/>
        <v>#REF!</v>
      </c>
      <c r="BP81" s="10" t="e">
        <f t="shared" si="67"/>
        <v>#REF!</v>
      </c>
      <c r="BQ81" s="10" t="e">
        <f t="shared" si="67"/>
        <v>#REF!</v>
      </c>
      <c r="BR81" s="10" t="e">
        <f t="shared" si="67"/>
        <v>#REF!</v>
      </c>
      <c r="BS81" s="10" t="e">
        <f t="shared" si="67"/>
        <v>#REF!</v>
      </c>
      <c r="BT81" s="10" t="e">
        <f t="shared" si="67"/>
        <v>#REF!</v>
      </c>
      <c r="BU81" s="10" t="e">
        <f t="shared" si="67"/>
        <v>#REF!</v>
      </c>
      <c r="BV81" s="10" t="e">
        <f t="shared" si="67"/>
        <v>#REF!</v>
      </c>
      <c r="BW81" s="10" t="e">
        <f t="shared" si="67"/>
        <v>#REF!</v>
      </c>
      <c r="BX81" s="10" t="e">
        <f t="shared" si="67"/>
        <v>#REF!</v>
      </c>
      <c r="BY81" s="10" t="e">
        <f t="shared" si="67"/>
        <v>#REF!</v>
      </c>
      <c r="BZ81" s="10" t="e">
        <f t="shared" si="67"/>
        <v>#REF!</v>
      </c>
      <c r="CA81" s="10" t="e">
        <f t="shared" si="67"/>
        <v>#REF!</v>
      </c>
      <c r="CB81" s="10" t="e">
        <f t="shared" ref="CB81:EM81" si="68">CB78+CB79-CB80</f>
        <v>#REF!</v>
      </c>
      <c r="CC81" s="10" t="e">
        <f t="shared" si="68"/>
        <v>#REF!</v>
      </c>
      <c r="CD81" s="10" t="e">
        <f t="shared" si="68"/>
        <v>#REF!</v>
      </c>
      <c r="CE81" s="10" t="e">
        <f t="shared" si="68"/>
        <v>#REF!</v>
      </c>
      <c r="CF81" s="10" t="e">
        <f t="shared" si="68"/>
        <v>#REF!</v>
      </c>
      <c r="CG81" s="10" t="e">
        <f t="shared" si="68"/>
        <v>#REF!</v>
      </c>
      <c r="CH81" s="10" t="e">
        <f t="shared" si="68"/>
        <v>#REF!</v>
      </c>
      <c r="CI81" s="10" t="e">
        <f t="shared" si="68"/>
        <v>#REF!</v>
      </c>
      <c r="CJ81" s="10" t="e">
        <f t="shared" si="68"/>
        <v>#REF!</v>
      </c>
      <c r="CK81" s="10" t="e">
        <f t="shared" si="68"/>
        <v>#REF!</v>
      </c>
      <c r="CL81" s="10" t="e">
        <f t="shared" si="68"/>
        <v>#REF!</v>
      </c>
      <c r="CM81" s="10" t="e">
        <f t="shared" si="68"/>
        <v>#REF!</v>
      </c>
      <c r="CN81" s="10" t="e">
        <f t="shared" si="68"/>
        <v>#REF!</v>
      </c>
      <c r="CO81" s="10" t="e">
        <f t="shared" si="68"/>
        <v>#REF!</v>
      </c>
      <c r="CP81" s="10" t="e">
        <f t="shared" si="68"/>
        <v>#REF!</v>
      </c>
      <c r="CQ81" s="10" t="e">
        <f t="shared" si="68"/>
        <v>#REF!</v>
      </c>
      <c r="CR81" s="10" t="e">
        <f t="shared" ref="CR81:CT81" si="69">CR78+CR79-CR80</f>
        <v>#REF!</v>
      </c>
      <c r="CS81" s="10" t="e">
        <f t="shared" si="69"/>
        <v>#REF!</v>
      </c>
      <c r="CT81" s="10" t="e">
        <f t="shared" si="69"/>
        <v>#REF!</v>
      </c>
      <c r="CU81" s="10" t="e">
        <f t="shared" si="68"/>
        <v>#REF!</v>
      </c>
      <c r="CV81" s="10" t="e">
        <f t="shared" si="68"/>
        <v>#REF!</v>
      </c>
      <c r="CW81" s="10" t="e">
        <f t="shared" si="68"/>
        <v>#REF!</v>
      </c>
      <c r="CX81" s="10" t="e">
        <f t="shared" si="68"/>
        <v>#REF!</v>
      </c>
      <c r="CY81" s="10" t="e">
        <f t="shared" si="68"/>
        <v>#REF!</v>
      </c>
      <c r="CZ81" s="10" t="e">
        <f t="shared" si="68"/>
        <v>#REF!</v>
      </c>
      <c r="DA81" s="10" t="e">
        <f t="shared" si="68"/>
        <v>#REF!</v>
      </c>
      <c r="DB81" s="10" t="e">
        <f t="shared" si="68"/>
        <v>#REF!</v>
      </c>
      <c r="DC81" s="10" t="e">
        <f t="shared" si="68"/>
        <v>#REF!</v>
      </c>
      <c r="DD81" s="10" t="e">
        <f t="shared" si="68"/>
        <v>#REF!</v>
      </c>
      <c r="DE81" s="10" t="e">
        <f t="shared" si="68"/>
        <v>#REF!</v>
      </c>
      <c r="DF81" s="10" t="e">
        <f t="shared" si="68"/>
        <v>#REF!</v>
      </c>
      <c r="DG81" s="10" t="e">
        <f t="shared" si="68"/>
        <v>#REF!</v>
      </c>
      <c r="DH81" s="10" t="e">
        <f t="shared" si="68"/>
        <v>#REF!</v>
      </c>
      <c r="DI81" s="10" t="e">
        <f t="shared" si="68"/>
        <v>#REF!</v>
      </c>
      <c r="DJ81" s="10" t="e">
        <f t="shared" si="68"/>
        <v>#REF!</v>
      </c>
      <c r="DK81" s="10" t="e">
        <f t="shared" si="68"/>
        <v>#REF!</v>
      </c>
      <c r="DL81" s="10" t="e">
        <f t="shared" si="68"/>
        <v>#REF!</v>
      </c>
      <c r="DM81" s="10" t="e">
        <f t="shared" si="68"/>
        <v>#REF!</v>
      </c>
      <c r="DN81" s="10" t="e">
        <f t="shared" si="68"/>
        <v>#REF!</v>
      </c>
      <c r="DO81" s="10" t="e">
        <f t="shared" si="68"/>
        <v>#REF!</v>
      </c>
      <c r="DP81" s="10" t="e">
        <f t="shared" si="68"/>
        <v>#REF!</v>
      </c>
      <c r="DQ81" s="10" t="e">
        <f t="shared" si="68"/>
        <v>#REF!</v>
      </c>
      <c r="DR81" s="10" t="e">
        <f t="shared" si="68"/>
        <v>#REF!</v>
      </c>
      <c r="DS81" s="10" t="e">
        <f t="shared" si="68"/>
        <v>#REF!</v>
      </c>
      <c r="DT81" s="10" t="e">
        <f t="shared" si="68"/>
        <v>#REF!</v>
      </c>
      <c r="DU81" s="10" t="e">
        <f t="shared" si="68"/>
        <v>#REF!</v>
      </c>
      <c r="DV81" s="10" t="e">
        <f t="shared" si="68"/>
        <v>#REF!</v>
      </c>
      <c r="DW81" s="10" t="e">
        <f t="shared" si="68"/>
        <v>#REF!</v>
      </c>
      <c r="DX81" s="10" t="e">
        <f t="shared" si="68"/>
        <v>#REF!</v>
      </c>
      <c r="DY81" s="10" t="e">
        <f t="shared" si="68"/>
        <v>#REF!</v>
      </c>
      <c r="DZ81" s="10" t="e">
        <f t="shared" si="68"/>
        <v>#REF!</v>
      </c>
      <c r="EA81" s="10" t="e">
        <f t="shared" si="68"/>
        <v>#REF!</v>
      </c>
      <c r="EB81" s="10" t="e">
        <f t="shared" si="68"/>
        <v>#REF!</v>
      </c>
      <c r="EC81" s="10" t="e">
        <f t="shared" si="68"/>
        <v>#REF!</v>
      </c>
      <c r="ED81" s="10" t="e">
        <f t="shared" si="68"/>
        <v>#REF!</v>
      </c>
      <c r="EE81" s="10" t="e">
        <f t="shared" si="68"/>
        <v>#REF!</v>
      </c>
      <c r="EF81" s="10" t="e">
        <f t="shared" si="68"/>
        <v>#REF!</v>
      </c>
      <c r="EG81" s="10" t="e">
        <f t="shared" si="68"/>
        <v>#REF!</v>
      </c>
      <c r="EH81" s="10" t="e">
        <f t="shared" si="68"/>
        <v>#REF!</v>
      </c>
      <c r="EI81" s="10" t="e">
        <f t="shared" si="68"/>
        <v>#REF!</v>
      </c>
      <c r="EJ81" s="10" t="e">
        <f t="shared" si="68"/>
        <v>#REF!</v>
      </c>
      <c r="EK81" s="10" t="e">
        <f t="shared" si="68"/>
        <v>#REF!</v>
      </c>
      <c r="EL81" s="10" t="e">
        <f t="shared" si="68"/>
        <v>#REF!</v>
      </c>
      <c r="EM81" s="10" t="e">
        <f t="shared" si="68"/>
        <v>#REF!</v>
      </c>
      <c r="EN81" s="10" t="e">
        <f t="shared" ref="EN81:ET81" si="70">EN78+EN79-EN80</f>
        <v>#REF!</v>
      </c>
      <c r="EO81" s="10" t="e">
        <f t="shared" si="70"/>
        <v>#REF!</v>
      </c>
      <c r="EP81" s="10" t="e">
        <f t="shared" si="70"/>
        <v>#REF!</v>
      </c>
      <c r="EQ81" s="10" t="e">
        <f t="shared" si="70"/>
        <v>#REF!</v>
      </c>
      <c r="ER81" s="10" t="e">
        <f t="shared" si="70"/>
        <v>#REF!</v>
      </c>
      <c r="ES81" s="10" t="e">
        <f t="shared" si="70"/>
        <v>#REF!</v>
      </c>
      <c r="ET81" s="10" t="e">
        <f t="shared" si="70"/>
        <v>#REF!</v>
      </c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</row>
    <row r="82" spans="1:237" ht="12.75" customHeight="1" x14ac:dyDescent="0.25">
      <c r="H82" s="54"/>
      <c r="N82" s="148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</row>
    <row r="83" spans="1:237" ht="12.75" customHeight="1" x14ac:dyDescent="0.25">
      <c r="C83" t="s">
        <v>188</v>
      </c>
      <c r="H83" s="54" t="s">
        <v>3</v>
      </c>
      <c r="N83" s="25" t="e">
        <f>SUM(P83:CQ83)</f>
        <v>#REF!</v>
      </c>
      <c r="P83" s="10" t="e">
        <f t="shared" ref="P83:CA83" si="71">(P81-P78)</f>
        <v>#REF!</v>
      </c>
      <c r="Q83" s="10" t="e">
        <f t="shared" si="71"/>
        <v>#REF!</v>
      </c>
      <c r="R83" s="10" t="e">
        <f t="shared" si="71"/>
        <v>#REF!</v>
      </c>
      <c r="S83" s="10" t="e">
        <f t="shared" si="71"/>
        <v>#REF!</v>
      </c>
      <c r="T83" s="10" t="e">
        <f t="shared" si="71"/>
        <v>#REF!</v>
      </c>
      <c r="U83" s="10" t="e">
        <f t="shared" si="71"/>
        <v>#REF!</v>
      </c>
      <c r="V83" s="10" t="e">
        <f t="shared" si="71"/>
        <v>#REF!</v>
      </c>
      <c r="W83" s="10" t="e">
        <f t="shared" si="71"/>
        <v>#REF!</v>
      </c>
      <c r="X83" s="10" t="e">
        <f t="shared" si="71"/>
        <v>#REF!</v>
      </c>
      <c r="Y83" s="10" t="e">
        <f t="shared" si="71"/>
        <v>#REF!</v>
      </c>
      <c r="Z83" s="10" t="e">
        <f t="shared" si="71"/>
        <v>#REF!</v>
      </c>
      <c r="AA83" s="10" t="e">
        <f t="shared" si="71"/>
        <v>#REF!</v>
      </c>
      <c r="AB83" s="10" t="e">
        <f t="shared" si="71"/>
        <v>#REF!</v>
      </c>
      <c r="AC83" s="10" t="e">
        <f t="shared" si="71"/>
        <v>#REF!</v>
      </c>
      <c r="AD83" s="10" t="e">
        <f t="shared" si="71"/>
        <v>#REF!</v>
      </c>
      <c r="AE83" s="10" t="e">
        <f t="shared" si="71"/>
        <v>#REF!</v>
      </c>
      <c r="AF83" s="10" t="e">
        <f t="shared" si="71"/>
        <v>#REF!</v>
      </c>
      <c r="AG83" s="10" t="e">
        <f t="shared" si="71"/>
        <v>#REF!</v>
      </c>
      <c r="AH83" s="10" t="e">
        <f t="shared" si="71"/>
        <v>#REF!</v>
      </c>
      <c r="AI83" s="10" t="e">
        <f t="shared" si="71"/>
        <v>#REF!</v>
      </c>
      <c r="AJ83" s="10" t="e">
        <f t="shared" si="71"/>
        <v>#REF!</v>
      </c>
      <c r="AK83" s="10" t="e">
        <f t="shared" si="71"/>
        <v>#REF!</v>
      </c>
      <c r="AL83" s="10" t="e">
        <f t="shared" si="71"/>
        <v>#REF!</v>
      </c>
      <c r="AM83" s="10" t="e">
        <f t="shared" si="71"/>
        <v>#REF!</v>
      </c>
      <c r="AN83" s="10" t="e">
        <f t="shared" si="71"/>
        <v>#REF!</v>
      </c>
      <c r="AO83" s="10" t="e">
        <f t="shared" si="71"/>
        <v>#REF!</v>
      </c>
      <c r="AP83" s="10" t="e">
        <f t="shared" si="71"/>
        <v>#REF!</v>
      </c>
      <c r="AQ83" s="10" t="e">
        <f t="shared" si="71"/>
        <v>#REF!</v>
      </c>
      <c r="AR83" s="10" t="e">
        <f t="shared" si="71"/>
        <v>#REF!</v>
      </c>
      <c r="AS83" s="10" t="e">
        <f t="shared" si="71"/>
        <v>#REF!</v>
      </c>
      <c r="AT83" s="10" t="e">
        <f t="shared" si="71"/>
        <v>#REF!</v>
      </c>
      <c r="AU83" s="10" t="e">
        <f t="shared" si="71"/>
        <v>#REF!</v>
      </c>
      <c r="AV83" s="10" t="e">
        <f t="shared" si="71"/>
        <v>#REF!</v>
      </c>
      <c r="AW83" s="10" t="e">
        <f t="shared" si="71"/>
        <v>#REF!</v>
      </c>
      <c r="AX83" s="10" t="e">
        <f t="shared" si="71"/>
        <v>#REF!</v>
      </c>
      <c r="AY83" s="10" t="e">
        <f t="shared" si="71"/>
        <v>#REF!</v>
      </c>
      <c r="AZ83" s="10" t="e">
        <f t="shared" si="71"/>
        <v>#REF!</v>
      </c>
      <c r="BA83" s="10" t="e">
        <f t="shared" si="71"/>
        <v>#REF!</v>
      </c>
      <c r="BB83" s="10" t="e">
        <f t="shared" si="71"/>
        <v>#REF!</v>
      </c>
      <c r="BC83" s="10" t="e">
        <f t="shared" si="71"/>
        <v>#REF!</v>
      </c>
      <c r="BD83" s="10" t="e">
        <f t="shared" si="71"/>
        <v>#REF!</v>
      </c>
      <c r="BE83" s="10" t="e">
        <f t="shared" si="71"/>
        <v>#REF!</v>
      </c>
      <c r="BF83" s="10" t="e">
        <f t="shared" si="71"/>
        <v>#REF!</v>
      </c>
      <c r="BG83" s="10" t="e">
        <f t="shared" si="71"/>
        <v>#REF!</v>
      </c>
      <c r="BH83" s="10" t="e">
        <f t="shared" si="71"/>
        <v>#REF!</v>
      </c>
      <c r="BI83" s="10" t="e">
        <f t="shared" si="71"/>
        <v>#REF!</v>
      </c>
      <c r="BJ83" s="10" t="e">
        <f t="shared" si="71"/>
        <v>#REF!</v>
      </c>
      <c r="BK83" s="10" t="e">
        <f t="shared" si="71"/>
        <v>#REF!</v>
      </c>
      <c r="BL83" s="10" t="e">
        <f t="shared" si="71"/>
        <v>#REF!</v>
      </c>
      <c r="BM83" s="10" t="e">
        <f t="shared" si="71"/>
        <v>#REF!</v>
      </c>
      <c r="BN83" s="10" t="e">
        <f t="shared" si="71"/>
        <v>#REF!</v>
      </c>
      <c r="BO83" s="10" t="e">
        <f t="shared" si="71"/>
        <v>#REF!</v>
      </c>
      <c r="BP83" s="10" t="e">
        <f t="shared" si="71"/>
        <v>#REF!</v>
      </c>
      <c r="BQ83" s="10" t="e">
        <f t="shared" si="71"/>
        <v>#REF!</v>
      </c>
      <c r="BR83" s="10" t="e">
        <f t="shared" si="71"/>
        <v>#REF!</v>
      </c>
      <c r="BS83" s="10" t="e">
        <f t="shared" si="71"/>
        <v>#REF!</v>
      </c>
      <c r="BT83" s="10" t="e">
        <f t="shared" si="71"/>
        <v>#REF!</v>
      </c>
      <c r="BU83" s="10" t="e">
        <f t="shared" si="71"/>
        <v>#REF!</v>
      </c>
      <c r="BV83" s="10" t="e">
        <f t="shared" si="71"/>
        <v>#REF!</v>
      </c>
      <c r="BW83" s="10" t="e">
        <f t="shared" si="71"/>
        <v>#REF!</v>
      </c>
      <c r="BX83" s="10" t="e">
        <f t="shared" si="71"/>
        <v>#REF!</v>
      </c>
      <c r="BY83" s="10" t="e">
        <f t="shared" si="71"/>
        <v>#REF!</v>
      </c>
      <c r="BZ83" s="10" t="e">
        <f t="shared" si="71"/>
        <v>#REF!</v>
      </c>
      <c r="CA83" s="10" t="e">
        <f t="shared" si="71"/>
        <v>#REF!</v>
      </c>
      <c r="CB83" s="10" t="e">
        <f t="shared" ref="CB83:EM83" si="72">(CB81-CB78)</f>
        <v>#REF!</v>
      </c>
      <c r="CC83" s="10" t="e">
        <f t="shared" si="72"/>
        <v>#REF!</v>
      </c>
      <c r="CD83" s="10" t="e">
        <f t="shared" si="72"/>
        <v>#REF!</v>
      </c>
      <c r="CE83" s="10" t="e">
        <f t="shared" si="72"/>
        <v>#REF!</v>
      </c>
      <c r="CF83" s="10" t="e">
        <f t="shared" si="72"/>
        <v>#REF!</v>
      </c>
      <c r="CG83" s="10" t="e">
        <f t="shared" si="72"/>
        <v>#REF!</v>
      </c>
      <c r="CH83" s="10" t="e">
        <f t="shared" si="72"/>
        <v>#REF!</v>
      </c>
      <c r="CI83" s="10" t="e">
        <f t="shared" si="72"/>
        <v>#REF!</v>
      </c>
      <c r="CJ83" s="10" t="e">
        <f t="shared" si="72"/>
        <v>#REF!</v>
      </c>
      <c r="CK83" s="10" t="e">
        <f t="shared" si="72"/>
        <v>#REF!</v>
      </c>
      <c r="CL83" s="10" t="e">
        <f t="shared" si="72"/>
        <v>#REF!</v>
      </c>
      <c r="CM83" s="10" t="e">
        <f t="shared" si="72"/>
        <v>#REF!</v>
      </c>
      <c r="CN83" s="10" t="e">
        <f t="shared" si="72"/>
        <v>#REF!</v>
      </c>
      <c r="CO83" s="10" t="e">
        <f t="shared" si="72"/>
        <v>#REF!</v>
      </c>
      <c r="CP83" s="10" t="e">
        <f t="shared" si="72"/>
        <v>#REF!</v>
      </c>
      <c r="CQ83" s="10" t="e">
        <f t="shared" si="72"/>
        <v>#REF!</v>
      </c>
      <c r="CR83" s="10" t="e">
        <f t="shared" ref="CR83:CT83" si="73">(CR81-CR78)</f>
        <v>#REF!</v>
      </c>
      <c r="CS83" s="10" t="e">
        <f t="shared" si="73"/>
        <v>#REF!</v>
      </c>
      <c r="CT83" s="10" t="e">
        <f t="shared" si="73"/>
        <v>#REF!</v>
      </c>
      <c r="CU83" s="10" t="e">
        <f t="shared" si="72"/>
        <v>#REF!</v>
      </c>
      <c r="CV83" s="10" t="e">
        <f t="shared" si="72"/>
        <v>#REF!</v>
      </c>
      <c r="CW83" s="10" t="e">
        <f t="shared" si="72"/>
        <v>#REF!</v>
      </c>
      <c r="CX83" s="10" t="e">
        <f t="shared" si="72"/>
        <v>#REF!</v>
      </c>
      <c r="CY83" s="10" t="e">
        <f t="shared" si="72"/>
        <v>#REF!</v>
      </c>
      <c r="CZ83" s="10" t="e">
        <f t="shared" si="72"/>
        <v>#REF!</v>
      </c>
      <c r="DA83" s="10" t="e">
        <f t="shared" si="72"/>
        <v>#REF!</v>
      </c>
      <c r="DB83" s="10" t="e">
        <f t="shared" si="72"/>
        <v>#REF!</v>
      </c>
      <c r="DC83" s="10" t="e">
        <f t="shared" si="72"/>
        <v>#REF!</v>
      </c>
      <c r="DD83" s="10" t="e">
        <f t="shared" si="72"/>
        <v>#REF!</v>
      </c>
      <c r="DE83" s="10" t="e">
        <f t="shared" si="72"/>
        <v>#REF!</v>
      </c>
      <c r="DF83" s="10" t="e">
        <f t="shared" si="72"/>
        <v>#REF!</v>
      </c>
      <c r="DG83" s="10" t="e">
        <f t="shared" si="72"/>
        <v>#REF!</v>
      </c>
      <c r="DH83" s="10" t="e">
        <f t="shared" si="72"/>
        <v>#REF!</v>
      </c>
      <c r="DI83" s="10" t="e">
        <f t="shared" si="72"/>
        <v>#REF!</v>
      </c>
      <c r="DJ83" s="10" t="e">
        <f t="shared" si="72"/>
        <v>#REF!</v>
      </c>
      <c r="DK83" s="10" t="e">
        <f t="shared" si="72"/>
        <v>#REF!</v>
      </c>
      <c r="DL83" s="10" t="e">
        <f t="shared" si="72"/>
        <v>#REF!</v>
      </c>
      <c r="DM83" s="10" t="e">
        <f t="shared" si="72"/>
        <v>#REF!</v>
      </c>
      <c r="DN83" s="10" t="e">
        <f t="shared" si="72"/>
        <v>#REF!</v>
      </c>
      <c r="DO83" s="10" t="e">
        <f t="shared" si="72"/>
        <v>#REF!</v>
      </c>
      <c r="DP83" s="10" t="e">
        <f t="shared" si="72"/>
        <v>#REF!</v>
      </c>
      <c r="DQ83" s="10" t="e">
        <f t="shared" si="72"/>
        <v>#REF!</v>
      </c>
      <c r="DR83" s="10" t="e">
        <f t="shared" si="72"/>
        <v>#REF!</v>
      </c>
      <c r="DS83" s="10" t="e">
        <f t="shared" si="72"/>
        <v>#REF!</v>
      </c>
      <c r="DT83" s="10" t="e">
        <f t="shared" si="72"/>
        <v>#REF!</v>
      </c>
      <c r="DU83" s="10" t="e">
        <f t="shared" si="72"/>
        <v>#REF!</v>
      </c>
      <c r="DV83" s="10" t="e">
        <f t="shared" si="72"/>
        <v>#REF!</v>
      </c>
      <c r="DW83" s="10" t="e">
        <f t="shared" si="72"/>
        <v>#REF!</v>
      </c>
      <c r="DX83" s="10" t="e">
        <f t="shared" si="72"/>
        <v>#REF!</v>
      </c>
      <c r="DY83" s="10" t="e">
        <f t="shared" si="72"/>
        <v>#REF!</v>
      </c>
      <c r="DZ83" s="10" t="e">
        <f t="shared" si="72"/>
        <v>#REF!</v>
      </c>
      <c r="EA83" s="10" t="e">
        <f t="shared" si="72"/>
        <v>#REF!</v>
      </c>
      <c r="EB83" s="10" t="e">
        <f t="shared" si="72"/>
        <v>#REF!</v>
      </c>
      <c r="EC83" s="10" t="e">
        <f t="shared" si="72"/>
        <v>#REF!</v>
      </c>
      <c r="ED83" s="10" t="e">
        <f t="shared" si="72"/>
        <v>#REF!</v>
      </c>
      <c r="EE83" s="10" t="e">
        <f t="shared" si="72"/>
        <v>#REF!</v>
      </c>
      <c r="EF83" s="10" t="e">
        <f t="shared" si="72"/>
        <v>#REF!</v>
      </c>
      <c r="EG83" s="10" t="e">
        <f t="shared" si="72"/>
        <v>#REF!</v>
      </c>
      <c r="EH83" s="10" t="e">
        <f t="shared" si="72"/>
        <v>#REF!</v>
      </c>
      <c r="EI83" s="10" t="e">
        <f t="shared" si="72"/>
        <v>#REF!</v>
      </c>
      <c r="EJ83" s="10" t="e">
        <f t="shared" si="72"/>
        <v>#REF!</v>
      </c>
      <c r="EK83" s="10" t="e">
        <f t="shared" si="72"/>
        <v>#REF!</v>
      </c>
      <c r="EL83" s="10" t="e">
        <f t="shared" si="72"/>
        <v>#REF!</v>
      </c>
      <c r="EM83" s="10" t="e">
        <f t="shared" si="72"/>
        <v>#REF!</v>
      </c>
      <c r="EN83" s="10" t="e">
        <f t="shared" ref="EN83:ET83" si="74">(EN81-EN78)</f>
        <v>#REF!</v>
      </c>
      <c r="EO83" s="10" t="e">
        <f t="shared" si="74"/>
        <v>#REF!</v>
      </c>
      <c r="EP83" s="10" t="e">
        <f t="shared" si="74"/>
        <v>#REF!</v>
      </c>
      <c r="EQ83" s="10" t="e">
        <f t="shared" si="74"/>
        <v>#REF!</v>
      </c>
      <c r="ER83" s="10" t="e">
        <f t="shared" si="74"/>
        <v>#REF!</v>
      </c>
      <c r="ES83" s="10" t="e">
        <f t="shared" si="74"/>
        <v>#REF!</v>
      </c>
      <c r="ET83" s="10" t="e">
        <f t="shared" si="74"/>
        <v>#REF!</v>
      </c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</row>
    <row r="84" spans="1:237" ht="12.75" customHeight="1" x14ac:dyDescent="0.25">
      <c r="H84" s="54"/>
      <c r="N84" s="148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</row>
    <row r="85" spans="1:237" ht="12.75" customHeight="1" x14ac:dyDescent="0.25">
      <c r="B85" s="21" t="s">
        <v>189</v>
      </c>
      <c r="H85" s="54"/>
      <c r="N85" s="148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</row>
    <row r="86" spans="1:237" ht="12.75" customHeight="1" x14ac:dyDescent="0.25">
      <c r="B86" s="23"/>
      <c r="H86" s="54"/>
      <c r="N86" s="148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</row>
    <row r="87" spans="1:237" ht="12.75" customHeight="1" x14ac:dyDescent="0.25">
      <c r="C87" t="str">
        <f>B67</f>
        <v>Accounts Receivable</v>
      </c>
      <c r="H87" s="54" t="s">
        <v>3</v>
      </c>
      <c r="N87" s="19"/>
      <c r="P87" s="10" t="e">
        <f>P74</f>
        <v>#REF!</v>
      </c>
      <c r="Q87" s="10" t="e">
        <f t="shared" ref="Q87:CB87" si="75">Q74</f>
        <v>#REF!</v>
      </c>
      <c r="R87" s="10" t="e">
        <f t="shared" si="75"/>
        <v>#REF!</v>
      </c>
      <c r="S87" s="10" t="e">
        <f t="shared" si="75"/>
        <v>#REF!</v>
      </c>
      <c r="T87" s="10" t="e">
        <f t="shared" si="75"/>
        <v>#REF!</v>
      </c>
      <c r="U87" s="10" t="e">
        <f t="shared" si="75"/>
        <v>#REF!</v>
      </c>
      <c r="V87" s="10" t="e">
        <f t="shared" si="75"/>
        <v>#REF!</v>
      </c>
      <c r="W87" s="10" t="e">
        <f t="shared" si="75"/>
        <v>#REF!</v>
      </c>
      <c r="X87" s="10" t="e">
        <f t="shared" si="75"/>
        <v>#REF!</v>
      </c>
      <c r="Y87" s="10" t="e">
        <f t="shared" si="75"/>
        <v>#REF!</v>
      </c>
      <c r="Z87" s="10" t="e">
        <f t="shared" si="75"/>
        <v>#REF!</v>
      </c>
      <c r="AA87" s="10" t="e">
        <f t="shared" si="75"/>
        <v>#REF!</v>
      </c>
      <c r="AB87" s="10" t="e">
        <f t="shared" si="75"/>
        <v>#REF!</v>
      </c>
      <c r="AC87" s="10" t="e">
        <f t="shared" si="75"/>
        <v>#REF!</v>
      </c>
      <c r="AD87" s="10" t="e">
        <f t="shared" si="75"/>
        <v>#REF!</v>
      </c>
      <c r="AE87" s="10" t="e">
        <f t="shared" si="75"/>
        <v>#REF!</v>
      </c>
      <c r="AF87" s="10" t="e">
        <f t="shared" si="75"/>
        <v>#REF!</v>
      </c>
      <c r="AG87" s="10" t="e">
        <f t="shared" si="75"/>
        <v>#REF!</v>
      </c>
      <c r="AH87" s="10" t="e">
        <f t="shared" si="75"/>
        <v>#REF!</v>
      </c>
      <c r="AI87" s="10" t="e">
        <f t="shared" si="75"/>
        <v>#REF!</v>
      </c>
      <c r="AJ87" s="10" t="e">
        <f t="shared" si="75"/>
        <v>#REF!</v>
      </c>
      <c r="AK87" s="10" t="e">
        <f t="shared" si="75"/>
        <v>#REF!</v>
      </c>
      <c r="AL87" s="10" t="e">
        <f t="shared" si="75"/>
        <v>#REF!</v>
      </c>
      <c r="AM87" s="10" t="e">
        <f t="shared" si="75"/>
        <v>#REF!</v>
      </c>
      <c r="AN87" s="10" t="e">
        <f t="shared" si="75"/>
        <v>#REF!</v>
      </c>
      <c r="AO87" s="10" t="e">
        <f t="shared" si="75"/>
        <v>#REF!</v>
      </c>
      <c r="AP87" s="10" t="e">
        <f t="shared" si="75"/>
        <v>#REF!</v>
      </c>
      <c r="AQ87" s="10" t="e">
        <f t="shared" si="75"/>
        <v>#REF!</v>
      </c>
      <c r="AR87" s="10" t="e">
        <f t="shared" si="75"/>
        <v>#REF!</v>
      </c>
      <c r="AS87" s="10" t="e">
        <f t="shared" si="75"/>
        <v>#REF!</v>
      </c>
      <c r="AT87" s="10" t="e">
        <f t="shared" si="75"/>
        <v>#REF!</v>
      </c>
      <c r="AU87" s="10" t="e">
        <f t="shared" si="75"/>
        <v>#REF!</v>
      </c>
      <c r="AV87" s="10" t="e">
        <f t="shared" si="75"/>
        <v>#REF!</v>
      </c>
      <c r="AW87" s="10" t="e">
        <f t="shared" si="75"/>
        <v>#REF!</v>
      </c>
      <c r="AX87" s="10" t="e">
        <f t="shared" si="75"/>
        <v>#REF!</v>
      </c>
      <c r="AY87" s="10" t="e">
        <f t="shared" si="75"/>
        <v>#REF!</v>
      </c>
      <c r="AZ87" s="10" t="e">
        <f t="shared" si="75"/>
        <v>#REF!</v>
      </c>
      <c r="BA87" s="10" t="e">
        <f t="shared" si="75"/>
        <v>#REF!</v>
      </c>
      <c r="BB87" s="10" t="e">
        <f t="shared" si="75"/>
        <v>#REF!</v>
      </c>
      <c r="BC87" s="10" t="e">
        <f t="shared" si="75"/>
        <v>#REF!</v>
      </c>
      <c r="BD87" s="10" t="e">
        <f t="shared" si="75"/>
        <v>#REF!</v>
      </c>
      <c r="BE87" s="10" t="e">
        <f t="shared" si="75"/>
        <v>#REF!</v>
      </c>
      <c r="BF87" s="10" t="e">
        <f t="shared" si="75"/>
        <v>#REF!</v>
      </c>
      <c r="BG87" s="10" t="e">
        <f t="shared" si="75"/>
        <v>#REF!</v>
      </c>
      <c r="BH87" s="10" t="e">
        <f t="shared" si="75"/>
        <v>#REF!</v>
      </c>
      <c r="BI87" s="10" t="e">
        <f t="shared" si="75"/>
        <v>#REF!</v>
      </c>
      <c r="BJ87" s="10" t="e">
        <f t="shared" si="75"/>
        <v>#REF!</v>
      </c>
      <c r="BK87" s="10" t="e">
        <f t="shared" si="75"/>
        <v>#REF!</v>
      </c>
      <c r="BL87" s="10" t="e">
        <f t="shared" si="75"/>
        <v>#REF!</v>
      </c>
      <c r="BM87" s="10" t="e">
        <f t="shared" si="75"/>
        <v>#REF!</v>
      </c>
      <c r="BN87" s="10" t="e">
        <f t="shared" si="75"/>
        <v>#REF!</v>
      </c>
      <c r="BO87" s="10" t="e">
        <f t="shared" si="75"/>
        <v>#REF!</v>
      </c>
      <c r="BP87" s="10" t="e">
        <f t="shared" si="75"/>
        <v>#REF!</v>
      </c>
      <c r="BQ87" s="10" t="e">
        <f t="shared" si="75"/>
        <v>#REF!</v>
      </c>
      <c r="BR87" s="10" t="e">
        <f t="shared" si="75"/>
        <v>#REF!</v>
      </c>
      <c r="BS87" s="10" t="e">
        <f t="shared" si="75"/>
        <v>#REF!</v>
      </c>
      <c r="BT87" s="10" t="e">
        <f t="shared" si="75"/>
        <v>#REF!</v>
      </c>
      <c r="BU87" s="10" t="e">
        <f t="shared" si="75"/>
        <v>#REF!</v>
      </c>
      <c r="BV87" s="10" t="e">
        <f t="shared" si="75"/>
        <v>#REF!</v>
      </c>
      <c r="BW87" s="10" t="e">
        <f t="shared" si="75"/>
        <v>#REF!</v>
      </c>
      <c r="BX87" s="10" t="e">
        <f t="shared" si="75"/>
        <v>#REF!</v>
      </c>
      <c r="BY87" s="10" t="e">
        <f t="shared" si="75"/>
        <v>#REF!</v>
      </c>
      <c r="BZ87" s="10" t="e">
        <f t="shared" si="75"/>
        <v>#REF!</v>
      </c>
      <c r="CA87" s="10" t="e">
        <f t="shared" si="75"/>
        <v>#REF!</v>
      </c>
      <c r="CB87" s="10" t="e">
        <f t="shared" si="75"/>
        <v>#REF!</v>
      </c>
      <c r="CC87" s="10" t="e">
        <f t="shared" ref="CC87:CQ87" si="76">CC74</f>
        <v>#REF!</v>
      </c>
      <c r="CD87" s="10" t="e">
        <f t="shared" si="76"/>
        <v>#REF!</v>
      </c>
      <c r="CE87" s="10" t="e">
        <f t="shared" si="76"/>
        <v>#REF!</v>
      </c>
      <c r="CF87" s="10" t="e">
        <f t="shared" si="76"/>
        <v>#REF!</v>
      </c>
      <c r="CG87" s="10" t="e">
        <f t="shared" si="76"/>
        <v>#REF!</v>
      </c>
      <c r="CH87" s="10" t="e">
        <f t="shared" si="76"/>
        <v>#REF!</v>
      </c>
      <c r="CI87" s="10" t="e">
        <f t="shared" si="76"/>
        <v>#REF!</v>
      </c>
      <c r="CJ87" s="10" t="e">
        <f t="shared" si="76"/>
        <v>#REF!</v>
      </c>
      <c r="CK87" s="10" t="e">
        <f t="shared" si="76"/>
        <v>#REF!</v>
      </c>
      <c r="CL87" s="10" t="e">
        <f t="shared" si="76"/>
        <v>#REF!</v>
      </c>
      <c r="CM87" s="10" t="e">
        <f t="shared" si="76"/>
        <v>#REF!</v>
      </c>
      <c r="CN87" s="10" t="e">
        <f t="shared" si="76"/>
        <v>#REF!</v>
      </c>
      <c r="CO87" s="10" t="e">
        <f t="shared" si="76"/>
        <v>#REF!</v>
      </c>
      <c r="CP87" s="10" t="e">
        <f t="shared" si="76"/>
        <v>#REF!</v>
      </c>
      <c r="CQ87" s="10" t="e">
        <f t="shared" si="76"/>
        <v>#REF!</v>
      </c>
      <c r="CR87" s="10" t="e">
        <f t="shared" ref="CR87:CT87" si="77">CR74</f>
        <v>#REF!</v>
      </c>
      <c r="CS87" s="10" t="e">
        <f t="shared" si="77"/>
        <v>#REF!</v>
      </c>
      <c r="CT87" s="10" t="e">
        <f t="shared" si="77"/>
        <v>#REF!</v>
      </c>
      <c r="CU87" s="10" t="e">
        <f t="shared" ref="CU87:EO87" si="78">CU72</f>
        <v>#REF!</v>
      </c>
      <c r="CV87" s="10" t="e">
        <f t="shared" si="78"/>
        <v>#REF!</v>
      </c>
      <c r="CW87" s="10" t="e">
        <f t="shared" si="78"/>
        <v>#REF!</v>
      </c>
      <c r="CX87" s="10" t="e">
        <f t="shared" si="78"/>
        <v>#REF!</v>
      </c>
      <c r="CY87" s="10" t="e">
        <f t="shared" si="78"/>
        <v>#REF!</v>
      </c>
      <c r="CZ87" s="10" t="e">
        <f t="shared" si="78"/>
        <v>#REF!</v>
      </c>
      <c r="DA87" s="10" t="e">
        <f t="shared" si="78"/>
        <v>#REF!</v>
      </c>
      <c r="DB87" s="10" t="e">
        <f t="shared" si="78"/>
        <v>#REF!</v>
      </c>
      <c r="DC87" s="10" t="e">
        <f t="shared" si="78"/>
        <v>#REF!</v>
      </c>
      <c r="DD87" s="10" t="e">
        <f t="shared" si="78"/>
        <v>#REF!</v>
      </c>
      <c r="DE87" s="10" t="e">
        <f t="shared" si="78"/>
        <v>#REF!</v>
      </c>
      <c r="DF87" s="10" t="e">
        <f t="shared" si="78"/>
        <v>#REF!</v>
      </c>
      <c r="DG87" s="10" t="e">
        <f t="shared" si="78"/>
        <v>#REF!</v>
      </c>
      <c r="DH87" s="10" t="e">
        <f t="shared" si="78"/>
        <v>#REF!</v>
      </c>
      <c r="DI87" s="10" t="e">
        <f t="shared" si="78"/>
        <v>#REF!</v>
      </c>
      <c r="DJ87" s="10" t="e">
        <f t="shared" si="78"/>
        <v>#REF!</v>
      </c>
      <c r="DK87" s="10" t="e">
        <f t="shared" si="78"/>
        <v>#REF!</v>
      </c>
      <c r="DL87" s="10" t="e">
        <f t="shared" si="78"/>
        <v>#REF!</v>
      </c>
      <c r="DM87" s="10" t="e">
        <f t="shared" si="78"/>
        <v>#REF!</v>
      </c>
      <c r="DN87" s="10" t="e">
        <f t="shared" si="78"/>
        <v>#REF!</v>
      </c>
      <c r="DO87" s="10" t="e">
        <f t="shared" si="78"/>
        <v>#REF!</v>
      </c>
      <c r="DP87" s="10" t="e">
        <f t="shared" si="78"/>
        <v>#REF!</v>
      </c>
      <c r="DQ87" s="10" t="e">
        <f t="shared" si="78"/>
        <v>#REF!</v>
      </c>
      <c r="DR87" s="10" t="e">
        <f t="shared" si="78"/>
        <v>#REF!</v>
      </c>
      <c r="DS87" s="10" t="e">
        <f t="shared" si="78"/>
        <v>#REF!</v>
      </c>
      <c r="DT87" s="10" t="e">
        <f t="shared" si="78"/>
        <v>#REF!</v>
      </c>
      <c r="DU87" s="10" t="e">
        <f t="shared" si="78"/>
        <v>#REF!</v>
      </c>
      <c r="DV87" s="10" t="e">
        <f t="shared" si="78"/>
        <v>#REF!</v>
      </c>
      <c r="DW87" s="10" t="e">
        <f t="shared" si="78"/>
        <v>#REF!</v>
      </c>
      <c r="DX87" s="10" t="e">
        <f t="shared" si="78"/>
        <v>#REF!</v>
      </c>
      <c r="DY87" s="10" t="e">
        <f t="shared" si="78"/>
        <v>#REF!</v>
      </c>
      <c r="DZ87" s="10" t="e">
        <f t="shared" si="78"/>
        <v>#REF!</v>
      </c>
      <c r="EA87" s="10" t="e">
        <f t="shared" si="78"/>
        <v>#REF!</v>
      </c>
      <c r="EB87" s="10" t="e">
        <f t="shared" si="78"/>
        <v>#REF!</v>
      </c>
      <c r="EC87" s="10" t="e">
        <f t="shared" si="78"/>
        <v>#REF!</v>
      </c>
      <c r="ED87" s="10" t="e">
        <f t="shared" si="78"/>
        <v>#REF!</v>
      </c>
      <c r="EE87" s="10" t="e">
        <f t="shared" si="78"/>
        <v>#REF!</v>
      </c>
      <c r="EF87" s="10" t="e">
        <f t="shared" si="78"/>
        <v>#REF!</v>
      </c>
      <c r="EG87" s="10" t="e">
        <f t="shared" si="78"/>
        <v>#REF!</v>
      </c>
      <c r="EH87" s="10" t="e">
        <f t="shared" si="78"/>
        <v>#REF!</v>
      </c>
      <c r="EI87" s="10" t="e">
        <f t="shared" si="78"/>
        <v>#REF!</v>
      </c>
      <c r="EJ87" s="10" t="e">
        <f t="shared" si="78"/>
        <v>#REF!</v>
      </c>
      <c r="EK87" s="10" t="e">
        <f t="shared" si="78"/>
        <v>#REF!</v>
      </c>
      <c r="EL87" s="10" t="e">
        <f t="shared" si="78"/>
        <v>#REF!</v>
      </c>
      <c r="EM87" s="10" t="e">
        <f t="shared" si="78"/>
        <v>#REF!</v>
      </c>
      <c r="EN87" s="10" t="e">
        <f t="shared" si="78"/>
        <v>#REF!</v>
      </c>
      <c r="EO87" s="10" t="e">
        <f t="shared" si="78"/>
        <v>#REF!</v>
      </c>
      <c r="EP87" s="10" t="e">
        <f>EP72</f>
        <v>#REF!</v>
      </c>
      <c r="EQ87" s="10" t="e">
        <f>EQ72</f>
        <v>#REF!</v>
      </c>
      <c r="ER87" s="10" t="e">
        <f>ER72</f>
        <v>#REF!</v>
      </c>
      <c r="ES87" s="10" t="e">
        <f>ES72</f>
        <v>#REF!</v>
      </c>
      <c r="ET87" s="10" t="e">
        <f>ET72</f>
        <v>#REF!</v>
      </c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</row>
    <row r="88" spans="1:237" ht="12.75" customHeight="1" x14ac:dyDescent="0.25">
      <c r="C88" s="27" t="str">
        <f>B76</f>
        <v>Accounts Payable</v>
      </c>
      <c r="D88" s="27"/>
      <c r="E88" s="27"/>
      <c r="F88" s="27"/>
      <c r="G88" s="27"/>
      <c r="H88" s="160" t="s">
        <v>3</v>
      </c>
      <c r="I88" s="27"/>
      <c r="J88" s="27"/>
      <c r="K88" s="27"/>
      <c r="L88" s="27"/>
      <c r="M88" s="27"/>
      <c r="N88" s="175"/>
      <c r="O88" s="27"/>
      <c r="P88" s="161" t="e">
        <f>P83</f>
        <v>#REF!</v>
      </c>
      <c r="Q88" s="161" t="e">
        <f t="shared" ref="Q88:CB88" si="79">Q83</f>
        <v>#REF!</v>
      </c>
      <c r="R88" s="161" t="e">
        <f t="shared" si="79"/>
        <v>#REF!</v>
      </c>
      <c r="S88" s="161" t="e">
        <f t="shared" si="79"/>
        <v>#REF!</v>
      </c>
      <c r="T88" s="161" t="e">
        <f t="shared" si="79"/>
        <v>#REF!</v>
      </c>
      <c r="U88" s="161" t="e">
        <f t="shared" si="79"/>
        <v>#REF!</v>
      </c>
      <c r="V88" s="161" t="e">
        <f t="shared" si="79"/>
        <v>#REF!</v>
      </c>
      <c r="W88" s="161" t="e">
        <f t="shared" si="79"/>
        <v>#REF!</v>
      </c>
      <c r="X88" s="161" t="e">
        <f t="shared" si="79"/>
        <v>#REF!</v>
      </c>
      <c r="Y88" s="161" t="e">
        <f t="shared" si="79"/>
        <v>#REF!</v>
      </c>
      <c r="Z88" s="161" t="e">
        <f t="shared" si="79"/>
        <v>#REF!</v>
      </c>
      <c r="AA88" s="161" t="e">
        <f t="shared" si="79"/>
        <v>#REF!</v>
      </c>
      <c r="AB88" s="161" t="e">
        <f t="shared" si="79"/>
        <v>#REF!</v>
      </c>
      <c r="AC88" s="161" t="e">
        <f t="shared" si="79"/>
        <v>#REF!</v>
      </c>
      <c r="AD88" s="161" t="e">
        <f t="shared" si="79"/>
        <v>#REF!</v>
      </c>
      <c r="AE88" s="161" t="e">
        <f t="shared" si="79"/>
        <v>#REF!</v>
      </c>
      <c r="AF88" s="161" t="e">
        <f t="shared" si="79"/>
        <v>#REF!</v>
      </c>
      <c r="AG88" s="161" t="e">
        <f t="shared" si="79"/>
        <v>#REF!</v>
      </c>
      <c r="AH88" s="161" t="e">
        <f t="shared" si="79"/>
        <v>#REF!</v>
      </c>
      <c r="AI88" s="161" t="e">
        <f t="shared" si="79"/>
        <v>#REF!</v>
      </c>
      <c r="AJ88" s="161" t="e">
        <f t="shared" si="79"/>
        <v>#REF!</v>
      </c>
      <c r="AK88" s="161" t="e">
        <f t="shared" si="79"/>
        <v>#REF!</v>
      </c>
      <c r="AL88" s="161" t="e">
        <f t="shared" si="79"/>
        <v>#REF!</v>
      </c>
      <c r="AM88" s="161" t="e">
        <f t="shared" si="79"/>
        <v>#REF!</v>
      </c>
      <c r="AN88" s="161" t="e">
        <f t="shared" si="79"/>
        <v>#REF!</v>
      </c>
      <c r="AO88" s="161" t="e">
        <f t="shared" si="79"/>
        <v>#REF!</v>
      </c>
      <c r="AP88" s="161" t="e">
        <f t="shared" si="79"/>
        <v>#REF!</v>
      </c>
      <c r="AQ88" s="161" t="e">
        <f t="shared" si="79"/>
        <v>#REF!</v>
      </c>
      <c r="AR88" s="161" t="e">
        <f t="shared" si="79"/>
        <v>#REF!</v>
      </c>
      <c r="AS88" s="161" t="e">
        <f t="shared" si="79"/>
        <v>#REF!</v>
      </c>
      <c r="AT88" s="161" t="e">
        <f t="shared" si="79"/>
        <v>#REF!</v>
      </c>
      <c r="AU88" s="161" t="e">
        <f t="shared" si="79"/>
        <v>#REF!</v>
      </c>
      <c r="AV88" s="161" t="e">
        <f t="shared" si="79"/>
        <v>#REF!</v>
      </c>
      <c r="AW88" s="161" t="e">
        <f t="shared" si="79"/>
        <v>#REF!</v>
      </c>
      <c r="AX88" s="161" t="e">
        <f t="shared" si="79"/>
        <v>#REF!</v>
      </c>
      <c r="AY88" s="161" t="e">
        <f t="shared" si="79"/>
        <v>#REF!</v>
      </c>
      <c r="AZ88" s="161" t="e">
        <f t="shared" si="79"/>
        <v>#REF!</v>
      </c>
      <c r="BA88" s="161" t="e">
        <f t="shared" si="79"/>
        <v>#REF!</v>
      </c>
      <c r="BB88" s="161" t="e">
        <f t="shared" si="79"/>
        <v>#REF!</v>
      </c>
      <c r="BC88" s="161" t="e">
        <f t="shared" si="79"/>
        <v>#REF!</v>
      </c>
      <c r="BD88" s="161" t="e">
        <f t="shared" si="79"/>
        <v>#REF!</v>
      </c>
      <c r="BE88" s="161" t="e">
        <f t="shared" si="79"/>
        <v>#REF!</v>
      </c>
      <c r="BF88" s="161" t="e">
        <f t="shared" si="79"/>
        <v>#REF!</v>
      </c>
      <c r="BG88" s="161" t="e">
        <f t="shared" si="79"/>
        <v>#REF!</v>
      </c>
      <c r="BH88" s="161" t="e">
        <f t="shared" si="79"/>
        <v>#REF!</v>
      </c>
      <c r="BI88" s="161" t="e">
        <f t="shared" si="79"/>
        <v>#REF!</v>
      </c>
      <c r="BJ88" s="161" t="e">
        <f t="shared" si="79"/>
        <v>#REF!</v>
      </c>
      <c r="BK88" s="161" t="e">
        <f t="shared" si="79"/>
        <v>#REF!</v>
      </c>
      <c r="BL88" s="161" t="e">
        <f t="shared" si="79"/>
        <v>#REF!</v>
      </c>
      <c r="BM88" s="161" t="e">
        <f t="shared" si="79"/>
        <v>#REF!</v>
      </c>
      <c r="BN88" s="161" t="e">
        <f t="shared" si="79"/>
        <v>#REF!</v>
      </c>
      <c r="BO88" s="161" t="e">
        <f t="shared" si="79"/>
        <v>#REF!</v>
      </c>
      <c r="BP88" s="161" t="e">
        <f t="shared" si="79"/>
        <v>#REF!</v>
      </c>
      <c r="BQ88" s="161" t="e">
        <f t="shared" si="79"/>
        <v>#REF!</v>
      </c>
      <c r="BR88" s="161" t="e">
        <f t="shared" si="79"/>
        <v>#REF!</v>
      </c>
      <c r="BS88" s="161" t="e">
        <f t="shared" si="79"/>
        <v>#REF!</v>
      </c>
      <c r="BT88" s="161" t="e">
        <f t="shared" si="79"/>
        <v>#REF!</v>
      </c>
      <c r="BU88" s="161" t="e">
        <f t="shared" si="79"/>
        <v>#REF!</v>
      </c>
      <c r="BV88" s="161" t="e">
        <f t="shared" si="79"/>
        <v>#REF!</v>
      </c>
      <c r="BW88" s="161" t="e">
        <f t="shared" si="79"/>
        <v>#REF!</v>
      </c>
      <c r="BX88" s="161" t="e">
        <f t="shared" si="79"/>
        <v>#REF!</v>
      </c>
      <c r="BY88" s="161" t="e">
        <f t="shared" si="79"/>
        <v>#REF!</v>
      </c>
      <c r="BZ88" s="161" t="e">
        <f t="shared" si="79"/>
        <v>#REF!</v>
      </c>
      <c r="CA88" s="161" t="e">
        <f t="shared" si="79"/>
        <v>#REF!</v>
      </c>
      <c r="CB88" s="161" t="e">
        <f t="shared" si="79"/>
        <v>#REF!</v>
      </c>
      <c r="CC88" s="161" t="e">
        <f t="shared" ref="CC88:CQ88" si="80">CC83</f>
        <v>#REF!</v>
      </c>
      <c r="CD88" s="161" t="e">
        <f t="shared" si="80"/>
        <v>#REF!</v>
      </c>
      <c r="CE88" s="161" t="e">
        <f t="shared" si="80"/>
        <v>#REF!</v>
      </c>
      <c r="CF88" s="161" t="e">
        <f t="shared" si="80"/>
        <v>#REF!</v>
      </c>
      <c r="CG88" s="161" t="e">
        <f t="shared" si="80"/>
        <v>#REF!</v>
      </c>
      <c r="CH88" s="161" t="e">
        <f t="shared" si="80"/>
        <v>#REF!</v>
      </c>
      <c r="CI88" s="161" t="e">
        <f t="shared" si="80"/>
        <v>#REF!</v>
      </c>
      <c r="CJ88" s="161" t="e">
        <f t="shared" si="80"/>
        <v>#REF!</v>
      </c>
      <c r="CK88" s="161" t="e">
        <f t="shared" si="80"/>
        <v>#REF!</v>
      </c>
      <c r="CL88" s="161" t="e">
        <f t="shared" si="80"/>
        <v>#REF!</v>
      </c>
      <c r="CM88" s="161" t="e">
        <f t="shared" si="80"/>
        <v>#REF!</v>
      </c>
      <c r="CN88" s="161" t="e">
        <f t="shared" si="80"/>
        <v>#REF!</v>
      </c>
      <c r="CO88" s="161" t="e">
        <f t="shared" si="80"/>
        <v>#REF!</v>
      </c>
      <c r="CP88" s="161" t="e">
        <f t="shared" si="80"/>
        <v>#REF!</v>
      </c>
      <c r="CQ88" s="161" t="e">
        <f t="shared" si="80"/>
        <v>#REF!</v>
      </c>
      <c r="CR88" s="161" t="e">
        <f t="shared" ref="CR88:CT88" si="81">CR83</f>
        <v>#REF!</v>
      </c>
      <c r="CS88" s="161" t="e">
        <f t="shared" si="81"/>
        <v>#REF!</v>
      </c>
      <c r="CT88" s="161" t="e">
        <f t="shared" si="81"/>
        <v>#REF!</v>
      </c>
      <c r="CU88" s="161" t="e">
        <f t="shared" ref="CU88:EO88" si="82">CU81</f>
        <v>#REF!</v>
      </c>
      <c r="CV88" s="161" t="e">
        <f t="shared" si="82"/>
        <v>#REF!</v>
      </c>
      <c r="CW88" s="161" t="e">
        <f t="shared" si="82"/>
        <v>#REF!</v>
      </c>
      <c r="CX88" s="161" t="e">
        <f t="shared" si="82"/>
        <v>#REF!</v>
      </c>
      <c r="CY88" s="161" t="e">
        <f t="shared" si="82"/>
        <v>#REF!</v>
      </c>
      <c r="CZ88" s="161" t="e">
        <f t="shared" si="82"/>
        <v>#REF!</v>
      </c>
      <c r="DA88" s="161" t="e">
        <f t="shared" si="82"/>
        <v>#REF!</v>
      </c>
      <c r="DB88" s="161" t="e">
        <f t="shared" si="82"/>
        <v>#REF!</v>
      </c>
      <c r="DC88" s="161" t="e">
        <f t="shared" si="82"/>
        <v>#REF!</v>
      </c>
      <c r="DD88" s="161" t="e">
        <f t="shared" si="82"/>
        <v>#REF!</v>
      </c>
      <c r="DE88" s="161" t="e">
        <f t="shared" si="82"/>
        <v>#REF!</v>
      </c>
      <c r="DF88" s="161" t="e">
        <f t="shared" si="82"/>
        <v>#REF!</v>
      </c>
      <c r="DG88" s="161" t="e">
        <f t="shared" si="82"/>
        <v>#REF!</v>
      </c>
      <c r="DH88" s="161" t="e">
        <f t="shared" si="82"/>
        <v>#REF!</v>
      </c>
      <c r="DI88" s="161" t="e">
        <f t="shared" si="82"/>
        <v>#REF!</v>
      </c>
      <c r="DJ88" s="161" t="e">
        <f t="shared" si="82"/>
        <v>#REF!</v>
      </c>
      <c r="DK88" s="161" t="e">
        <f t="shared" si="82"/>
        <v>#REF!</v>
      </c>
      <c r="DL88" s="161" t="e">
        <f t="shared" si="82"/>
        <v>#REF!</v>
      </c>
      <c r="DM88" s="161" t="e">
        <f t="shared" si="82"/>
        <v>#REF!</v>
      </c>
      <c r="DN88" s="161" t="e">
        <f t="shared" si="82"/>
        <v>#REF!</v>
      </c>
      <c r="DO88" s="161" t="e">
        <f t="shared" si="82"/>
        <v>#REF!</v>
      </c>
      <c r="DP88" s="161" t="e">
        <f t="shared" si="82"/>
        <v>#REF!</v>
      </c>
      <c r="DQ88" s="161" t="e">
        <f t="shared" si="82"/>
        <v>#REF!</v>
      </c>
      <c r="DR88" s="161" t="e">
        <f t="shared" si="82"/>
        <v>#REF!</v>
      </c>
      <c r="DS88" s="161" t="e">
        <f t="shared" si="82"/>
        <v>#REF!</v>
      </c>
      <c r="DT88" s="161" t="e">
        <f t="shared" si="82"/>
        <v>#REF!</v>
      </c>
      <c r="DU88" s="161" t="e">
        <f t="shared" si="82"/>
        <v>#REF!</v>
      </c>
      <c r="DV88" s="161" t="e">
        <f t="shared" si="82"/>
        <v>#REF!</v>
      </c>
      <c r="DW88" s="161" t="e">
        <f t="shared" si="82"/>
        <v>#REF!</v>
      </c>
      <c r="DX88" s="161" t="e">
        <f t="shared" si="82"/>
        <v>#REF!</v>
      </c>
      <c r="DY88" s="161" t="e">
        <f t="shared" si="82"/>
        <v>#REF!</v>
      </c>
      <c r="DZ88" s="161" t="e">
        <f t="shared" si="82"/>
        <v>#REF!</v>
      </c>
      <c r="EA88" s="161" t="e">
        <f t="shared" si="82"/>
        <v>#REF!</v>
      </c>
      <c r="EB88" s="161" t="e">
        <f t="shared" si="82"/>
        <v>#REF!</v>
      </c>
      <c r="EC88" s="161" t="e">
        <f t="shared" si="82"/>
        <v>#REF!</v>
      </c>
      <c r="ED88" s="161" t="e">
        <f t="shared" si="82"/>
        <v>#REF!</v>
      </c>
      <c r="EE88" s="161" t="e">
        <f t="shared" si="82"/>
        <v>#REF!</v>
      </c>
      <c r="EF88" s="161" t="e">
        <f t="shared" si="82"/>
        <v>#REF!</v>
      </c>
      <c r="EG88" s="161" t="e">
        <f t="shared" si="82"/>
        <v>#REF!</v>
      </c>
      <c r="EH88" s="161" t="e">
        <f t="shared" si="82"/>
        <v>#REF!</v>
      </c>
      <c r="EI88" s="161" t="e">
        <f t="shared" si="82"/>
        <v>#REF!</v>
      </c>
      <c r="EJ88" s="161" t="e">
        <f t="shared" si="82"/>
        <v>#REF!</v>
      </c>
      <c r="EK88" s="161" t="e">
        <f t="shared" si="82"/>
        <v>#REF!</v>
      </c>
      <c r="EL88" s="161" t="e">
        <f t="shared" si="82"/>
        <v>#REF!</v>
      </c>
      <c r="EM88" s="161" t="e">
        <f t="shared" si="82"/>
        <v>#REF!</v>
      </c>
      <c r="EN88" s="161" t="e">
        <f t="shared" si="82"/>
        <v>#REF!</v>
      </c>
      <c r="EO88" s="161" t="e">
        <f t="shared" si="82"/>
        <v>#REF!</v>
      </c>
      <c r="EP88" s="161" t="e">
        <f>EP81</f>
        <v>#REF!</v>
      </c>
      <c r="EQ88" s="161" t="e">
        <f>EQ81</f>
        <v>#REF!</v>
      </c>
      <c r="ER88" s="161" t="e">
        <f>ER81</f>
        <v>#REF!</v>
      </c>
      <c r="ES88" s="161" t="e">
        <f>ES81</f>
        <v>#REF!</v>
      </c>
      <c r="ET88" s="161" t="e">
        <f>ET81</f>
        <v>#REF!</v>
      </c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</row>
    <row r="89" spans="1:237" ht="12.75" customHeight="1" x14ac:dyDescent="0.25">
      <c r="C89" t="s">
        <v>190</v>
      </c>
      <c r="H89" s="54" t="s">
        <v>3</v>
      </c>
      <c r="N89" s="25" t="e">
        <f>SUM(P89:CQ89)</f>
        <v>#REF!</v>
      </c>
      <c r="P89" s="51" t="e">
        <f>P87-P88</f>
        <v>#REF!</v>
      </c>
      <c r="Q89" s="51" t="e">
        <f t="shared" ref="Q89:CB89" si="83">Q87-Q88</f>
        <v>#REF!</v>
      </c>
      <c r="R89" s="51" t="e">
        <f t="shared" si="83"/>
        <v>#REF!</v>
      </c>
      <c r="S89" s="51" t="e">
        <f t="shared" si="83"/>
        <v>#REF!</v>
      </c>
      <c r="T89" s="51" t="e">
        <f t="shared" si="83"/>
        <v>#REF!</v>
      </c>
      <c r="U89" s="51" t="e">
        <f t="shared" si="83"/>
        <v>#REF!</v>
      </c>
      <c r="V89" s="51" t="e">
        <f t="shared" si="83"/>
        <v>#REF!</v>
      </c>
      <c r="W89" s="51" t="e">
        <f t="shared" si="83"/>
        <v>#REF!</v>
      </c>
      <c r="X89" s="51" t="e">
        <f t="shared" si="83"/>
        <v>#REF!</v>
      </c>
      <c r="Y89" s="51" t="e">
        <f t="shared" si="83"/>
        <v>#REF!</v>
      </c>
      <c r="Z89" s="51" t="e">
        <f t="shared" si="83"/>
        <v>#REF!</v>
      </c>
      <c r="AA89" s="51" t="e">
        <f t="shared" si="83"/>
        <v>#REF!</v>
      </c>
      <c r="AB89" s="51" t="e">
        <f t="shared" si="83"/>
        <v>#REF!</v>
      </c>
      <c r="AC89" s="51" t="e">
        <f t="shared" si="83"/>
        <v>#REF!</v>
      </c>
      <c r="AD89" s="51" t="e">
        <f t="shared" si="83"/>
        <v>#REF!</v>
      </c>
      <c r="AE89" s="51" t="e">
        <f t="shared" si="83"/>
        <v>#REF!</v>
      </c>
      <c r="AF89" s="51" t="e">
        <f t="shared" si="83"/>
        <v>#REF!</v>
      </c>
      <c r="AG89" s="51" t="e">
        <f t="shared" si="83"/>
        <v>#REF!</v>
      </c>
      <c r="AH89" s="51" t="e">
        <f t="shared" si="83"/>
        <v>#REF!</v>
      </c>
      <c r="AI89" s="51" t="e">
        <f t="shared" si="83"/>
        <v>#REF!</v>
      </c>
      <c r="AJ89" s="51" t="e">
        <f t="shared" si="83"/>
        <v>#REF!</v>
      </c>
      <c r="AK89" s="51" t="e">
        <f t="shared" si="83"/>
        <v>#REF!</v>
      </c>
      <c r="AL89" s="51" t="e">
        <f t="shared" si="83"/>
        <v>#REF!</v>
      </c>
      <c r="AM89" s="51" t="e">
        <f t="shared" si="83"/>
        <v>#REF!</v>
      </c>
      <c r="AN89" s="51" t="e">
        <f t="shared" si="83"/>
        <v>#REF!</v>
      </c>
      <c r="AO89" s="51" t="e">
        <f t="shared" si="83"/>
        <v>#REF!</v>
      </c>
      <c r="AP89" s="51" t="e">
        <f t="shared" si="83"/>
        <v>#REF!</v>
      </c>
      <c r="AQ89" s="51" t="e">
        <f t="shared" si="83"/>
        <v>#REF!</v>
      </c>
      <c r="AR89" s="51" t="e">
        <f t="shared" si="83"/>
        <v>#REF!</v>
      </c>
      <c r="AS89" s="51" t="e">
        <f t="shared" si="83"/>
        <v>#REF!</v>
      </c>
      <c r="AT89" s="51" t="e">
        <f t="shared" si="83"/>
        <v>#REF!</v>
      </c>
      <c r="AU89" s="51" t="e">
        <f t="shared" si="83"/>
        <v>#REF!</v>
      </c>
      <c r="AV89" s="51" t="e">
        <f t="shared" si="83"/>
        <v>#REF!</v>
      </c>
      <c r="AW89" s="51" t="e">
        <f t="shared" si="83"/>
        <v>#REF!</v>
      </c>
      <c r="AX89" s="51" t="e">
        <f t="shared" si="83"/>
        <v>#REF!</v>
      </c>
      <c r="AY89" s="51" t="e">
        <f t="shared" si="83"/>
        <v>#REF!</v>
      </c>
      <c r="AZ89" s="51" t="e">
        <f t="shared" si="83"/>
        <v>#REF!</v>
      </c>
      <c r="BA89" s="51" t="e">
        <f t="shared" si="83"/>
        <v>#REF!</v>
      </c>
      <c r="BB89" s="51" t="e">
        <f t="shared" si="83"/>
        <v>#REF!</v>
      </c>
      <c r="BC89" s="51" t="e">
        <f t="shared" si="83"/>
        <v>#REF!</v>
      </c>
      <c r="BD89" s="51" t="e">
        <f t="shared" si="83"/>
        <v>#REF!</v>
      </c>
      <c r="BE89" s="51" t="e">
        <f t="shared" si="83"/>
        <v>#REF!</v>
      </c>
      <c r="BF89" s="51" t="e">
        <f t="shared" si="83"/>
        <v>#REF!</v>
      </c>
      <c r="BG89" s="51" t="e">
        <f t="shared" si="83"/>
        <v>#REF!</v>
      </c>
      <c r="BH89" s="51" t="e">
        <f t="shared" si="83"/>
        <v>#REF!</v>
      </c>
      <c r="BI89" s="51" t="e">
        <f t="shared" si="83"/>
        <v>#REF!</v>
      </c>
      <c r="BJ89" s="51" t="e">
        <f t="shared" si="83"/>
        <v>#REF!</v>
      </c>
      <c r="BK89" s="51" t="e">
        <f t="shared" si="83"/>
        <v>#REF!</v>
      </c>
      <c r="BL89" s="51" t="e">
        <f t="shared" si="83"/>
        <v>#REF!</v>
      </c>
      <c r="BM89" s="51" t="e">
        <f t="shared" si="83"/>
        <v>#REF!</v>
      </c>
      <c r="BN89" s="51" t="e">
        <f t="shared" si="83"/>
        <v>#REF!</v>
      </c>
      <c r="BO89" s="51" t="e">
        <f t="shared" si="83"/>
        <v>#REF!</v>
      </c>
      <c r="BP89" s="51" t="e">
        <f t="shared" si="83"/>
        <v>#REF!</v>
      </c>
      <c r="BQ89" s="51" t="e">
        <f t="shared" si="83"/>
        <v>#REF!</v>
      </c>
      <c r="BR89" s="51" t="e">
        <f t="shared" si="83"/>
        <v>#REF!</v>
      </c>
      <c r="BS89" s="51" t="e">
        <f t="shared" si="83"/>
        <v>#REF!</v>
      </c>
      <c r="BT89" s="51" t="e">
        <f t="shared" si="83"/>
        <v>#REF!</v>
      </c>
      <c r="BU89" s="51" t="e">
        <f t="shared" si="83"/>
        <v>#REF!</v>
      </c>
      <c r="BV89" s="51" t="e">
        <f t="shared" si="83"/>
        <v>#REF!</v>
      </c>
      <c r="BW89" s="51" t="e">
        <f t="shared" si="83"/>
        <v>#REF!</v>
      </c>
      <c r="BX89" s="51" t="e">
        <f t="shared" si="83"/>
        <v>#REF!</v>
      </c>
      <c r="BY89" s="51" t="e">
        <f t="shared" si="83"/>
        <v>#REF!</v>
      </c>
      <c r="BZ89" s="51" t="e">
        <f t="shared" si="83"/>
        <v>#REF!</v>
      </c>
      <c r="CA89" s="51" t="e">
        <f t="shared" si="83"/>
        <v>#REF!</v>
      </c>
      <c r="CB89" s="51" t="e">
        <f t="shared" si="83"/>
        <v>#REF!</v>
      </c>
      <c r="CC89" s="51" t="e">
        <f t="shared" ref="CC89:EN89" si="84">CC87-CC88</f>
        <v>#REF!</v>
      </c>
      <c r="CD89" s="51" t="e">
        <f t="shared" si="84"/>
        <v>#REF!</v>
      </c>
      <c r="CE89" s="51" t="e">
        <f t="shared" si="84"/>
        <v>#REF!</v>
      </c>
      <c r="CF89" s="51" t="e">
        <f t="shared" si="84"/>
        <v>#REF!</v>
      </c>
      <c r="CG89" s="51" t="e">
        <f t="shared" si="84"/>
        <v>#REF!</v>
      </c>
      <c r="CH89" s="51" t="e">
        <f t="shared" si="84"/>
        <v>#REF!</v>
      </c>
      <c r="CI89" s="51" t="e">
        <f t="shared" si="84"/>
        <v>#REF!</v>
      </c>
      <c r="CJ89" s="51" t="e">
        <f t="shared" si="84"/>
        <v>#REF!</v>
      </c>
      <c r="CK89" s="51" t="e">
        <f t="shared" si="84"/>
        <v>#REF!</v>
      </c>
      <c r="CL89" s="51" t="e">
        <f t="shared" si="84"/>
        <v>#REF!</v>
      </c>
      <c r="CM89" s="51" t="e">
        <f t="shared" si="84"/>
        <v>#REF!</v>
      </c>
      <c r="CN89" s="51" t="e">
        <f t="shared" si="84"/>
        <v>#REF!</v>
      </c>
      <c r="CO89" s="51" t="e">
        <f t="shared" si="84"/>
        <v>#REF!</v>
      </c>
      <c r="CP89" s="51" t="e">
        <f t="shared" si="84"/>
        <v>#REF!</v>
      </c>
      <c r="CQ89" s="51" t="e">
        <f t="shared" si="84"/>
        <v>#REF!</v>
      </c>
      <c r="CR89" s="51" t="e">
        <f t="shared" ref="CR89:CT89" si="85">CR87-CR88</f>
        <v>#REF!</v>
      </c>
      <c r="CS89" s="51" t="e">
        <f t="shared" si="85"/>
        <v>#REF!</v>
      </c>
      <c r="CT89" s="51" t="e">
        <f t="shared" si="85"/>
        <v>#REF!</v>
      </c>
      <c r="CU89" s="51" t="e">
        <f t="shared" si="84"/>
        <v>#REF!</v>
      </c>
      <c r="CV89" s="51" t="e">
        <f t="shared" si="84"/>
        <v>#REF!</v>
      </c>
      <c r="CW89" s="51" t="e">
        <f t="shared" si="84"/>
        <v>#REF!</v>
      </c>
      <c r="CX89" s="51" t="e">
        <f t="shared" si="84"/>
        <v>#REF!</v>
      </c>
      <c r="CY89" s="51" t="e">
        <f t="shared" si="84"/>
        <v>#REF!</v>
      </c>
      <c r="CZ89" s="51" t="e">
        <f t="shared" si="84"/>
        <v>#REF!</v>
      </c>
      <c r="DA89" s="51" t="e">
        <f t="shared" si="84"/>
        <v>#REF!</v>
      </c>
      <c r="DB89" s="51" t="e">
        <f t="shared" si="84"/>
        <v>#REF!</v>
      </c>
      <c r="DC89" s="51" t="e">
        <f t="shared" si="84"/>
        <v>#REF!</v>
      </c>
      <c r="DD89" s="51" t="e">
        <f t="shared" si="84"/>
        <v>#REF!</v>
      </c>
      <c r="DE89" s="51" t="e">
        <f t="shared" si="84"/>
        <v>#REF!</v>
      </c>
      <c r="DF89" s="51" t="e">
        <f t="shared" si="84"/>
        <v>#REF!</v>
      </c>
      <c r="DG89" s="51" t="e">
        <f t="shared" si="84"/>
        <v>#REF!</v>
      </c>
      <c r="DH89" s="51" t="e">
        <f t="shared" si="84"/>
        <v>#REF!</v>
      </c>
      <c r="DI89" s="51" t="e">
        <f t="shared" si="84"/>
        <v>#REF!</v>
      </c>
      <c r="DJ89" s="51" t="e">
        <f t="shared" si="84"/>
        <v>#REF!</v>
      </c>
      <c r="DK89" s="51" t="e">
        <f t="shared" si="84"/>
        <v>#REF!</v>
      </c>
      <c r="DL89" s="51" t="e">
        <f t="shared" si="84"/>
        <v>#REF!</v>
      </c>
      <c r="DM89" s="51" t="e">
        <f t="shared" si="84"/>
        <v>#REF!</v>
      </c>
      <c r="DN89" s="51" t="e">
        <f t="shared" si="84"/>
        <v>#REF!</v>
      </c>
      <c r="DO89" s="51" t="e">
        <f t="shared" si="84"/>
        <v>#REF!</v>
      </c>
      <c r="DP89" s="51" t="e">
        <f t="shared" si="84"/>
        <v>#REF!</v>
      </c>
      <c r="DQ89" s="51" t="e">
        <f t="shared" si="84"/>
        <v>#REF!</v>
      </c>
      <c r="DR89" s="51" t="e">
        <f t="shared" si="84"/>
        <v>#REF!</v>
      </c>
      <c r="DS89" s="51" t="e">
        <f t="shared" si="84"/>
        <v>#REF!</v>
      </c>
      <c r="DT89" s="51" t="e">
        <f t="shared" si="84"/>
        <v>#REF!</v>
      </c>
      <c r="DU89" s="51" t="e">
        <f t="shared" si="84"/>
        <v>#REF!</v>
      </c>
      <c r="DV89" s="51" t="e">
        <f t="shared" si="84"/>
        <v>#REF!</v>
      </c>
      <c r="DW89" s="51" t="e">
        <f t="shared" si="84"/>
        <v>#REF!</v>
      </c>
      <c r="DX89" s="51" t="e">
        <f t="shared" si="84"/>
        <v>#REF!</v>
      </c>
      <c r="DY89" s="51" t="e">
        <f t="shared" si="84"/>
        <v>#REF!</v>
      </c>
      <c r="DZ89" s="51" t="e">
        <f t="shared" si="84"/>
        <v>#REF!</v>
      </c>
      <c r="EA89" s="51" t="e">
        <f t="shared" si="84"/>
        <v>#REF!</v>
      </c>
      <c r="EB89" s="51" t="e">
        <f t="shared" si="84"/>
        <v>#REF!</v>
      </c>
      <c r="EC89" s="51" t="e">
        <f t="shared" si="84"/>
        <v>#REF!</v>
      </c>
      <c r="ED89" s="51" t="e">
        <f t="shared" si="84"/>
        <v>#REF!</v>
      </c>
      <c r="EE89" s="51" t="e">
        <f t="shared" si="84"/>
        <v>#REF!</v>
      </c>
      <c r="EF89" s="51" t="e">
        <f t="shared" si="84"/>
        <v>#REF!</v>
      </c>
      <c r="EG89" s="51" t="e">
        <f t="shared" si="84"/>
        <v>#REF!</v>
      </c>
      <c r="EH89" s="51" t="e">
        <f t="shared" si="84"/>
        <v>#REF!</v>
      </c>
      <c r="EI89" s="51" t="e">
        <f t="shared" si="84"/>
        <v>#REF!</v>
      </c>
      <c r="EJ89" s="51" t="e">
        <f t="shared" si="84"/>
        <v>#REF!</v>
      </c>
      <c r="EK89" s="51" t="e">
        <f t="shared" si="84"/>
        <v>#REF!</v>
      </c>
      <c r="EL89" s="51" t="e">
        <f t="shared" si="84"/>
        <v>#REF!</v>
      </c>
      <c r="EM89" s="51" t="e">
        <f t="shared" si="84"/>
        <v>#REF!</v>
      </c>
      <c r="EN89" s="51" t="e">
        <f t="shared" si="84"/>
        <v>#REF!</v>
      </c>
      <c r="EO89" s="51" t="e">
        <f t="shared" ref="EO89" si="86">EO87-EO88</f>
        <v>#REF!</v>
      </c>
      <c r="EP89" s="51" t="e">
        <f>EP87-EP88</f>
        <v>#REF!</v>
      </c>
      <c r="EQ89" s="51" t="e">
        <f>EQ87-EQ88</f>
        <v>#REF!</v>
      </c>
      <c r="ER89" s="51" t="e">
        <f>ER87-ER88</f>
        <v>#REF!</v>
      </c>
      <c r="ES89" s="51" t="e">
        <f>ES87-ES88</f>
        <v>#REF!</v>
      </c>
      <c r="ET89" s="51" t="e">
        <f>ET87-ET88</f>
        <v>#REF!</v>
      </c>
      <c r="EU89" s="51"/>
      <c r="EV89" s="51"/>
      <c r="EW89" s="51"/>
      <c r="EX89" s="51"/>
      <c r="EY89" s="51"/>
      <c r="EZ89" s="51"/>
      <c r="FA89" s="51"/>
      <c r="FB89" s="51"/>
      <c r="FC89" s="51"/>
      <c r="FD89" s="51"/>
      <c r="FE89" s="51"/>
      <c r="FF89" s="51"/>
      <c r="FG89" s="51"/>
      <c r="FH89" s="51"/>
      <c r="FI89" s="51"/>
      <c r="FJ89" s="51"/>
      <c r="FK89" s="51"/>
      <c r="FL89" s="51"/>
      <c r="FM89" s="51"/>
      <c r="FN89" s="51"/>
      <c r="FO89" s="51"/>
      <c r="FP89" s="51"/>
      <c r="FQ89" s="51"/>
      <c r="FR89" s="51"/>
      <c r="FS89" s="51"/>
      <c r="FT89" s="51"/>
      <c r="FU89" s="51"/>
      <c r="FV89" s="51"/>
      <c r="FW89" s="51"/>
      <c r="FX89" s="51"/>
      <c r="FY89" s="51"/>
      <c r="FZ89" s="51"/>
      <c r="GA89" s="51"/>
      <c r="GB89" s="51"/>
      <c r="GC89" s="51"/>
      <c r="GD89" s="51"/>
      <c r="GE89" s="51"/>
      <c r="GF89" s="51"/>
      <c r="GG89" s="51"/>
      <c r="GH89" s="51"/>
      <c r="GI89" s="51"/>
      <c r="GJ89" s="51"/>
      <c r="GK89" s="51"/>
      <c r="GL89" s="51"/>
      <c r="GM89" s="51"/>
      <c r="GN89" s="51"/>
      <c r="GO89" s="51"/>
      <c r="GP89" s="51"/>
      <c r="GQ89" s="51"/>
      <c r="GR89" s="51"/>
      <c r="GS89" s="51"/>
      <c r="GT89" s="51"/>
      <c r="GU89" s="51"/>
      <c r="GV89" s="51"/>
      <c r="GW89" s="51"/>
      <c r="GX89" s="51"/>
      <c r="GY89" s="51"/>
      <c r="GZ89" s="51"/>
      <c r="HA89" s="51"/>
      <c r="HB89" s="51"/>
      <c r="HC89" s="51"/>
      <c r="HD89" s="51"/>
      <c r="HE89" s="51"/>
      <c r="HF89" s="51"/>
      <c r="HG89" s="51"/>
      <c r="HH89" s="51"/>
      <c r="HI89" s="51"/>
      <c r="HJ89" s="51"/>
      <c r="HK89" s="51"/>
      <c r="HL89" s="51"/>
      <c r="HM89" s="51"/>
      <c r="HN89" s="51"/>
      <c r="HO89" s="51"/>
      <c r="HP89" s="51"/>
      <c r="HQ89" s="51"/>
      <c r="HR89" s="51"/>
      <c r="HS89" s="51"/>
      <c r="HT89" s="51"/>
      <c r="HU89" s="51"/>
      <c r="HV89" s="51"/>
      <c r="HW89" s="51"/>
      <c r="HX89" s="51"/>
      <c r="HY89" s="51"/>
      <c r="HZ89" s="51"/>
      <c r="IA89" s="51"/>
      <c r="IB89" s="51"/>
      <c r="IC89" s="51"/>
    </row>
    <row r="90" spans="1:237" ht="12.75" customHeight="1" x14ac:dyDescent="0.25">
      <c r="M90" s="19"/>
    </row>
    <row r="91" spans="1:237" ht="12.75" customHeight="1" x14ac:dyDescent="0.25">
      <c r="H91" s="54"/>
      <c r="N91" s="19"/>
    </row>
    <row r="92" spans="1:237" s="292" customFormat="1" ht="12.75" customHeight="1" x14ac:dyDescent="0.25">
      <c r="A92" s="299" t="s">
        <v>53</v>
      </c>
      <c r="I92" s="313"/>
      <c r="J92" s="284"/>
    </row>
  </sheetData>
  <conditionalFormatting sqref="CU7:DD7">
    <cfRule type="expression" dxfId="108" priority="3">
      <formula>CU7="Ops"</formula>
    </cfRule>
    <cfRule type="expression" dxfId="107" priority="4">
      <formula>CU7="Const"</formula>
    </cfRule>
  </conditionalFormatting>
  <conditionalFormatting sqref="P7:CT7">
    <cfRule type="expression" dxfId="106" priority="1">
      <formula>P7="Ops"</formula>
    </cfRule>
    <cfRule type="expression" dxfId="105" priority="2">
      <formula>P7="Const"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8672E-B8F4-4CE2-822F-97A2107452B3}">
  <sheetPr codeName="Sheet7">
    <tabColor theme="3" tint="-0.499984740745262"/>
  </sheetPr>
  <dimension ref="A1:DD43"/>
  <sheetViews>
    <sheetView showGridLines="0" zoomScale="50" zoomScaleNormal="50" workbookViewId="0">
      <pane xSplit="14" ySplit="8" topLeftCell="O9" activePane="bottomRight" state="frozen"/>
      <selection activeCell="I6" sqref="I6"/>
      <selection pane="topRight" activeCell="I6" sqref="I6"/>
      <selection pane="bottomLeft" activeCell="I6" sqref="I6"/>
      <selection pane="bottomRight" activeCell="R40" sqref="R40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5" width="14.28515625" customWidth="1"/>
    <col min="96" max="98" width="11.140625" customWidth="1"/>
    <col min="99" max="16384" width="9.140625" hidden="1"/>
  </cols>
  <sheetData>
    <row r="1" spans="1:108" s="282" customFormat="1" ht="12.75" customHeight="1" x14ac:dyDescent="0.2">
      <c r="H1" s="284"/>
    </row>
    <row r="2" spans="1:108" s="282" customFormat="1" ht="12.75" customHeight="1" x14ac:dyDescent="0.2">
      <c r="H2" s="284"/>
    </row>
    <row r="3" spans="1:108" s="282" customFormat="1" ht="12.75" customHeight="1" x14ac:dyDescent="0.2">
      <c r="H3" s="284"/>
    </row>
    <row r="4" spans="1:108" s="282" customFormat="1" ht="12.75" customHeight="1" x14ac:dyDescent="0.2">
      <c r="H4" s="284"/>
    </row>
    <row r="5" spans="1:108" s="282" customFormat="1" ht="12.75" customHeight="1" x14ac:dyDescent="0.2">
      <c r="H5" s="284"/>
      <c r="M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H6" s="284"/>
      <c r="M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H7" s="284"/>
      <c r="M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H8" s="284"/>
    </row>
    <row r="9" spans="1:108" s="5" customFormat="1" ht="12.75" customHeight="1" x14ac:dyDescent="0.2">
      <c r="A9" s="5" t="s">
        <v>191</v>
      </c>
      <c r="C9" s="6"/>
      <c r="H9" s="137"/>
      <c r="I9" s="8"/>
    </row>
    <row r="10" spans="1:108" ht="12.75" customHeight="1" x14ac:dyDescent="0.25">
      <c r="H10" s="54"/>
      <c r="N10" s="19"/>
    </row>
    <row r="11" spans="1:108" ht="12.75" customHeight="1" x14ac:dyDescent="0.25">
      <c r="C11" t="s">
        <v>157</v>
      </c>
      <c r="H11" s="54" t="s">
        <v>13</v>
      </c>
      <c r="N11" s="19"/>
      <c r="O11" s="13"/>
      <c r="P11" s="13">
        <f>Ops!P11</f>
        <v>1</v>
      </c>
      <c r="Q11" s="13">
        <f>Ops!Q11</f>
        <v>1</v>
      </c>
      <c r="R11" s="13">
        <f>Ops!R11</f>
        <v>1</v>
      </c>
      <c r="S11" s="13">
        <f>Ops!S11</f>
        <v>0</v>
      </c>
      <c r="T11" s="13">
        <f>Ops!T11</f>
        <v>0</v>
      </c>
      <c r="U11" s="13">
        <f>Ops!U11</f>
        <v>0</v>
      </c>
      <c r="V11" s="13">
        <f>Ops!V11</f>
        <v>0</v>
      </c>
      <c r="W11" s="13">
        <f>Ops!W11</f>
        <v>0</v>
      </c>
      <c r="X11" s="13">
        <f>Ops!X11</f>
        <v>0</v>
      </c>
      <c r="Y11" s="13">
        <f>Ops!Y11</f>
        <v>0</v>
      </c>
      <c r="Z11" s="13">
        <f>Ops!Z11</f>
        <v>0</v>
      </c>
      <c r="AA11" s="13">
        <f>Ops!AA11</f>
        <v>0</v>
      </c>
      <c r="AB11" s="13">
        <f>Ops!AB11</f>
        <v>0</v>
      </c>
      <c r="AC11" s="13">
        <f>Ops!AC11</f>
        <v>0</v>
      </c>
      <c r="AD11" s="13">
        <f>Ops!AD11</f>
        <v>0</v>
      </c>
      <c r="AE11" s="13">
        <f>Ops!AE11</f>
        <v>0</v>
      </c>
      <c r="AF11" s="13">
        <f>Ops!AF11</f>
        <v>0</v>
      </c>
      <c r="AG11" s="13">
        <f>Ops!AG11</f>
        <v>0</v>
      </c>
      <c r="AH11" s="13">
        <f>Ops!AH11</f>
        <v>0</v>
      </c>
      <c r="AI11" s="13">
        <f>Ops!AI11</f>
        <v>0</v>
      </c>
      <c r="AJ11" s="13">
        <f>Ops!AJ11</f>
        <v>0</v>
      </c>
      <c r="AK11" s="13">
        <f>Ops!AK11</f>
        <v>0</v>
      </c>
      <c r="AL11" s="13">
        <f>Ops!AL11</f>
        <v>0</v>
      </c>
      <c r="AM11" s="13">
        <f>Ops!AM11</f>
        <v>0</v>
      </c>
      <c r="AN11" s="13">
        <f>Ops!AN11</f>
        <v>0</v>
      </c>
      <c r="AO11" s="13">
        <f>Ops!AO11</f>
        <v>0</v>
      </c>
      <c r="AP11" s="13">
        <f>Ops!AP11</f>
        <v>0</v>
      </c>
      <c r="AQ11" s="13">
        <f>Ops!AQ11</f>
        <v>0</v>
      </c>
      <c r="AR11" s="13">
        <f>Ops!AR11</f>
        <v>0</v>
      </c>
      <c r="AS11" s="13">
        <f>Ops!AS11</f>
        <v>0</v>
      </c>
      <c r="AT11" s="13">
        <f>Ops!AT11</f>
        <v>0</v>
      </c>
      <c r="AU11" s="13">
        <f>Ops!AU11</f>
        <v>0</v>
      </c>
      <c r="AV11" s="13">
        <f>Ops!AV11</f>
        <v>0</v>
      </c>
      <c r="AW11" s="13">
        <f>Ops!AW11</f>
        <v>0</v>
      </c>
      <c r="AX11" s="13">
        <f>Ops!AX11</f>
        <v>0</v>
      </c>
      <c r="AY11" s="13">
        <f>Ops!AY11</f>
        <v>0</v>
      </c>
      <c r="AZ11" s="13">
        <f>Ops!AZ11</f>
        <v>0</v>
      </c>
      <c r="BA11" s="13">
        <f>Ops!BA11</f>
        <v>0</v>
      </c>
      <c r="BB11" s="13">
        <f>Ops!BB11</f>
        <v>0</v>
      </c>
      <c r="BC11" s="13">
        <f>Ops!BC11</f>
        <v>0</v>
      </c>
      <c r="BD11" s="13">
        <f>Ops!BD11</f>
        <v>0</v>
      </c>
      <c r="BE11" s="13">
        <f>Ops!BE11</f>
        <v>0</v>
      </c>
      <c r="BF11" s="13">
        <f>Ops!BF11</f>
        <v>0</v>
      </c>
      <c r="BG11" s="13">
        <f>Ops!BG11</f>
        <v>0</v>
      </c>
      <c r="BH11" s="13">
        <f>Ops!BH11</f>
        <v>0</v>
      </c>
      <c r="BI11" s="13">
        <f>Ops!BI11</f>
        <v>0</v>
      </c>
      <c r="BJ11" s="13">
        <f>Ops!BJ11</f>
        <v>0</v>
      </c>
      <c r="BK11" s="13">
        <f>Ops!BK11</f>
        <v>0</v>
      </c>
      <c r="BL11" s="13">
        <f>Ops!BL11</f>
        <v>0</v>
      </c>
      <c r="BM11" s="13">
        <f>Ops!BM11</f>
        <v>0</v>
      </c>
      <c r="BN11" s="13">
        <f>Ops!BN11</f>
        <v>0</v>
      </c>
      <c r="BO11" s="13">
        <f>Ops!BO11</f>
        <v>0</v>
      </c>
      <c r="BP11" s="13">
        <f>Ops!BP11</f>
        <v>0</v>
      </c>
      <c r="BQ11" s="13">
        <f>Ops!BQ11</f>
        <v>0</v>
      </c>
      <c r="BR11" s="13">
        <f>Ops!BR11</f>
        <v>0</v>
      </c>
      <c r="BS11" s="13">
        <f>Ops!BS11</f>
        <v>0</v>
      </c>
      <c r="BT11" s="13">
        <f>Ops!BT11</f>
        <v>0</v>
      </c>
      <c r="BU11" s="13">
        <f>Ops!BU11</f>
        <v>0</v>
      </c>
      <c r="BV11" s="13">
        <f>Ops!BV11</f>
        <v>0</v>
      </c>
      <c r="BW11" s="13">
        <f>Ops!BW11</f>
        <v>0</v>
      </c>
      <c r="BX11" s="13">
        <f>Ops!BX11</f>
        <v>0</v>
      </c>
      <c r="BY11" s="13">
        <f>Ops!BY11</f>
        <v>0</v>
      </c>
      <c r="BZ11" s="13">
        <f>Ops!BZ11</f>
        <v>0</v>
      </c>
      <c r="CA11" s="13">
        <f>Ops!CA11</f>
        <v>0</v>
      </c>
      <c r="CB11" s="13">
        <f>Ops!CB11</f>
        <v>0</v>
      </c>
      <c r="CC11" s="13">
        <f>Ops!CC11</f>
        <v>0</v>
      </c>
      <c r="CD11" s="13">
        <f>Ops!CD11</f>
        <v>0</v>
      </c>
      <c r="CE11" s="13">
        <f>Ops!CE11</f>
        <v>0</v>
      </c>
      <c r="CF11" s="13">
        <f>Ops!CF11</f>
        <v>0</v>
      </c>
      <c r="CG11" s="13">
        <f>Ops!CG11</f>
        <v>0</v>
      </c>
      <c r="CH11" s="13">
        <f>Ops!CH11</f>
        <v>0</v>
      </c>
      <c r="CI11" s="13">
        <f>Ops!CI11</f>
        <v>0</v>
      </c>
      <c r="CJ11" s="13">
        <f>Ops!CJ11</f>
        <v>0</v>
      </c>
      <c r="CK11" s="13">
        <f>Ops!CK11</f>
        <v>0</v>
      </c>
      <c r="CL11" s="13">
        <f>Ops!CL11</f>
        <v>0</v>
      </c>
      <c r="CM11" s="13">
        <f>Ops!CM11</f>
        <v>0</v>
      </c>
      <c r="CN11" s="13">
        <f>Ops!CN11</f>
        <v>0</v>
      </c>
      <c r="CO11" s="13">
        <f>Ops!CO11</f>
        <v>0</v>
      </c>
      <c r="CP11" s="13">
        <f>Ops!CP11</f>
        <v>0</v>
      </c>
      <c r="CQ11" s="13">
        <f>Ops!CQ11</f>
        <v>0</v>
      </c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</row>
    <row r="12" spans="1:108" ht="12.75" customHeight="1" x14ac:dyDescent="0.25">
      <c r="C12" t="s">
        <v>158</v>
      </c>
      <c r="H12" s="54" t="s">
        <v>13</v>
      </c>
      <c r="N12" s="19"/>
      <c r="O12" s="13"/>
      <c r="P12" s="13">
        <f>Ops!P12</f>
        <v>0</v>
      </c>
      <c r="Q12" s="13">
        <f>Ops!Q12</f>
        <v>0</v>
      </c>
      <c r="R12" s="13">
        <f>Ops!R12</f>
        <v>0</v>
      </c>
      <c r="S12" s="13">
        <f>Ops!S12</f>
        <v>1</v>
      </c>
      <c r="T12" s="13">
        <f>Ops!T12</f>
        <v>1</v>
      </c>
      <c r="U12" s="13">
        <f>Ops!U12</f>
        <v>1</v>
      </c>
      <c r="V12" s="13">
        <f>Ops!V12</f>
        <v>1</v>
      </c>
      <c r="W12" s="13">
        <f>Ops!W12</f>
        <v>1</v>
      </c>
      <c r="X12" s="13">
        <f>Ops!X12</f>
        <v>1</v>
      </c>
      <c r="Y12" s="13">
        <f>Ops!Y12</f>
        <v>1</v>
      </c>
      <c r="Z12" s="13">
        <f>Ops!Z12</f>
        <v>1</v>
      </c>
      <c r="AA12" s="13">
        <f>Ops!AA12</f>
        <v>1</v>
      </c>
      <c r="AB12" s="13">
        <f>Ops!AB12</f>
        <v>1</v>
      </c>
      <c r="AC12" s="13">
        <f>Ops!AC12</f>
        <v>1</v>
      </c>
      <c r="AD12" s="13">
        <f>Ops!AD12</f>
        <v>1</v>
      </c>
      <c r="AE12" s="13">
        <f>Ops!AE12</f>
        <v>1</v>
      </c>
      <c r="AF12" s="13">
        <f>Ops!AF12</f>
        <v>1</v>
      </c>
      <c r="AG12" s="13">
        <f>Ops!AG12</f>
        <v>1</v>
      </c>
      <c r="AH12" s="13">
        <f>Ops!AH12</f>
        <v>1</v>
      </c>
      <c r="AI12" s="13">
        <f>Ops!AI12</f>
        <v>1</v>
      </c>
      <c r="AJ12" s="13">
        <f>Ops!AJ12</f>
        <v>1</v>
      </c>
      <c r="AK12" s="13">
        <f>Ops!AK12</f>
        <v>1</v>
      </c>
      <c r="AL12" s="13">
        <f>Ops!AL12</f>
        <v>1</v>
      </c>
      <c r="AM12" s="13">
        <f>Ops!AM12</f>
        <v>1</v>
      </c>
      <c r="AN12" s="13">
        <f>Ops!AN12</f>
        <v>1</v>
      </c>
      <c r="AO12" s="13">
        <f>Ops!AO12</f>
        <v>1</v>
      </c>
      <c r="AP12" s="13">
        <f>Ops!AP12</f>
        <v>1</v>
      </c>
      <c r="AQ12" s="13">
        <f>Ops!AQ12</f>
        <v>1</v>
      </c>
      <c r="AR12" s="13">
        <f>Ops!AR12</f>
        <v>1</v>
      </c>
      <c r="AS12" s="13">
        <f>Ops!AS12</f>
        <v>1</v>
      </c>
      <c r="AT12" s="13">
        <f>Ops!AT12</f>
        <v>1</v>
      </c>
      <c r="AU12" s="13">
        <f>Ops!AU12</f>
        <v>1</v>
      </c>
      <c r="AV12" s="13">
        <f>Ops!AV12</f>
        <v>1</v>
      </c>
      <c r="AW12" s="13">
        <f>Ops!AW12</f>
        <v>1</v>
      </c>
      <c r="AX12" s="13">
        <f>Ops!AX12</f>
        <v>1</v>
      </c>
      <c r="AY12" s="13">
        <f>Ops!AY12</f>
        <v>1</v>
      </c>
      <c r="AZ12" s="13">
        <f>Ops!AZ12</f>
        <v>1</v>
      </c>
      <c r="BA12" s="13">
        <f>Ops!BA12</f>
        <v>1</v>
      </c>
      <c r="BB12" s="13">
        <f>Ops!BB12</f>
        <v>1</v>
      </c>
      <c r="BC12" s="13">
        <f>Ops!BC12</f>
        <v>1</v>
      </c>
      <c r="BD12" s="13">
        <f>Ops!BD12</f>
        <v>1</v>
      </c>
      <c r="BE12" s="13">
        <f>Ops!BE12</f>
        <v>1</v>
      </c>
      <c r="BF12" s="13">
        <f>Ops!BF12</f>
        <v>1</v>
      </c>
      <c r="BG12" s="13">
        <f>Ops!BG12</f>
        <v>1</v>
      </c>
      <c r="BH12" s="13">
        <f>Ops!BH12</f>
        <v>1</v>
      </c>
      <c r="BI12" s="13">
        <f>Ops!BI12</f>
        <v>1</v>
      </c>
      <c r="BJ12" s="13">
        <f>Ops!BJ12</f>
        <v>1</v>
      </c>
      <c r="BK12" s="13">
        <f>Ops!BK12</f>
        <v>1</v>
      </c>
      <c r="BL12" s="13">
        <f>Ops!BL12</f>
        <v>1</v>
      </c>
      <c r="BM12" s="13">
        <f>Ops!BM12</f>
        <v>1</v>
      </c>
      <c r="BN12" s="13">
        <f>Ops!BN12</f>
        <v>1</v>
      </c>
      <c r="BO12" s="13">
        <f>Ops!BO12</f>
        <v>1</v>
      </c>
      <c r="BP12" s="13">
        <f>Ops!BP12</f>
        <v>1</v>
      </c>
      <c r="BQ12" s="13">
        <f>Ops!BQ12</f>
        <v>1</v>
      </c>
      <c r="BR12" s="13">
        <f>Ops!BR12</f>
        <v>0</v>
      </c>
      <c r="BS12" s="13">
        <f>Ops!BS12</f>
        <v>0</v>
      </c>
      <c r="BT12" s="13">
        <f>Ops!BT12</f>
        <v>0</v>
      </c>
      <c r="BU12" s="13">
        <f>Ops!BU12</f>
        <v>0</v>
      </c>
      <c r="BV12" s="13">
        <f>Ops!BV12</f>
        <v>0</v>
      </c>
      <c r="BW12" s="13">
        <f>Ops!BW12</f>
        <v>0</v>
      </c>
      <c r="BX12" s="13">
        <f>Ops!BX12</f>
        <v>0</v>
      </c>
      <c r="BY12" s="13">
        <f>Ops!BY12</f>
        <v>0</v>
      </c>
      <c r="BZ12" s="13">
        <f>Ops!BZ12</f>
        <v>0</v>
      </c>
      <c r="CA12" s="13">
        <f>Ops!CA12</f>
        <v>0</v>
      </c>
      <c r="CB12" s="13">
        <f>Ops!CB12</f>
        <v>0</v>
      </c>
      <c r="CC12" s="13">
        <f>Ops!CC12</f>
        <v>0</v>
      </c>
      <c r="CD12" s="13">
        <f>Ops!CD12</f>
        <v>0</v>
      </c>
      <c r="CE12" s="13">
        <f>Ops!CE12</f>
        <v>0</v>
      </c>
      <c r="CF12" s="13">
        <f>Ops!CF12</f>
        <v>0</v>
      </c>
      <c r="CG12" s="13">
        <f>Ops!CG12</f>
        <v>0</v>
      </c>
      <c r="CH12" s="13">
        <f>Ops!CH12</f>
        <v>0</v>
      </c>
      <c r="CI12" s="13">
        <f>Ops!CI12</f>
        <v>0</v>
      </c>
      <c r="CJ12" s="13">
        <f>Ops!CJ12</f>
        <v>0</v>
      </c>
      <c r="CK12" s="13">
        <f>Ops!CK12</f>
        <v>0</v>
      </c>
      <c r="CL12" s="13">
        <f>Ops!CL12</f>
        <v>0</v>
      </c>
      <c r="CM12" s="13">
        <f>Ops!CM12</f>
        <v>0</v>
      </c>
      <c r="CN12" s="13">
        <f>Ops!CN12</f>
        <v>0</v>
      </c>
      <c r="CO12" s="13">
        <f>Ops!CO12</f>
        <v>0</v>
      </c>
      <c r="CP12" s="13">
        <f>Ops!CP12</f>
        <v>0</v>
      </c>
      <c r="CQ12" s="13">
        <f>Ops!CQ12</f>
        <v>0</v>
      </c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</row>
    <row r="13" spans="1:108" ht="12.75" customHeight="1" x14ac:dyDescent="0.25">
      <c r="C13" t="s">
        <v>70</v>
      </c>
      <c r="H13" s="54" t="s">
        <v>13</v>
      </c>
      <c r="N13" s="19"/>
      <c r="O13" s="13"/>
      <c r="P13" s="13">
        <f>Timing!R30</f>
        <v>0</v>
      </c>
      <c r="Q13" s="13">
        <f>Timing!S30</f>
        <v>0</v>
      </c>
      <c r="R13" s="13">
        <f>Timing!T30</f>
        <v>0</v>
      </c>
      <c r="S13" s="13">
        <f>Timing!U30</f>
        <v>0</v>
      </c>
      <c r="T13" s="13">
        <f>Timing!V30</f>
        <v>0</v>
      </c>
      <c r="U13" s="13">
        <f>Timing!W30</f>
        <v>0</v>
      </c>
      <c r="V13" s="13">
        <f>Timing!X30</f>
        <v>0</v>
      </c>
      <c r="W13" s="13">
        <f>Timing!Y30</f>
        <v>0</v>
      </c>
      <c r="X13" s="13">
        <f>Timing!Z30</f>
        <v>0</v>
      </c>
      <c r="Y13" s="13">
        <f>Timing!AA30</f>
        <v>0</v>
      </c>
      <c r="Z13" s="13">
        <f>Timing!AB30</f>
        <v>0</v>
      </c>
      <c r="AA13" s="13">
        <f>Timing!AC30</f>
        <v>0</v>
      </c>
      <c r="AB13" s="13">
        <f>Timing!AD30</f>
        <v>0</v>
      </c>
      <c r="AC13" s="13">
        <f>Timing!AE30</f>
        <v>0</v>
      </c>
      <c r="AD13" s="13">
        <f>Timing!AF30</f>
        <v>0</v>
      </c>
      <c r="AE13" s="13">
        <f>Timing!AG30</f>
        <v>0</v>
      </c>
      <c r="AF13" s="13">
        <f>Timing!AH30</f>
        <v>0</v>
      </c>
      <c r="AG13" s="13">
        <f>Timing!AI30</f>
        <v>0</v>
      </c>
      <c r="AH13" s="13">
        <f>Timing!AJ30</f>
        <v>0</v>
      </c>
      <c r="AI13" s="13">
        <f>Timing!AK30</f>
        <v>0</v>
      </c>
      <c r="AJ13" s="13">
        <f>Timing!AL30</f>
        <v>0</v>
      </c>
      <c r="AK13" s="13">
        <f>Timing!AM30</f>
        <v>0</v>
      </c>
      <c r="AL13" s="13">
        <f>Timing!AN30</f>
        <v>0</v>
      </c>
      <c r="AM13" s="13">
        <f>Timing!AO30</f>
        <v>0</v>
      </c>
      <c r="AN13" s="13">
        <f>Timing!AP30</f>
        <v>0</v>
      </c>
      <c r="AO13" s="13">
        <f>Timing!AQ30</f>
        <v>0</v>
      </c>
      <c r="AP13" s="13">
        <f>Timing!AR30</f>
        <v>0</v>
      </c>
      <c r="AQ13" s="13">
        <f>Timing!AS30</f>
        <v>0</v>
      </c>
      <c r="AR13" s="13">
        <f>Timing!AT30</f>
        <v>0</v>
      </c>
      <c r="AS13" s="13">
        <f>Timing!AU30</f>
        <v>0</v>
      </c>
      <c r="AT13" s="13">
        <f>Timing!AV30</f>
        <v>0</v>
      </c>
      <c r="AU13" s="13">
        <f>Timing!AW30</f>
        <v>0</v>
      </c>
      <c r="AV13" s="13">
        <f>Timing!AX30</f>
        <v>0</v>
      </c>
      <c r="AW13" s="13">
        <f>Timing!AY30</f>
        <v>0</v>
      </c>
      <c r="AX13" s="13">
        <f>Timing!AZ30</f>
        <v>0</v>
      </c>
      <c r="AY13" s="13">
        <f>Timing!BA30</f>
        <v>0</v>
      </c>
      <c r="AZ13" s="13">
        <f>Timing!BB30</f>
        <v>0</v>
      </c>
      <c r="BA13" s="13">
        <f>Timing!BC30</f>
        <v>0</v>
      </c>
      <c r="BB13" s="13">
        <f>Timing!BD30</f>
        <v>0</v>
      </c>
      <c r="BC13" s="13">
        <f>Timing!BE30</f>
        <v>0</v>
      </c>
      <c r="BD13" s="13">
        <f>Timing!BF30</f>
        <v>0</v>
      </c>
      <c r="BE13" s="13">
        <f>Timing!BG30</f>
        <v>0</v>
      </c>
      <c r="BF13" s="13">
        <f>Timing!BH30</f>
        <v>0</v>
      </c>
      <c r="BG13" s="13">
        <f>Timing!BI30</f>
        <v>0</v>
      </c>
      <c r="BH13" s="13">
        <f>Timing!BJ30</f>
        <v>0</v>
      </c>
      <c r="BI13" s="13">
        <f>Timing!BK30</f>
        <v>0</v>
      </c>
      <c r="BJ13" s="13">
        <f>Timing!BL30</f>
        <v>0</v>
      </c>
      <c r="BK13" s="13">
        <f>Timing!BM30</f>
        <v>0</v>
      </c>
      <c r="BL13" s="13">
        <f>Timing!BN30</f>
        <v>0</v>
      </c>
      <c r="BM13" s="13">
        <f>Timing!BO30</f>
        <v>0</v>
      </c>
      <c r="BN13" s="13">
        <f>Timing!BP30</f>
        <v>0</v>
      </c>
      <c r="BO13" s="13">
        <f>Timing!BQ30</f>
        <v>0</v>
      </c>
      <c r="BP13" s="13">
        <f>Timing!BR30</f>
        <v>0</v>
      </c>
      <c r="BQ13" s="13">
        <f>Timing!BS30</f>
        <v>1</v>
      </c>
      <c r="BR13" s="13">
        <f>Timing!BT30</f>
        <v>0</v>
      </c>
      <c r="BS13" s="13">
        <f>Timing!BU30</f>
        <v>0</v>
      </c>
      <c r="BT13" s="13">
        <f>Timing!BV30</f>
        <v>0</v>
      </c>
      <c r="BU13" s="13">
        <f>Timing!BW30</f>
        <v>0</v>
      </c>
      <c r="BV13" s="13">
        <f>Timing!BX30</f>
        <v>0</v>
      </c>
      <c r="BW13" s="13">
        <f>Timing!BY30</f>
        <v>0</v>
      </c>
      <c r="BX13" s="13">
        <f>Timing!BZ30</f>
        <v>0</v>
      </c>
      <c r="BY13" s="13">
        <f>Timing!CA30</f>
        <v>0</v>
      </c>
      <c r="BZ13" s="13">
        <f>Timing!CB30</f>
        <v>0</v>
      </c>
      <c r="CA13" s="13">
        <f>Timing!CC30</f>
        <v>0</v>
      </c>
      <c r="CB13" s="13">
        <f>Timing!CD30</f>
        <v>0</v>
      </c>
      <c r="CC13" s="13">
        <f>Timing!CE30</f>
        <v>0</v>
      </c>
      <c r="CD13" s="13">
        <f>Timing!CF30</f>
        <v>0</v>
      </c>
      <c r="CE13" s="13">
        <f>Timing!CG30</f>
        <v>0</v>
      </c>
      <c r="CF13" s="13">
        <f>Timing!CH30</f>
        <v>0</v>
      </c>
      <c r="CG13" s="13">
        <f>Timing!CI30</f>
        <v>0</v>
      </c>
      <c r="CH13" s="13">
        <f>Timing!CJ30</f>
        <v>0</v>
      </c>
      <c r="CI13" s="13">
        <f>Timing!CK30</f>
        <v>0</v>
      </c>
      <c r="CJ13" s="13">
        <f>Timing!CL30</f>
        <v>0</v>
      </c>
      <c r="CK13" s="13">
        <f>Timing!CM30</f>
        <v>0</v>
      </c>
      <c r="CL13" s="13">
        <f>Timing!CN30</f>
        <v>0</v>
      </c>
      <c r="CM13" s="13">
        <f>Timing!CO30</f>
        <v>0</v>
      </c>
      <c r="CN13" s="13">
        <f>Timing!CP30</f>
        <v>0</v>
      </c>
      <c r="CO13" s="13">
        <f>Timing!CQ30</f>
        <v>0</v>
      </c>
      <c r="CP13" s="13">
        <f>Timing!CR30</f>
        <v>0</v>
      </c>
      <c r="CQ13" s="13">
        <f>Timing!CS30</f>
        <v>0</v>
      </c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</row>
    <row r="14" spans="1:108" ht="12.75" customHeight="1" x14ac:dyDescent="0.25">
      <c r="H14" s="54"/>
      <c r="N14" s="19"/>
    </row>
    <row r="15" spans="1:108" ht="12.75" customHeight="1" x14ac:dyDescent="0.25">
      <c r="C15" t="s">
        <v>159</v>
      </c>
      <c r="H15" s="54" t="s">
        <v>58</v>
      </c>
      <c r="N15" s="19"/>
      <c r="O15" s="13"/>
      <c r="P15" s="13">
        <f>Timing!R32</f>
        <v>0</v>
      </c>
      <c r="Q15" s="13">
        <f>Timing!S32</f>
        <v>0</v>
      </c>
      <c r="R15" s="13">
        <f>Timing!T32</f>
        <v>0</v>
      </c>
      <c r="S15" s="13">
        <f>Timing!U32</f>
        <v>1</v>
      </c>
      <c r="T15" s="13">
        <f>Timing!V32</f>
        <v>2</v>
      </c>
      <c r="U15" s="13">
        <f>Timing!W32</f>
        <v>3</v>
      </c>
      <c r="V15" s="13">
        <f>Timing!X32</f>
        <v>4</v>
      </c>
      <c r="W15" s="13">
        <f>Timing!Y32</f>
        <v>5</v>
      </c>
      <c r="X15" s="13">
        <f>Timing!Z32</f>
        <v>6</v>
      </c>
      <c r="Y15" s="13">
        <f>Timing!AA32</f>
        <v>7</v>
      </c>
      <c r="Z15" s="13">
        <f>Timing!AB32</f>
        <v>8</v>
      </c>
      <c r="AA15" s="13">
        <f>Timing!AC32</f>
        <v>9</v>
      </c>
      <c r="AB15" s="13">
        <f>Timing!AD32</f>
        <v>10</v>
      </c>
      <c r="AC15" s="13">
        <f>Timing!AE32</f>
        <v>11</v>
      </c>
      <c r="AD15" s="13">
        <f>Timing!AF32</f>
        <v>12</v>
      </c>
      <c r="AE15" s="13">
        <f>Timing!AG32</f>
        <v>13</v>
      </c>
      <c r="AF15" s="13">
        <f>Timing!AH32</f>
        <v>14</v>
      </c>
      <c r="AG15" s="13">
        <f>Timing!AI32</f>
        <v>15</v>
      </c>
      <c r="AH15" s="13">
        <f>Timing!AJ32</f>
        <v>16</v>
      </c>
      <c r="AI15" s="13">
        <f>Timing!AK32</f>
        <v>17</v>
      </c>
      <c r="AJ15" s="13">
        <f>Timing!AL32</f>
        <v>18</v>
      </c>
      <c r="AK15" s="13">
        <f>Timing!AM32</f>
        <v>19</v>
      </c>
      <c r="AL15" s="13">
        <f>Timing!AN32</f>
        <v>20</v>
      </c>
      <c r="AM15" s="13">
        <f>Timing!AO32</f>
        <v>21</v>
      </c>
      <c r="AN15" s="13">
        <f>Timing!AP32</f>
        <v>22</v>
      </c>
      <c r="AO15" s="13">
        <f>Timing!AQ32</f>
        <v>23</v>
      </c>
      <c r="AP15" s="13">
        <f>Timing!AR32</f>
        <v>24</v>
      </c>
      <c r="AQ15" s="13">
        <f>Timing!AS32</f>
        <v>25</v>
      </c>
      <c r="AR15" s="13">
        <f>Timing!AT32</f>
        <v>26</v>
      </c>
      <c r="AS15" s="13">
        <f>Timing!AU32</f>
        <v>27</v>
      </c>
      <c r="AT15" s="13">
        <f>Timing!AV32</f>
        <v>28</v>
      </c>
      <c r="AU15" s="13">
        <f>Timing!AW32</f>
        <v>29</v>
      </c>
      <c r="AV15" s="13">
        <f>Timing!AX32</f>
        <v>30</v>
      </c>
      <c r="AW15" s="13">
        <f>Timing!AY32</f>
        <v>31</v>
      </c>
      <c r="AX15" s="13">
        <f>Timing!AZ32</f>
        <v>32</v>
      </c>
      <c r="AY15" s="13">
        <f>Timing!BA32</f>
        <v>33</v>
      </c>
      <c r="AZ15" s="13">
        <f>Timing!BB32</f>
        <v>34</v>
      </c>
      <c r="BA15" s="13">
        <f>Timing!BC32</f>
        <v>35</v>
      </c>
      <c r="BB15" s="13">
        <f>Timing!BD32</f>
        <v>36</v>
      </c>
      <c r="BC15" s="13">
        <f>Timing!BE32</f>
        <v>37</v>
      </c>
      <c r="BD15" s="13">
        <f>Timing!BF32</f>
        <v>38</v>
      </c>
      <c r="BE15" s="13">
        <f>Timing!BG32</f>
        <v>39</v>
      </c>
      <c r="BF15" s="13">
        <f>Timing!BH32</f>
        <v>40</v>
      </c>
      <c r="BG15" s="13">
        <f>Timing!BI32</f>
        <v>41</v>
      </c>
      <c r="BH15" s="13">
        <f>Timing!BJ32</f>
        <v>42</v>
      </c>
      <c r="BI15" s="13">
        <f>Timing!BK32</f>
        <v>43</v>
      </c>
      <c r="BJ15" s="13">
        <f>Timing!BL32</f>
        <v>44</v>
      </c>
      <c r="BK15" s="13">
        <f>Timing!BM32</f>
        <v>45</v>
      </c>
      <c r="BL15" s="13">
        <f>Timing!BN32</f>
        <v>46</v>
      </c>
      <c r="BM15" s="13">
        <f>Timing!BO32</f>
        <v>47</v>
      </c>
      <c r="BN15" s="13">
        <f>Timing!BP32</f>
        <v>48</v>
      </c>
      <c r="BO15" s="13">
        <f>Timing!BQ32</f>
        <v>49</v>
      </c>
      <c r="BP15" s="13">
        <f>Timing!BR32</f>
        <v>50</v>
      </c>
      <c r="BQ15" s="13">
        <f>Timing!BS32</f>
        <v>51</v>
      </c>
      <c r="BR15" s="13">
        <f>Timing!BT32</f>
        <v>0</v>
      </c>
      <c r="BS15" s="13">
        <f>Timing!BU32</f>
        <v>0</v>
      </c>
      <c r="BT15" s="13">
        <f>Timing!BV32</f>
        <v>0</v>
      </c>
      <c r="BU15" s="13">
        <f>Timing!BW32</f>
        <v>0</v>
      </c>
      <c r="BV15" s="13">
        <f>Timing!BX32</f>
        <v>0</v>
      </c>
      <c r="BW15" s="13">
        <f>Timing!BY32</f>
        <v>0</v>
      </c>
      <c r="BX15" s="13">
        <f>Timing!BZ32</f>
        <v>0</v>
      </c>
      <c r="BY15" s="13">
        <f>Timing!CA32</f>
        <v>0</v>
      </c>
      <c r="BZ15" s="13">
        <f>Timing!CB32</f>
        <v>0</v>
      </c>
      <c r="CA15" s="13">
        <f>Timing!CC32</f>
        <v>0</v>
      </c>
      <c r="CB15" s="13">
        <f>Timing!CD32</f>
        <v>0</v>
      </c>
      <c r="CC15" s="13">
        <f>Timing!CE32</f>
        <v>0</v>
      </c>
      <c r="CD15" s="13">
        <f>Timing!CF32</f>
        <v>0</v>
      </c>
      <c r="CE15" s="13">
        <f>Timing!CG32</f>
        <v>0</v>
      </c>
      <c r="CF15" s="13">
        <f>Timing!CH32</f>
        <v>0</v>
      </c>
      <c r="CG15" s="13">
        <f>Timing!CI32</f>
        <v>0</v>
      </c>
      <c r="CH15" s="13">
        <f>Timing!CJ32</f>
        <v>0</v>
      </c>
      <c r="CI15" s="13">
        <f>Timing!CK32</f>
        <v>0</v>
      </c>
      <c r="CJ15" s="13">
        <f>Timing!CL32</f>
        <v>0</v>
      </c>
      <c r="CK15" s="13">
        <f>Timing!CM32</f>
        <v>0</v>
      </c>
      <c r="CL15" s="13">
        <f>Timing!CN32</f>
        <v>0</v>
      </c>
      <c r="CM15" s="13">
        <f>Timing!CO32</f>
        <v>0</v>
      </c>
      <c r="CN15" s="13">
        <f>Timing!CP32</f>
        <v>0</v>
      </c>
      <c r="CO15" s="13">
        <f>Timing!CQ32</f>
        <v>0</v>
      </c>
      <c r="CP15" s="13">
        <f>Timing!CR32</f>
        <v>0</v>
      </c>
      <c r="CQ15" s="13">
        <f>Timing!CS32</f>
        <v>0</v>
      </c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</row>
    <row r="16" spans="1:108" ht="12.75" customHeight="1" x14ac:dyDescent="0.25">
      <c r="H16" s="54"/>
      <c r="N16" s="19"/>
    </row>
    <row r="17" spans="1:95" s="5" customFormat="1" ht="12.75" customHeight="1" x14ac:dyDescent="0.2">
      <c r="A17" s="5" t="s">
        <v>103</v>
      </c>
      <c r="H17" s="137"/>
      <c r="I17" s="8"/>
    </row>
    <row r="18" spans="1:95" ht="12.75" customHeight="1" x14ac:dyDescent="0.25">
      <c r="H18" s="54"/>
      <c r="N18" s="19"/>
    </row>
    <row r="19" spans="1:95" ht="12.75" customHeight="1" x14ac:dyDescent="0.25">
      <c r="C19" t="s">
        <v>192</v>
      </c>
      <c r="H19" s="9" t="s">
        <v>102</v>
      </c>
      <c r="N19" s="19"/>
      <c r="P19" s="10">
        <f>InputC!$K$39*Tariff!P12</f>
        <v>0</v>
      </c>
      <c r="Q19" s="10">
        <f>InputC!$K$39*Tariff!Q12</f>
        <v>0</v>
      </c>
      <c r="R19" s="10">
        <f>InputC!$K$39*Tariff!R12</f>
        <v>0</v>
      </c>
      <c r="S19" s="10">
        <f>InputC!$K$39*Tariff!S12</f>
        <v>120</v>
      </c>
      <c r="T19" s="10">
        <f>InputC!$K$39*Tariff!T12</f>
        <v>120</v>
      </c>
      <c r="U19" s="10">
        <f>InputC!$K$39*Tariff!U12</f>
        <v>120</v>
      </c>
      <c r="V19" s="10">
        <f>InputC!$K$39*Tariff!V12</f>
        <v>120</v>
      </c>
      <c r="W19" s="10">
        <f>InputC!$K$39*Tariff!W12</f>
        <v>120</v>
      </c>
      <c r="X19" s="10">
        <f>InputC!$K$39*Tariff!X12</f>
        <v>120</v>
      </c>
      <c r="Y19" s="10">
        <f>InputC!$K$39*Tariff!Y12</f>
        <v>120</v>
      </c>
      <c r="Z19" s="10">
        <f>InputC!$K$39*Tariff!Z12</f>
        <v>120</v>
      </c>
      <c r="AA19" s="10">
        <f>InputC!$K$39*Tariff!AA12</f>
        <v>120</v>
      </c>
      <c r="AB19" s="10">
        <f>InputC!$K$39*Tariff!AB12</f>
        <v>120</v>
      </c>
      <c r="AC19" s="10">
        <f>InputC!$K$39*Tariff!AC12</f>
        <v>120</v>
      </c>
      <c r="AD19" s="10">
        <f>InputC!$K$39*Tariff!AD12</f>
        <v>120</v>
      </c>
      <c r="AE19" s="10">
        <f>InputC!$K$39*Tariff!AE12</f>
        <v>120</v>
      </c>
      <c r="AF19" s="10">
        <f>InputC!$K$39*Tariff!AF12</f>
        <v>120</v>
      </c>
      <c r="AG19" s="10">
        <f>InputC!$K$39*Tariff!AG12</f>
        <v>120</v>
      </c>
      <c r="AH19" s="10">
        <f>InputC!$K$39*Tariff!AH12</f>
        <v>120</v>
      </c>
      <c r="AI19" s="10">
        <f>InputC!$K$39*Tariff!AI12</f>
        <v>120</v>
      </c>
      <c r="AJ19" s="10">
        <f>InputC!$K$39*Tariff!AJ12</f>
        <v>120</v>
      </c>
      <c r="AK19" s="10">
        <f>InputC!$K$39*Tariff!AK12</f>
        <v>120</v>
      </c>
      <c r="AL19" s="10">
        <f>InputC!$K$39*Tariff!AL12</f>
        <v>120</v>
      </c>
      <c r="AM19" s="10">
        <f>InputC!$K$39*Tariff!AM12</f>
        <v>120</v>
      </c>
      <c r="AN19" s="10">
        <f>InputC!$K$39*Tariff!AN12</f>
        <v>120</v>
      </c>
      <c r="AO19" s="10">
        <f>InputC!$K$39*Tariff!AO12</f>
        <v>120</v>
      </c>
      <c r="AP19" s="10">
        <f>InputC!$K$39*Tariff!AP12</f>
        <v>120</v>
      </c>
      <c r="AQ19" s="10">
        <f>InputC!$K$39*Tariff!AQ12</f>
        <v>120</v>
      </c>
      <c r="AR19" s="10">
        <f>InputC!$K$39*Tariff!AR12</f>
        <v>120</v>
      </c>
      <c r="AS19" s="10">
        <f>InputC!$K$39*Tariff!AS12</f>
        <v>120</v>
      </c>
      <c r="AT19" s="10">
        <f>InputC!$K$39*Tariff!AT12</f>
        <v>120</v>
      </c>
      <c r="AU19" s="10">
        <f>InputC!$K$39*Tariff!AU12</f>
        <v>120</v>
      </c>
      <c r="AV19" s="10">
        <f>InputC!$K$39*Tariff!AV12</f>
        <v>120</v>
      </c>
      <c r="AW19" s="10">
        <f>InputC!$K$39*Tariff!AW12</f>
        <v>120</v>
      </c>
      <c r="AX19" s="10">
        <f>InputC!$K$39*Tariff!AX12</f>
        <v>120</v>
      </c>
      <c r="AY19" s="10">
        <f>InputC!$K$39*Tariff!AY12</f>
        <v>120</v>
      </c>
      <c r="AZ19" s="10">
        <f>InputC!$K$39*Tariff!AZ12</f>
        <v>120</v>
      </c>
      <c r="BA19" s="10">
        <f>InputC!$K$39*Tariff!BA12</f>
        <v>120</v>
      </c>
      <c r="BB19" s="10">
        <f>InputC!$K$39*Tariff!BB12</f>
        <v>120</v>
      </c>
      <c r="BC19" s="10">
        <f>InputC!$K$39*Tariff!BC12</f>
        <v>120</v>
      </c>
      <c r="BD19" s="10">
        <f>InputC!$K$39*Tariff!BD12</f>
        <v>120</v>
      </c>
      <c r="BE19" s="10">
        <f>InputC!$K$39*Tariff!BE12</f>
        <v>120</v>
      </c>
      <c r="BF19" s="10">
        <f>InputC!$K$39*Tariff!BF12</f>
        <v>120</v>
      </c>
      <c r="BG19" s="10">
        <f>InputC!$K$39*Tariff!BG12</f>
        <v>120</v>
      </c>
      <c r="BH19" s="10">
        <f>InputC!$K$39*Tariff!BH12</f>
        <v>120</v>
      </c>
      <c r="BI19" s="10">
        <f>InputC!$K$39*Tariff!BI12</f>
        <v>120</v>
      </c>
      <c r="BJ19" s="10">
        <f>InputC!$K$39*Tariff!BJ12</f>
        <v>120</v>
      </c>
      <c r="BK19" s="10">
        <f>InputC!$K$39*Tariff!BK12</f>
        <v>120</v>
      </c>
      <c r="BL19" s="10">
        <f>InputC!$K$39*Tariff!BL12</f>
        <v>120</v>
      </c>
      <c r="BM19" s="10">
        <f>InputC!$K$39*Tariff!BM12</f>
        <v>120</v>
      </c>
      <c r="BN19" s="10">
        <f>InputC!$K$39*Tariff!BN12</f>
        <v>120</v>
      </c>
      <c r="BO19" s="10">
        <f>InputC!$K$39*Tariff!BO12</f>
        <v>120</v>
      </c>
      <c r="BP19" s="10">
        <f>InputC!$K$39*Tariff!BP12</f>
        <v>120</v>
      </c>
      <c r="BQ19" s="10">
        <f>InputC!$K$39*Tariff!BQ12</f>
        <v>120</v>
      </c>
      <c r="BR19" s="10">
        <f>InputC!$K$39*Tariff!BR12</f>
        <v>0</v>
      </c>
      <c r="BS19" s="10">
        <f>InputC!$K$39*Tariff!BS12</f>
        <v>0</v>
      </c>
      <c r="BT19" s="10">
        <f>InputC!$K$39*Tariff!BT12</f>
        <v>0</v>
      </c>
      <c r="BU19" s="10">
        <f>InputC!$K$39*Tariff!BU12</f>
        <v>0</v>
      </c>
      <c r="BV19" s="10">
        <f>InputC!$K$39*Tariff!BV12</f>
        <v>0</v>
      </c>
      <c r="BW19" s="10">
        <f>InputC!$K$39*Tariff!BW12</f>
        <v>0</v>
      </c>
      <c r="BX19" s="10">
        <f>InputC!$K$39*Tariff!BX12</f>
        <v>0</v>
      </c>
      <c r="BY19" s="10">
        <f>InputC!$K$39*Tariff!BY12</f>
        <v>0</v>
      </c>
      <c r="BZ19" s="10">
        <f>InputC!$K$39*Tariff!BZ12</f>
        <v>0</v>
      </c>
      <c r="CA19" s="10">
        <f>InputC!$K$39*Tariff!CA12</f>
        <v>0</v>
      </c>
      <c r="CB19" s="10">
        <f>InputC!$K$39*Tariff!CB12</f>
        <v>0</v>
      </c>
      <c r="CC19" s="10">
        <f>InputC!$K$39*Tariff!CC12</f>
        <v>0</v>
      </c>
      <c r="CD19" s="10">
        <f>InputC!$K$39*Tariff!CD12</f>
        <v>0</v>
      </c>
      <c r="CE19" s="10">
        <f>InputC!$K$39*Tariff!CE12</f>
        <v>0</v>
      </c>
      <c r="CF19" s="10">
        <f>InputC!$K$39*Tariff!CF12</f>
        <v>0</v>
      </c>
      <c r="CG19" s="10">
        <f>InputC!$K$39*Tariff!CG12</f>
        <v>0</v>
      </c>
      <c r="CH19" s="10">
        <f>InputC!$K$39*Tariff!CH12</f>
        <v>0</v>
      </c>
      <c r="CI19" s="10">
        <f>InputC!$K$39*Tariff!CI12</f>
        <v>0</v>
      </c>
      <c r="CJ19" s="10">
        <f>InputC!$K$39*Tariff!CJ12</f>
        <v>0</v>
      </c>
      <c r="CK19" s="10">
        <f>InputC!$K$39*Tariff!CK12</f>
        <v>0</v>
      </c>
      <c r="CL19" s="10">
        <f>InputC!$K$39*Tariff!CL12</f>
        <v>0</v>
      </c>
      <c r="CM19" s="10">
        <f>InputC!$K$39*Tariff!CM12</f>
        <v>0</v>
      </c>
      <c r="CN19" s="10">
        <f>InputC!$K$39*Tariff!CN12</f>
        <v>0</v>
      </c>
      <c r="CO19" s="10">
        <f>InputC!$K$39*Tariff!CO12</f>
        <v>0</v>
      </c>
      <c r="CP19" s="10">
        <f>InputC!$K$39*Tariff!CP12</f>
        <v>0</v>
      </c>
      <c r="CQ19" s="10">
        <f>InputC!$K$39*Tariff!CQ12</f>
        <v>0</v>
      </c>
    </row>
    <row r="20" spans="1:95" ht="12.75" customHeight="1" x14ac:dyDescent="0.25">
      <c r="C20" t="s">
        <v>193</v>
      </c>
      <c r="H20" s="54" t="s">
        <v>174</v>
      </c>
      <c r="J20" s="38" t="s">
        <v>194</v>
      </c>
      <c r="N20" s="19"/>
      <c r="P20" s="10">
        <f>P39</f>
        <v>0</v>
      </c>
      <c r="Q20" s="10">
        <f t="shared" ref="Q20:CB20" si="1">Q39</f>
        <v>0</v>
      </c>
      <c r="R20" s="10">
        <f t="shared" si="1"/>
        <v>0</v>
      </c>
      <c r="S20" s="10">
        <f t="shared" si="1"/>
        <v>33.952381683191305</v>
      </c>
      <c r="T20" s="10">
        <f t="shared" si="1"/>
        <v>33.952381683191305</v>
      </c>
      <c r="U20" s="10">
        <f t="shared" si="1"/>
        <v>33.952381683191305</v>
      </c>
      <c r="V20" s="10">
        <f t="shared" si="1"/>
        <v>33.952381683191305</v>
      </c>
      <c r="W20" s="10">
        <f t="shared" si="1"/>
        <v>33.952381683191305</v>
      </c>
      <c r="X20" s="10">
        <f t="shared" si="1"/>
        <v>33.952381683191305</v>
      </c>
      <c r="Y20" s="10">
        <f t="shared" si="1"/>
        <v>33.952381683191305</v>
      </c>
      <c r="Z20" s="10">
        <f t="shared" si="1"/>
        <v>33.952381683191305</v>
      </c>
      <c r="AA20" s="10">
        <f t="shared" si="1"/>
        <v>33.952381683191305</v>
      </c>
      <c r="AB20" s="10">
        <f t="shared" si="1"/>
        <v>33.952381683191305</v>
      </c>
      <c r="AC20" s="10">
        <f t="shared" si="1"/>
        <v>33.952381683191305</v>
      </c>
      <c r="AD20" s="10">
        <f t="shared" si="1"/>
        <v>33.952381683191305</v>
      </c>
      <c r="AE20" s="10">
        <f t="shared" si="1"/>
        <v>33.952381683191305</v>
      </c>
      <c r="AF20" s="10">
        <f t="shared" si="1"/>
        <v>33.952381683191305</v>
      </c>
      <c r="AG20" s="10">
        <f t="shared" si="1"/>
        <v>33.952381683191305</v>
      </c>
      <c r="AH20" s="10">
        <f t="shared" si="1"/>
        <v>33.952381683191305</v>
      </c>
      <c r="AI20" s="10">
        <f t="shared" si="1"/>
        <v>33.952381683191305</v>
      </c>
      <c r="AJ20" s="10">
        <f t="shared" si="1"/>
        <v>33.952381683191305</v>
      </c>
      <c r="AK20" s="10">
        <f t="shared" si="1"/>
        <v>33.952381683191305</v>
      </c>
      <c r="AL20" s="10">
        <f t="shared" si="1"/>
        <v>33.952381683191305</v>
      </c>
      <c r="AM20" s="10">
        <f t="shared" si="1"/>
        <v>33.952381683191305</v>
      </c>
      <c r="AN20" s="10">
        <f t="shared" si="1"/>
        <v>33.952381683191305</v>
      </c>
      <c r="AO20" s="10">
        <f t="shared" si="1"/>
        <v>33.952381683191305</v>
      </c>
      <c r="AP20" s="10">
        <f t="shared" si="1"/>
        <v>33.952381683191305</v>
      </c>
      <c r="AQ20" s="10">
        <f t="shared" si="1"/>
        <v>33.952381683191305</v>
      </c>
      <c r="AR20" s="10">
        <f t="shared" si="1"/>
        <v>33.952381683191305</v>
      </c>
      <c r="AS20" s="10">
        <f t="shared" si="1"/>
        <v>33.952381683191305</v>
      </c>
      <c r="AT20" s="10">
        <f t="shared" si="1"/>
        <v>33.952381683191305</v>
      </c>
      <c r="AU20" s="10">
        <f t="shared" si="1"/>
        <v>33.952381683191305</v>
      </c>
      <c r="AV20" s="10">
        <f t="shared" si="1"/>
        <v>33.952381683191305</v>
      </c>
      <c r="AW20" s="10">
        <f t="shared" si="1"/>
        <v>33.952381683191305</v>
      </c>
      <c r="AX20" s="10">
        <f t="shared" si="1"/>
        <v>33.952381683191305</v>
      </c>
      <c r="AY20" s="10">
        <f t="shared" si="1"/>
        <v>33.952381683191305</v>
      </c>
      <c r="AZ20" s="10">
        <f t="shared" si="1"/>
        <v>33.952381683191305</v>
      </c>
      <c r="BA20" s="10">
        <f t="shared" si="1"/>
        <v>33.952381683191305</v>
      </c>
      <c r="BB20" s="10">
        <f t="shared" si="1"/>
        <v>33.952381683191305</v>
      </c>
      <c r="BC20" s="10">
        <f t="shared" si="1"/>
        <v>33.952381683191305</v>
      </c>
      <c r="BD20" s="10">
        <f t="shared" si="1"/>
        <v>33.952381683191305</v>
      </c>
      <c r="BE20" s="10">
        <f t="shared" si="1"/>
        <v>33.952381683191305</v>
      </c>
      <c r="BF20" s="10">
        <f t="shared" si="1"/>
        <v>33.952381683191305</v>
      </c>
      <c r="BG20" s="10">
        <f t="shared" si="1"/>
        <v>33.952381683191305</v>
      </c>
      <c r="BH20" s="10">
        <f t="shared" si="1"/>
        <v>33.952381683191305</v>
      </c>
      <c r="BI20" s="10">
        <f t="shared" si="1"/>
        <v>33.952381683191305</v>
      </c>
      <c r="BJ20" s="10">
        <f t="shared" si="1"/>
        <v>33.952381683191305</v>
      </c>
      <c r="BK20" s="10">
        <f t="shared" si="1"/>
        <v>33.952381683191305</v>
      </c>
      <c r="BL20" s="10">
        <f t="shared" si="1"/>
        <v>33.952381683191305</v>
      </c>
      <c r="BM20" s="10">
        <f t="shared" si="1"/>
        <v>33.952381683191305</v>
      </c>
      <c r="BN20" s="10">
        <f t="shared" si="1"/>
        <v>33.952381683191305</v>
      </c>
      <c r="BO20" s="10">
        <f t="shared" si="1"/>
        <v>33.952381683191305</v>
      </c>
      <c r="BP20" s="10">
        <f t="shared" si="1"/>
        <v>33.952381683191305</v>
      </c>
      <c r="BQ20" s="10">
        <f t="shared" si="1"/>
        <v>33.952381683191305</v>
      </c>
      <c r="BR20" s="10">
        <f t="shared" si="1"/>
        <v>0</v>
      </c>
      <c r="BS20" s="10">
        <f t="shared" si="1"/>
        <v>0</v>
      </c>
      <c r="BT20" s="10">
        <f t="shared" si="1"/>
        <v>0</v>
      </c>
      <c r="BU20" s="10">
        <f t="shared" si="1"/>
        <v>0</v>
      </c>
      <c r="BV20" s="10">
        <f t="shared" si="1"/>
        <v>0</v>
      </c>
      <c r="BW20" s="10">
        <f t="shared" si="1"/>
        <v>0</v>
      </c>
      <c r="BX20" s="10">
        <f t="shared" si="1"/>
        <v>0</v>
      </c>
      <c r="BY20" s="10">
        <f t="shared" si="1"/>
        <v>0</v>
      </c>
      <c r="BZ20" s="10">
        <f t="shared" si="1"/>
        <v>0</v>
      </c>
      <c r="CA20" s="10">
        <f t="shared" si="1"/>
        <v>0</v>
      </c>
      <c r="CB20" s="10">
        <f t="shared" si="1"/>
        <v>0</v>
      </c>
      <c r="CC20" s="10">
        <f t="shared" ref="CC20:CQ20" si="2">CC39</f>
        <v>0</v>
      </c>
      <c r="CD20" s="10">
        <f t="shared" si="2"/>
        <v>0</v>
      </c>
      <c r="CE20" s="10">
        <f t="shared" si="2"/>
        <v>0</v>
      </c>
      <c r="CF20" s="10">
        <f t="shared" si="2"/>
        <v>0</v>
      </c>
      <c r="CG20" s="10">
        <f t="shared" si="2"/>
        <v>0</v>
      </c>
      <c r="CH20" s="10">
        <f t="shared" si="2"/>
        <v>0</v>
      </c>
      <c r="CI20" s="10">
        <f t="shared" si="2"/>
        <v>0</v>
      </c>
      <c r="CJ20" s="10">
        <f t="shared" si="2"/>
        <v>0</v>
      </c>
      <c r="CK20" s="10">
        <f t="shared" si="2"/>
        <v>0</v>
      </c>
      <c r="CL20" s="10">
        <f t="shared" si="2"/>
        <v>0</v>
      </c>
      <c r="CM20" s="10">
        <f t="shared" si="2"/>
        <v>0</v>
      </c>
      <c r="CN20" s="10">
        <f t="shared" si="2"/>
        <v>0</v>
      </c>
      <c r="CO20" s="10">
        <f t="shared" si="2"/>
        <v>0</v>
      </c>
      <c r="CP20" s="10">
        <f t="shared" si="2"/>
        <v>0</v>
      </c>
      <c r="CQ20" s="10">
        <f t="shared" si="2"/>
        <v>0</v>
      </c>
    </row>
    <row r="21" spans="1:95" ht="12.75" customHeight="1" x14ac:dyDescent="0.25">
      <c r="C21" t="s">
        <v>195</v>
      </c>
      <c r="H21" s="54" t="s">
        <v>196</v>
      </c>
      <c r="J21" s="85">
        <f>InputC!K40</f>
        <v>0.45</v>
      </c>
      <c r="N21" s="19"/>
      <c r="P21" s="10">
        <f>P20/$J21*100</f>
        <v>0</v>
      </c>
      <c r="Q21" s="10">
        <f t="shared" ref="Q21:CB21" si="3">Q20/$J21*100</f>
        <v>0</v>
      </c>
      <c r="R21" s="10">
        <f t="shared" si="3"/>
        <v>0</v>
      </c>
      <c r="S21" s="10">
        <f t="shared" si="3"/>
        <v>7544.9737073758461</v>
      </c>
      <c r="T21" s="10">
        <f t="shared" si="3"/>
        <v>7544.9737073758461</v>
      </c>
      <c r="U21" s="10">
        <f t="shared" si="3"/>
        <v>7544.9737073758461</v>
      </c>
      <c r="V21" s="10">
        <f t="shared" si="3"/>
        <v>7544.9737073758461</v>
      </c>
      <c r="W21" s="10">
        <f t="shared" si="3"/>
        <v>7544.9737073758461</v>
      </c>
      <c r="X21" s="10">
        <f t="shared" si="3"/>
        <v>7544.9737073758461</v>
      </c>
      <c r="Y21" s="10">
        <f t="shared" si="3"/>
        <v>7544.9737073758461</v>
      </c>
      <c r="Z21" s="10">
        <f t="shared" si="3"/>
        <v>7544.9737073758461</v>
      </c>
      <c r="AA21" s="10">
        <f t="shared" si="3"/>
        <v>7544.9737073758461</v>
      </c>
      <c r="AB21" s="10">
        <f t="shared" si="3"/>
        <v>7544.9737073758461</v>
      </c>
      <c r="AC21" s="10">
        <f t="shared" si="3"/>
        <v>7544.9737073758461</v>
      </c>
      <c r="AD21" s="10">
        <f t="shared" si="3"/>
        <v>7544.9737073758461</v>
      </c>
      <c r="AE21" s="10">
        <f t="shared" si="3"/>
        <v>7544.9737073758461</v>
      </c>
      <c r="AF21" s="10">
        <f t="shared" si="3"/>
        <v>7544.9737073758461</v>
      </c>
      <c r="AG21" s="10">
        <f t="shared" si="3"/>
        <v>7544.9737073758461</v>
      </c>
      <c r="AH21" s="10">
        <f t="shared" si="3"/>
        <v>7544.9737073758461</v>
      </c>
      <c r="AI21" s="10">
        <f t="shared" si="3"/>
        <v>7544.9737073758461</v>
      </c>
      <c r="AJ21" s="10">
        <f t="shared" si="3"/>
        <v>7544.9737073758461</v>
      </c>
      <c r="AK21" s="10">
        <f t="shared" si="3"/>
        <v>7544.9737073758461</v>
      </c>
      <c r="AL21" s="10">
        <f t="shared" si="3"/>
        <v>7544.9737073758461</v>
      </c>
      <c r="AM21" s="10">
        <f t="shared" si="3"/>
        <v>7544.9737073758461</v>
      </c>
      <c r="AN21" s="10">
        <f t="shared" si="3"/>
        <v>7544.9737073758461</v>
      </c>
      <c r="AO21" s="10">
        <f t="shared" si="3"/>
        <v>7544.9737073758461</v>
      </c>
      <c r="AP21" s="10">
        <f t="shared" si="3"/>
        <v>7544.9737073758461</v>
      </c>
      <c r="AQ21" s="10">
        <f t="shared" si="3"/>
        <v>7544.9737073758461</v>
      </c>
      <c r="AR21" s="10">
        <f t="shared" si="3"/>
        <v>7544.9737073758461</v>
      </c>
      <c r="AS21" s="10">
        <f t="shared" si="3"/>
        <v>7544.9737073758461</v>
      </c>
      <c r="AT21" s="10">
        <f t="shared" si="3"/>
        <v>7544.9737073758461</v>
      </c>
      <c r="AU21" s="10">
        <f t="shared" si="3"/>
        <v>7544.9737073758461</v>
      </c>
      <c r="AV21" s="10">
        <f t="shared" si="3"/>
        <v>7544.9737073758461</v>
      </c>
      <c r="AW21" s="10">
        <f t="shared" si="3"/>
        <v>7544.9737073758461</v>
      </c>
      <c r="AX21" s="10">
        <f t="shared" si="3"/>
        <v>7544.9737073758461</v>
      </c>
      <c r="AY21" s="10">
        <f t="shared" si="3"/>
        <v>7544.9737073758461</v>
      </c>
      <c r="AZ21" s="10">
        <f t="shared" si="3"/>
        <v>7544.9737073758461</v>
      </c>
      <c r="BA21" s="10">
        <f t="shared" si="3"/>
        <v>7544.9737073758461</v>
      </c>
      <c r="BB21" s="10">
        <f t="shared" si="3"/>
        <v>7544.9737073758461</v>
      </c>
      <c r="BC21" s="10">
        <f t="shared" si="3"/>
        <v>7544.9737073758461</v>
      </c>
      <c r="BD21" s="10">
        <f t="shared" si="3"/>
        <v>7544.9737073758461</v>
      </c>
      <c r="BE21" s="10">
        <f t="shared" si="3"/>
        <v>7544.9737073758461</v>
      </c>
      <c r="BF21" s="10">
        <f t="shared" si="3"/>
        <v>7544.9737073758461</v>
      </c>
      <c r="BG21" s="10">
        <f t="shared" si="3"/>
        <v>7544.9737073758461</v>
      </c>
      <c r="BH21" s="10">
        <f t="shared" si="3"/>
        <v>7544.9737073758461</v>
      </c>
      <c r="BI21" s="10">
        <f t="shared" si="3"/>
        <v>7544.9737073758461</v>
      </c>
      <c r="BJ21" s="10">
        <f t="shared" si="3"/>
        <v>7544.9737073758461</v>
      </c>
      <c r="BK21" s="10">
        <f t="shared" si="3"/>
        <v>7544.9737073758461</v>
      </c>
      <c r="BL21" s="10">
        <f t="shared" si="3"/>
        <v>7544.9737073758461</v>
      </c>
      <c r="BM21" s="10">
        <f t="shared" si="3"/>
        <v>7544.9737073758461</v>
      </c>
      <c r="BN21" s="10">
        <f t="shared" si="3"/>
        <v>7544.9737073758461</v>
      </c>
      <c r="BO21" s="10">
        <f t="shared" si="3"/>
        <v>7544.9737073758461</v>
      </c>
      <c r="BP21" s="10">
        <f t="shared" si="3"/>
        <v>7544.9737073758461</v>
      </c>
      <c r="BQ21" s="10">
        <f t="shared" si="3"/>
        <v>7544.9737073758461</v>
      </c>
      <c r="BR21" s="10">
        <f t="shared" si="3"/>
        <v>0</v>
      </c>
      <c r="BS21" s="10">
        <f t="shared" si="3"/>
        <v>0</v>
      </c>
      <c r="BT21" s="10">
        <f t="shared" si="3"/>
        <v>0</v>
      </c>
      <c r="BU21" s="10">
        <f t="shared" si="3"/>
        <v>0</v>
      </c>
      <c r="BV21" s="10">
        <f t="shared" si="3"/>
        <v>0</v>
      </c>
      <c r="BW21" s="10">
        <f t="shared" si="3"/>
        <v>0</v>
      </c>
      <c r="BX21" s="10">
        <f t="shared" si="3"/>
        <v>0</v>
      </c>
      <c r="BY21" s="10">
        <f t="shared" si="3"/>
        <v>0</v>
      </c>
      <c r="BZ21" s="10">
        <f t="shared" si="3"/>
        <v>0</v>
      </c>
      <c r="CA21" s="10">
        <f t="shared" si="3"/>
        <v>0</v>
      </c>
      <c r="CB21" s="10">
        <f t="shared" si="3"/>
        <v>0</v>
      </c>
      <c r="CC21" s="10">
        <f t="shared" ref="CC21:CQ21" si="4">CC20/$J21*100</f>
        <v>0</v>
      </c>
      <c r="CD21" s="10">
        <f t="shared" si="4"/>
        <v>0</v>
      </c>
      <c r="CE21" s="10">
        <f t="shared" si="4"/>
        <v>0</v>
      </c>
      <c r="CF21" s="10">
        <f t="shared" si="4"/>
        <v>0</v>
      </c>
      <c r="CG21" s="10">
        <f t="shared" si="4"/>
        <v>0</v>
      </c>
      <c r="CH21" s="10">
        <f t="shared" si="4"/>
        <v>0</v>
      </c>
      <c r="CI21" s="10">
        <f t="shared" si="4"/>
        <v>0</v>
      </c>
      <c r="CJ21" s="10">
        <f t="shared" si="4"/>
        <v>0</v>
      </c>
      <c r="CK21" s="10">
        <f t="shared" si="4"/>
        <v>0</v>
      </c>
      <c r="CL21" s="10">
        <f t="shared" si="4"/>
        <v>0</v>
      </c>
      <c r="CM21" s="10">
        <f t="shared" si="4"/>
        <v>0</v>
      </c>
      <c r="CN21" s="10">
        <f t="shared" si="4"/>
        <v>0</v>
      </c>
      <c r="CO21" s="10">
        <f t="shared" si="4"/>
        <v>0</v>
      </c>
      <c r="CP21" s="10">
        <f t="shared" si="4"/>
        <v>0</v>
      </c>
      <c r="CQ21" s="10">
        <f t="shared" si="4"/>
        <v>0</v>
      </c>
    </row>
    <row r="22" spans="1:95" ht="12.75" customHeight="1" x14ac:dyDescent="0.25">
      <c r="H22" s="54"/>
      <c r="N22" s="19"/>
    </row>
    <row r="23" spans="1:95" ht="12.75" customHeight="1" x14ac:dyDescent="0.25">
      <c r="B23" s="21" t="s">
        <v>103</v>
      </c>
      <c r="H23" s="54"/>
      <c r="N23" s="19"/>
    </row>
    <row r="24" spans="1:95" ht="12.75" customHeight="1" x14ac:dyDescent="0.25">
      <c r="H24" s="54"/>
      <c r="J24" s="96"/>
      <c r="N24" s="19"/>
    </row>
    <row r="25" spans="1:95" ht="12.75" customHeight="1" x14ac:dyDescent="0.25">
      <c r="C25" s="17" t="s">
        <v>34</v>
      </c>
      <c r="D25" t="s">
        <v>197</v>
      </c>
      <c r="H25" s="54" t="s">
        <v>3</v>
      </c>
      <c r="J25" s="96"/>
      <c r="N25" s="25" t="e">
        <f t="shared" ref="N25:N31" si="5">SUM(P25:DD25)</f>
        <v>#REF!</v>
      </c>
      <c r="P25" s="10">
        <f>P41</f>
        <v>0</v>
      </c>
      <c r="Q25" s="10">
        <f t="shared" ref="Q25:CB25" si="6">Q41</f>
        <v>0</v>
      </c>
      <c r="R25" s="10">
        <f t="shared" si="6"/>
        <v>0</v>
      </c>
      <c r="S25" s="10">
        <f t="shared" si="6"/>
        <v>4074.2858019829564</v>
      </c>
      <c r="T25" s="10" t="e">
        <f t="shared" si="6"/>
        <v>#REF!</v>
      </c>
      <c r="U25" s="10">
        <f t="shared" si="6"/>
        <v>4074.2858019829564</v>
      </c>
      <c r="V25" s="10" t="e">
        <f t="shared" si="6"/>
        <v>#REF!</v>
      </c>
      <c r="W25" s="10">
        <f t="shared" si="6"/>
        <v>4074.2858019829564</v>
      </c>
      <c r="X25" s="10" t="e">
        <f t="shared" si="6"/>
        <v>#REF!</v>
      </c>
      <c r="Y25" s="10">
        <f t="shared" si="6"/>
        <v>4074.2858019829564</v>
      </c>
      <c r="Z25" s="10" t="e">
        <f t="shared" si="6"/>
        <v>#REF!</v>
      </c>
      <c r="AA25" s="10">
        <f t="shared" si="6"/>
        <v>4074.2858019829564</v>
      </c>
      <c r="AB25" s="10" t="e">
        <f t="shared" si="6"/>
        <v>#REF!</v>
      </c>
      <c r="AC25" s="10">
        <f t="shared" si="6"/>
        <v>4074.2858019829564</v>
      </c>
      <c r="AD25" s="10" t="e">
        <f t="shared" si="6"/>
        <v>#REF!</v>
      </c>
      <c r="AE25" s="10">
        <f t="shared" si="6"/>
        <v>4074.2858019829564</v>
      </c>
      <c r="AF25" s="10" t="e">
        <f t="shared" si="6"/>
        <v>#REF!</v>
      </c>
      <c r="AG25" s="10">
        <f t="shared" si="6"/>
        <v>4074.2858019829564</v>
      </c>
      <c r="AH25" s="10" t="e">
        <f t="shared" si="6"/>
        <v>#REF!</v>
      </c>
      <c r="AI25" s="10">
        <f t="shared" si="6"/>
        <v>4074.2858019829564</v>
      </c>
      <c r="AJ25" s="10" t="e">
        <f t="shared" si="6"/>
        <v>#REF!</v>
      </c>
      <c r="AK25" s="10">
        <f t="shared" si="6"/>
        <v>4074.2858019829564</v>
      </c>
      <c r="AL25" s="10" t="e">
        <f t="shared" si="6"/>
        <v>#REF!</v>
      </c>
      <c r="AM25" s="10">
        <f t="shared" si="6"/>
        <v>4074.2858019829564</v>
      </c>
      <c r="AN25" s="10" t="e">
        <f t="shared" si="6"/>
        <v>#REF!</v>
      </c>
      <c r="AO25" s="10">
        <f t="shared" si="6"/>
        <v>4074.2858019829564</v>
      </c>
      <c r="AP25" s="10" t="e">
        <f t="shared" si="6"/>
        <v>#REF!</v>
      </c>
      <c r="AQ25" s="10">
        <f t="shared" si="6"/>
        <v>4074.2858019829564</v>
      </c>
      <c r="AR25" s="10" t="e">
        <f t="shared" si="6"/>
        <v>#REF!</v>
      </c>
      <c r="AS25" s="10">
        <f t="shared" si="6"/>
        <v>4074.2858019829564</v>
      </c>
      <c r="AT25" s="10" t="e">
        <f t="shared" si="6"/>
        <v>#REF!</v>
      </c>
      <c r="AU25" s="10">
        <f t="shared" si="6"/>
        <v>4074.2858019829564</v>
      </c>
      <c r="AV25" s="10" t="e">
        <f t="shared" si="6"/>
        <v>#REF!</v>
      </c>
      <c r="AW25" s="10">
        <f t="shared" si="6"/>
        <v>4074.2858019829564</v>
      </c>
      <c r="AX25" s="10" t="e">
        <f t="shared" si="6"/>
        <v>#REF!</v>
      </c>
      <c r="AY25" s="10">
        <f t="shared" si="6"/>
        <v>4074.2858019829564</v>
      </c>
      <c r="AZ25" s="10" t="e">
        <f t="shared" si="6"/>
        <v>#REF!</v>
      </c>
      <c r="BA25" s="10">
        <f t="shared" si="6"/>
        <v>4074.2858019829564</v>
      </c>
      <c r="BB25" s="10" t="e">
        <f t="shared" si="6"/>
        <v>#REF!</v>
      </c>
      <c r="BC25" s="10">
        <f t="shared" si="6"/>
        <v>4074.2858019829564</v>
      </c>
      <c r="BD25" s="10" t="e">
        <f t="shared" si="6"/>
        <v>#REF!</v>
      </c>
      <c r="BE25" s="10">
        <f t="shared" si="6"/>
        <v>4074.2858019829564</v>
      </c>
      <c r="BF25" s="10" t="e">
        <f t="shared" si="6"/>
        <v>#REF!</v>
      </c>
      <c r="BG25" s="10">
        <f t="shared" si="6"/>
        <v>4074.2858019829564</v>
      </c>
      <c r="BH25" s="10" t="e">
        <f t="shared" si="6"/>
        <v>#REF!</v>
      </c>
      <c r="BI25" s="10">
        <f t="shared" si="6"/>
        <v>4074.2858019829564</v>
      </c>
      <c r="BJ25" s="10" t="e">
        <f t="shared" si="6"/>
        <v>#REF!</v>
      </c>
      <c r="BK25" s="10">
        <f t="shared" si="6"/>
        <v>4074.2858019829564</v>
      </c>
      <c r="BL25" s="10" t="e">
        <f t="shared" si="6"/>
        <v>#REF!</v>
      </c>
      <c r="BM25" s="10">
        <f t="shared" si="6"/>
        <v>4074.2858019829564</v>
      </c>
      <c r="BN25" s="10" t="e">
        <f t="shared" si="6"/>
        <v>#REF!</v>
      </c>
      <c r="BO25" s="10">
        <f t="shared" si="6"/>
        <v>4074.2858019829564</v>
      </c>
      <c r="BP25" s="10" t="e">
        <f t="shared" si="6"/>
        <v>#REF!</v>
      </c>
      <c r="BQ25" s="10">
        <f t="shared" si="6"/>
        <v>4074.2858019829564</v>
      </c>
      <c r="BR25" s="10">
        <f t="shared" si="6"/>
        <v>0</v>
      </c>
      <c r="BS25" s="10">
        <f t="shared" si="6"/>
        <v>0</v>
      </c>
      <c r="BT25" s="10">
        <f t="shared" si="6"/>
        <v>0</v>
      </c>
      <c r="BU25" s="10">
        <f t="shared" si="6"/>
        <v>0</v>
      </c>
      <c r="BV25" s="10">
        <f t="shared" si="6"/>
        <v>0</v>
      </c>
      <c r="BW25" s="10">
        <f t="shared" si="6"/>
        <v>0</v>
      </c>
      <c r="BX25" s="10">
        <f t="shared" si="6"/>
        <v>0</v>
      </c>
      <c r="BY25" s="10">
        <f t="shared" si="6"/>
        <v>0</v>
      </c>
      <c r="BZ25" s="10">
        <f t="shared" si="6"/>
        <v>0</v>
      </c>
      <c r="CA25" s="10">
        <f t="shared" si="6"/>
        <v>0</v>
      </c>
      <c r="CB25" s="10">
        <f t="shared" si="6"/>
        <v>0</v>
      </c>
      <c r="CC25" s="10">
        <f t="shared" ref="CC25:CQ25" si="7">CC41</f>
        <v>0</v>
      </c>
      <c r="CD25" s="10">
        <f t="shared" si="7"/>
        <v>0</v>
      </c>
      <c r="CE25" s="10">
        <f t="shared" si="7"/>
        <v>0</v>
      </c>
      <c r="CF25" s="10">
        <f t="shared" si="7"/>
        <v>0</v>
      </c>
      <c r="CG25" s="10">
        <f t="shared" si="7"/>
        <v>0</v>
      </c>
      <c r="CH25" s="10">
        <f t="shared" si="7"/>
        <v>0</v>
      </c>
      <c r="CI25" s="10">
        <f t="shared" si="7"/>
        <v>0</v>
      </c>
      <c r="CJ25" s="10">
        <f t="shared" si="7"/>
        <v>0</v>
      </c>
      <c r="CK25" s="10">
        <f t="shared" si="7"/>
        <v>0</v>
      </c>
      <c r="CL25" s="10">
        <f t="shared" si="7"/>
        <v>0</v>
      </c>
      <c r="CM25" s="10">
        <f t="shared" si="7"/>
        <v>0</v>
      </c>
      <c r="CN25" s="10">
        <f t="shared" si="7"/>
        <v>0</v>
      </c>
      <c r="CO25" s="10">
        <f t="shared" si="7"/>
        <v>0</v>
      </c>
      <c r="CP25" s="10">
        <f t="shared" si="7"/>
        <v>0</v>
      </c>
      <c r="CQ25" s="10">
        <f t="shared" si="7"/>
        <v>0</v>
      </c>
    </row>
    <row r="26" spans="1:95" ht="12.75" customHeight="1" x14ac:dyDescent="0.25">
      <c r="C26" s="17" t="s">
        <v>32</v>
      </c>
      <c r="D26" t="s">
        <v>104</v>
      </c>
      <c r="H26" s="54" t="s">
        <v>3</v>
      </c>
      <c r="N26" s="25" t="e">
        <f t="shared" si="5"/>
        <v>#REF!</v>
      </c>
      <c r="P26" s="10" t="e">
        <f>Ops!P61</f>
        <v>#REF!</v>
      </c>
      <c r="Q26" s="10" t="e">
        <f>Ops!Q61</f>
        <v>#REF!</v>
      </c>
      <c r="R26" s="10" t="e">
        <f>Ops!R61</f>
        <v>#REF!</v>
      </c>
      <c r="S26" s="10" t="e">
        <f>Ops!S61</f>
        <v>#REF!</v>
      </c>
      <c r="T26" s="10" t="e">
        <f>Ops!T61</f>
        <v>#REF!</v>
      </c>
      <c r="U26" s="10" t="e">
        <f>Ops!U61</f>
        <v>#REF!</v>
      </c>
      <c r="V26" s="10" t="e">
        <f>Ops!V61</f>
        <v>#REF!</v>
      </c>
      <c r="W26" s="10" t="e">
        <f>Ops!W61</f>
        <v>#REF!</v>
      </c>
      <c r="X26" s="10" t="e">
        <f>Ops!X61</f>
        <v>#REF!</v>
      </c>
      <c r="Y26" s="10" t="e">
        <f>Ops!Y61</f>
        <v>#REF!</v>
      </c>
      <c r="Z26" s="10" t="e">
        <f>Ops!Z61</f>
        <v>#REF!</v>
      </c>
      <c r="AA26" s="10" t="e">
        <f>Ops!AA61</f>
        <v>#REF!</v>
      </c>
      <c r="AB26" s="10" t="e">
        <f>Ops!AB61</f>
        <v>#REF!</v>
      </c>
      <c r="AC26" s="10" t="e">
        <f>Ops!AC61</f>
        <v>#REF!</v>
      </c>
      <c r="AD26" s="10" t="e">
        <f>Ops!AD61</f>
        <v>#REF!</v>
      </c>
      <c r="AE26" s="10" t="e">
        <f>Ops!AE61</f>
        <v>#REF!</v>
      </c>
      <c r="AF26" s="10" t="e">
        <f>Ops!AF61</f>
        <v>#REF!</v>
      </c>
      <c r="AG26" s="10" t="e">
        <f>Ops!AG61</f>
        <v>#REF!</v>
      </c>
      <c r="AH26" s="10" t="e">
        <f>Ops!AH61</f>
        <v>#REF!</v>
      </c>
      <c r="AI26" s="10" t="e">
        <f>Ops!AI61</f>
        <v>#REF!</v>
      </c>
      <c r="AJ26" s="10" t="e">
        <f>Ops!AJ61</f>
        <v>#REF!</v>
      </c>
      <c r="AK26" s="10" t="e">
        <f>Ops!AK61</f>
        <v>#REF!</v>
      </c>
      <c r="AL26" s="10" t="e">
        <f>Ops!AL61</f>
        <v>#REF!</v>
      </c>
      <c r="AM26" s="10" t="e">
        <f>Ops!AM61</f>
        <v>#REF!</v>
      </c>
      <c r="AN26" s="10" t="e">
        <f>Ops!AN61</f>
        <v>#REF!</v>
      </c>
      <c r="AO26" s="10" t="e">
        <f>Ops!AO61</f>
        <v>#REF!</v>
      </c>
      <c r="AP26" s="10" t="e">
        <f>Ops!AP61</f>
        <v>#REF!</v>
      </c>
      <c r="AQ26" s="10" t="e">
        <f>Ops!AQ61</f>
        <v>#REF!</v>
      </c>
      <c r="AR26" s="10" t="e">
        <f>Ops!AR61</f>
        <v>#REF!</v>
      </c>
      <c r="AS26" s="10" t="e">
        <f>Ops!AS61</f>
        <v>#REF!</v>
      </c>
      <c r="AT26" s="10" t="e">
        <f>Ops!AT61</f>
        <v>#REF!</v>
      </c>
      <c r="AU26" s="10" t="e">
        <f>Ops!AU61</f>
        <v>#REF!</v>
      </c>
      <c r="AV26" s="10" t="e">
        <f>Ops!AV61</f>
        <v>#REF!</v>
      </c>
      <c r="AW26" s="10" t="e">
        <f>Ops!AW61</f>
        <v>#REF!</v>
      </c>
      <c r="AX26" s="10" t="e">
        <f>Ops!AX61</f>
        <v>#REF!</v>
      </c>
      <c r="AY26" s="10" t="e">
        <f>Ops!AY61</f>
        <v>#REF!</v>
      </c>
      <c r="AZ26" s="10" t="e">
        <f>Ops!AZ61</f>
        <v>#REF!</v>
      </c>
      <c r="BA26" s="10" t="e">
        <f>Ops!BA61</f>
        <v>#REF!</v>
      </c>
      <c r="BB26" s="10" t="e">
        <f>Ops!BB61</f>
        <v>#REF!</v>
      </c>
      <c r="BC26" s="10" t="e">
        <f>Ops!BC61</f>
        <v>#REF!</v>
      </c>
      <c r="BD26" s="10" t="e">
        <f>Ops!BD61</f>
        <v>#REF!</v>
      </c>
      <c r="BE26" s="10" t="e">
        <f>Ops!BE61</f>
        <v>#REF!</v>
      </c>
      <c r="BF26" s="10" t="e">
        <f>Ops!BF61</f>
        <v>#REF!</v>
      </c>
      <c r="BG26" s="10" t="e">
        <f>Ops!BG61</f>
        <v>#REF!</v>
      </c>
      <c r="BH26" s="10" t="e">
        <f>Ops!BH61</f>
        <v>#REF!</v>
      </c>
      <c r="BI26" s="10" t="e">
        <f>Ops!BI61</f>
        <v>#REF!</v>
      </c>
      <c r="BJ26" s="10" t="e">
        <f>Ops!BJ61</f>
        <v>#REF!</v>
      </c>
      <c r="BK26" s="10" t="e">
        <f>Ops!BK61</f>
        <v>#REF!</v>
      </c>
      <c r="BL26" s="10" t="e">
        <f>Ops!BL61</f>
        <v>#REF!</v>
      </c>
      <c r="BM26" s="10" t="e">
        <f>Ops!BM61</f>
        <v>#REF!</v>
      </c>
      <c r="BN26" s="10" t="e">
        <f>Ops!BN61</f>
        <v>#REF!</v>
      </c>
      <c r="BO26" s="10" t="e">
        <f>Ops!BO61</f>
        <v>#REF!</v>
      </c>
      <c r="BP26" s="10" t="e">
        <f>Ops!BP61</f>
        <v>#REF!</v>
      </c>
      <c r="BQ26" s="10" t="e">
        <f>Ops!BQ61</f>
        <v>#REF!</v>
      </c>
      <c r="BR26" s="10" t="e">
        <f>Ops!BR61</f>
        <v>#REF!</v>
      </c>
      <c r="BS26" s="10" t="e">
        <f>Ops!BS61</f>
        <v>#REF!</v>
      </c>
      <c r="BT26" s="10" t="e">
        <f>Ops!BT61</f>
        <v>#REF!</v>
      </c>
      <c r="BU26" s="10" t="e">
        <f>Ops!BU61</f>
        <v>#REF!</v>
      </c>
      <c r="BV26" s="10" t="e">
        <f>Ops!BV61</f>
        <v>#REF!</v>
      </c>
      <c r="BW26" s="10" t="e">
        <f>Ops!BW61</f>
        <v>#REF!</v>
      </c>
      <c r="BX26" s="10" t="e">
        <f>Ops!BX61</f>
        <v>#REF!</v>
      </c>
      <c r="BY26" s="10" t="e">
        <f>Ops!BY61</f>
        <v>#REF!</v>
      </c>
      <c r="BZ26" s="10" t="e">
        <f>Ops!BZ61</f>
        <v>#REF!</v>
      </c>
      <c r="CA26" s="10" t="e">
        <f>Ops!CA61</f>
        <v>#REF!</v>
      </c>
      <c r="CB26" s="10" t="e">
        <f>Ops!CB61</f>
        <v>#REF!</v>
      </c>
      <c r="CC26" s="10" t="e">
        <f>Ops!CC61</f>
        <v>#REF!</v>
      </c>
      <c r="CD26" s="10" t="e">
        <f>Ops!CD61</f>
        <v>#REF!</v>
      </c>
      <c r="CE26" s="10" t="e">
        <f>Ops!CE61</f>
        <v>#REF!</v>
      </c>
      <c r="CF26" s="10" t="e">
        <f>Ops!CF61</f>
        <v>#REF!</v>
      </c>
      <c r="CG26" s="10" t="e">
        <f>Ops!CG61</f>
        <v>#REF!</v>
      </c>
      <c r="CH26" s="10" t="e">
        <f>Ops!CH61</f>
        <v>#REF!</v>
      </c>
      <c r="CI26" s="10" t="e">
        <f>Ops!CI61</f>
        <v>#REF!</v>
      </c>
      <c r="CJ26" s="10" t="e">
        <f>Ops!CJ61</f>
        <v>#REF!</v>
      </c>
      <c r="CK26" s="10" t="e">
        <f>Ops!CK61</f>
        <v>#REF!</v>
      </c>
      <c r="CL26" s="10" t="e">
        <f>Ops!CL61</f>
        <v>#REF!</v>
      </c>
      <c r="CM26" s="10" t="e">
        <f>Ops!CM61</f>
        <v>#REF!</v>
      </c>
      <c r="CN26" s="10" t="e">
        <f>Ops!CN61</f>
        <v>#REF!</v>
      </c>
      <c r="CO26" s="10" t="e">
        <f>Ops!CO61</f>
        <v>#REF!</v>
      </c>
      <c r="CP26" s="10" t="e">
        <f>Ops!CP61</f>
        <v>#REF!</v>
      </c>
      <c r="CQ26" s="10" t="e">
        <f>Ops!CQ61</f>
        <v>#REF!</v>
      </c>
    </row>
    <row r="27" spans="1:95" ht="12.75" customHeight="1" x14ac:dyDescent="0.25">
      <c r="C27" s="17" t="s">
        <v>32</v>
      </c>
      <c r="D27" t="s">
        <v>198</v>
      </c>
      <c r="H27" s="54" t="s">
        <v>3</v>
      </c>
      <c r="N27" s="25" t="e">
        <f t="shared" si="5"/>
        <v>#REF!</v>
      </c>
      <c r="P27" s="10" t="e">
        <f>IS!P25</f>
        <v>#REF!</v>
      </c>
      <c r="Q27" s="10" t="e">
        <f>IS!Q25</f>
        <v>#REF!</v>
      </c>
      <c r="R27" s="10" t="e">
        <f>IS!R25</f>
        <v>#REF!</v>
      </c>
      <c r="S27" s="10" t="e">
        <f>IS!S25</f>
        <v>#REF!</v>
      </c>
      <c r="T27" s="10" t="e">
        <f>IS!T25</f>
        <v>#REF!</v>
      </c>
      <c r="U27" s="10" t="e">
        <f>IS!U25</f>
        <v>#REF!</v>
      </c>
      <c r="V27" s="10" t="e">
        <f>IS!V25</f>
        <v>#REF!</v>
      </c>
      <c r="W27" s="10" t="e">
        <f>IS!W25</f>
        <v>#REF!</v>
      </c>
      <c r="X27" s="10" t="e">
        <f>IS!X25</f>
        <v>#REF!</v>
      </c>
      <c r="Y27" s="10" t="e">
        <f>IS!Y25</f>
        <v>#REF!</v>
      </c>
      <c r="Z27" s="10" t="e">
        <f>IS!Z25</f>
        <v>#REF!</v>
      </c>
      <c r="AA27" s="10" t="e">
        <f>IS!AA25</f>
        <v>#REF!</v>
      </c>
      <c r="AB27" s="10" t="e">
        <f>IS!AB25</f>
        <v>#REF!</v>
      </c>
      <c r="AC27" s="10" t="e">
        <f>IS!AC25</f>
        <v>#REF!</v>
      </c>
      <c r="AD27" s="10" t="e">
        <f>IS!AD25</f>
        <v>#REF!</v>
      </c>
      <c r="AE27" s="10" t="e">
        <f>IS!AE25</f>
        <v>#REF!</v>
      </c>
      <c r="AF27" s="10" t="e">
        <f>IS!AF25</f>
        <v>#REF!</v>
      </c>
      <c r="AG27" s="10" t="e">
        <f>IS!AG25</f>
        <v>#REF!</v>
      </c>
      <c r="AH27" s="10" t="e">
        <f>IS!AH25</f>
        <v>#REF!</v>
      </c>
      <c r="AI27" s="10" t="e">
        <f>IS!AI25</f>
        <v>#REF!</v>
      </c>
      <c r="AJ27" s="10" t="e">
        <f>IS!AJ25</f>
        <v>#REF!</v>
      </c>
      <c r="AK27" s="10" t="e">
        <f>IS!AK25</f>
        <v>#REF!</v>
      </c>
      <c r="AL27" s="10" t="e">
        <f>IS!AL25</f>
        <v>#REF!</v>
      </c>
      <c r="AM27" s="10" t="e">
        <f>IS!AM25</f>
        <v>#REF!</v>
      </c>
      <c r="AN27" s="10" t="e">
        <f>IS!AN25</f>
        <v>#REF!</v>
      </c>
      <c r="AO27" s="10" t="e">
        <f>IS!AO25</f>
        <v>#REF!</v>
      </c>
      <c r="AP27" s="10" t="e">
        <f>IS!AP25</f>
        <v>#REF!</v>
      </c>
      <c r="AQ27" s="10" t="e">
        <f>IS!AQ25</f>
        <v>#REF!</v>
      </c>
      <c r="AR27" s="10" t="e">
        <f>IS!AR25</f>
        <v>#REF!</v>
      </c>
      <c r="AS27" s="10" t="e">
        <f>IS!AS25</f>
        <v>#REF!</v>
      </c>
      <c r="AT27" s="10" t="e">
        <f>IS!AT25</f>
        <v>#REF!</v>
      </c>
      <c r="AU27" s="10" t="e">
        <f>IS!AU25</f>
        <v>#REF!</v>
      </c>
      <c r="AV27" s="10" t="e">
        <f>IS!AV25</f>
        <v>#REF!</v>
      </c>
      <c r="AW27" s="10" t="e">
        <f>IS!AW25</f>
        <v>#REF!</v>
      </c>
      <c r="AX27" s="10" t="e">
        <f>IS!AX25</f>
        <v>#REF!</v>
      </c>
      <c r="AY27" s="10" t="e">
        <f>IS!AY25</f>
        <v>#REF!</v>
      </c>
      <c r="AZ27" s="10" t="e">
        <f>IS!AZ25</f>
        <v>#REF!</v>
      </c>
      <c r="BA27" s="10" t="e">
        <f>IS!BA25</f>
        <v>#REF!</v>
      </c>
      <c r="BB27" s="10" t="e">
        <f>IS!BB25</f>
        <v>#REF!</v>
      </c>
      <c r="BC27" s="10" t="e">
        <f>IS!BC25</f>
        <v>#REF!</v>
      </c>
      <c r="BD27" s="10" t="e">
        <f>IS!BD25</f>
        <v>#REF!</v>
      </c>
      <c r="BE27" s="10" t="e">
        <f>IS!BE25</f>
        <v>#REF!</v>
      </c>
      <c r="BF27" s="10" t="e">
        <f>IS!BF25</f>
        <v>#REF!</v>
      </c>
      <c r="BG27" s="10" t="e">
        <f>IS!BG25</f>
        <v>#REF!</v>
      </c>
      <c r="BH27" s="10" t="e">
        <f>IS!BH25</f>
        <v>#REF!</v>
      </c>
      <c r="BI27" s="10" t="e">
        <f>IS!BI25</f>
        <v>#REF!</v>
      </c>
      <c r="BJ27" s="10" t="e">
        <f>IS!BJ25</f>
        <v>#REF!</v>
      </c>
      <c r="BK27" s="10" t="e">
        <f>IS!BK25</f>
        <v>#REF!</v>
      </c>
      <c r="BL27" s="10" t="e">
        <f>IS!BL25</f>
        <v>#REF!</v>
      </c>
      <c r="BM27" s="10" t="e">
        <f>IS!BM25</f>
        <v>#REF!</v>
      </c>
      <c r="BN27" s="10" t="e">
        <f>IS!BN25</f>
        <v>#REF!</v>
      </c>
      <c r="BO27" s="10" t="e">
        <f>IS!BO25</f>
        <v>#REF!</v>
      </c>
      <c r="BP27" s="10" t="e">
        <f>IS!BP25</f>
        <v>#REF!</v>
      </c>
      <c r="BQ27" s="10" t="e">
        <f>IS!BQ25</f>
        <v>#REF!</v>
      </c>
      <c r="BR27" s="10" t="e">
        <f>IS!BR25</f>
        <v>#REF!</v>
      </c>
      <c r="BS27" s="10" t="e">
        <f>IS!BS25</f>
        <v>#REF!</v>
      </c>
      <c r="BT27" s="10" t="e">
        <f>IS!BT25</f>
        <v>#REF!</v>
      </c>
      <c r="BU27" s="10" t="e">
        <f>IS!BU25</f>
        <v>#REF!</v>
      </c>
      <c r="BV27" s="10" t="e">
        <f>IS!BV25</f>
        <v>#REF!</v>
      </c>
      <c r="BW27" s="10" t="e">
        <f>IS!BW25</f>
        <v>#REF!</v>
      </c>
      <c r="BX27" s="10" t="e">
        <f>IS!BX25</f>
        <v>#REF!</v>
      </c>
      <c r="BY27" s="10" t="e">
        <f>IS!BY25</f>
        <v>#REF!</v>
      </c>
      <c r="BZ27" s="10" t="e">
        <f>IS!BZ25</f>
        <v>#REF!</v>
      </c>
      <c r="CA27" s="10" t="e">
        <f>IS!CA25</f>
        <v>#REF!</v>
      </c>
      <c r="CB27" s="10" t="e">
        <f>IS!CB25</f>
        <v>#REF!</v>
      </c>
      <c r="CC27" s="10" t="e">
        <f>IS!CC25</f>
        <v>#REF!</v>
      </c>
      <c r="CD27" s="10" t="e">
        <f>IS!CD25</f>
        <v>#REF!</v>
      </c>
      <c r="CE27" s="10" t="e">
        <f>IS!CE25</f>
        <v>#REF!</v>
      </c>
      <c r="CF27" s="10" t="e">
        <f>IS!CF25</f>
        <v>#REF!</v>
      </c>
      <c r="CG27" s="10" t="e">
        <f>IS!CG25</f>
        <v>#REF!</v>
      </c>
      <c r="CH27" s="10" t="e">
        <f>IS!CH25</f>
        <v>#REF!</v>
      </c>
      <c r="CI27" s="10" t="e">
        <f>IS!CI25</f>
        <v>#REF!</v>
      </c>
      <c r="CJ27" s="10" t="e">
        <f>IS!CJ25</f>
        <v>#REF!</v>
      </c>
      <c r="CK27" s="10" t="e">
        <f>IS!CK25</f>
        <v>#REF!</v>
      </c>
      <c r="CL27" s="10" t="e">
        <f>IS!CL25</f>
        <v>#REF!</v>
      </c>
      <c r="CM27" s="10" t="e">
        <f>IS!CM25</f>
        <v>#REF!</v>
      </c>
      <c r="CN27" s="10" t="e">
        <f>IS!CN25</f>
        <v>#REF!</v>
      </c>
      <c r="CO27" s="10" t="e">
        <f>IS!CO25</f>
        <v>#REF!</v>
      </c>
      <c r="CP27" s="10" t="e">
        <f>IS!CP25</f>
        <v>#REF!</v>
      </c>
      <c r="CQ27" s="10" t="e">
        <f>IS!CQ25</f>
        <v>#REF!</v>
      </c>
    </row>
    <row r="28" spans="1:95" ht="12.75" customHeight="1" x14ac:dyDescent="0.25">
      <c r="C28" s="17" t="s">
        <v>32</v>
      </c>
      <c r="D28" t="s">
        <v>199</v>
      </c>
      <c r="H28" s="54" t="s">
        <v>3</v>
      </c>
      <c r="N28" s="25" t="e">
        <f t="shared" si="5"/>
        <v>#REF!</v>
      </c>
      <c r="P28" s="10" t="e">
        <f>CAPEX!P29</f>
        <v>#REF!</v>
      </c>
      <c r="Q28" s="10" t="e">
        <f>CAPEX!Q29</f>
        <v>#REF!</v>
      </c>
      <c r="R28" s="10" t="e">
        <f>CAPEX!R29</f>
        <v>#REF!</v>
      </c>
      <c r="S28" s="10" t="e">
        <f>CAPEX!S29</f>
        <v>#REF!</v>
      </c>
      <c r="T28" s="10" t="e">
        <f>CAPEX!T29</f>
        <v>#REF!</v>
      </c>
      <c r="U28" s="10" t="e">
        <f>CAPEX!U29</f>
        <v>#REF!</v>
      </c>
      <c r="V28" s="10" t="e">
        <f>CAPEX!V29</f>
        <v>#REF!</v>
      </c>
      <c r="W28" s="10" t="e">
        <f>CAPEX!W29</f>
        <v>#REF!</v>
      </c>
      <c r="X28" s="10" t="e">
        <f>CAPEX!X29</f>
        <v>#REF!</v>
      </c>
      <c r="Y28" s="10" t="e">
        <f>CAPEX!Y29</f>
        <v>#REF!</v>
      </c>
      <c r="Z28" s="10" t="e">
        <f>CAPEX!Z29</f>
        <v>#REF!</v>
      </c>
      <c r="AA28" s="10" t="e">
        <f>CAPEX!AA29</f>
        <v>#REF!</v>
      </c>
      <c r="AB28" s="10" t="e">
        <f>CAPEX!AB29</f>
        <v>#REF!</v>
      </c>
      <c r="AC28" s="10" t="e">
        <f>CAPEX!AC29</f>
        <v>#REF!</v>
      </c>
      <c r="AD28" s="10" t="e">
        <f>CAPEX!AD29</f>
        <v>#REF!</v>
      </c>
      <c r="AE28" s="10" t="e">
        <f>CAPEX!AE29</f>
        <v>#REF!</v>
      </c>
      <c r="AF28" s="10" t="e">
        <f>CAPEX!AF29</f>
        <v>#REF!</v>
      </c>
      <c r="AG28" s="10" t="e">
        <f>CAPEX!AG29</f>
        <v>#REF!</v>
      </c>
      <c r="AH28" s="10" t="e">
        <f>CAPEX!AH29</f>
        <v>#REF!</v>
      </c>
      <c r="AI28" s="10" t="e">
        <f>CAPEX!AI29</f>
        <v>#REF!</v>
      </c>
      <c r="AJ28" s="10" t="e">
        <f>CAPEX!AJ29</f>
        <v>#REF!</v>
      </c>
      <c r="AK28" s="10" t="e">
        <f>CAPEX!AK29</f>
        <v>#REF!</v>
      </c>
      <c r="AL28" s="10" t="e">
        <f>CAPEX!AL29</f>
        <v>#REF!</v>
      </c>
      <c r="AM28" s="10" t="e">
        <f>CAPEX!AM29</f>
        <v>#REF!</v>
      </c>
      <c r="AN28" s="10" t="e">
        <f>CAPEX!AN29</f>
        <v>#REF!</v>
      </c>
      <c r="AO28" s="10" t="e">
        <f>CAPEX!AO29</f>
        <v>#REF!</v>
      </c>
      <c r="AP28" s="10" t="e">
        <f>CAPEX!AP29</f>
        <v>#REF!</v>
      </c>
      <c r="AQ28" s="10" t="e">
        <f>CAPEX!AQ29</f>
        <v>#REF!</v>
      </c>
      <c r="AR28" s="10" t="e">
        <f>CAPEX!AR29</f>
        <v>#REF!</v>
      </c>
      <c r="AS28" s="10" t="e">
        <f>CAPEX!AS29</f>
        <v>#REF!</v>
      </c>
      <c r="AT28" s="10" t="e">
        <f>CAPEX!AT29</f>
        <v>#REF!</v>
      </c>
      <c r="AU28" s="10" t="e">
        <f>CAPEX!AU29</f>
        <v>#REF!</v>
      </c>
      <c r="AV28" s="10" t="e">
        <f>CAPEX!AV29</f>
        <v>#REF!</v>
      </c>
      <c r="AW28" s="10" t="e">
        <f>CAPEX!AW29</f>
        <v>#REF!</v>
      </c>
      <c r="AX28" s="10" t="e">
        <f>CAPEX!AX29</f>
        <v>#REF!</v>
      </c>
      <c r="AY28" s="10" t="e">
        <f>CAPEX!AY29</f>
        <v>#REF!</v>
      </c>
      <c r="AZ28" s="10" t="e">
        <f>CAPEX!AZ29</f>
        <v>#REF!</v>
      </c>
      <c r="BA28" s="10" t="e">
        <f>CAPEX!BA29</f>
        <v>#REF!</v>
      </c>
      <c r="BB28" s="10" t="e">
        <f>CAPEX!BB29</f>
        <v>#REF!</v>
      </c>
      <c r="BC28" s="10" t="e">
        <f>CAPEX!BC29</f>
        <v>#REF!</v>
      </c>
      <c r="BD28" s="10" t="e">
        <f>CAPEX!BD29</f>
        <v>#REF!</v>
      </c>
      <c r="BE28" s="10" t="e">
        <f>CAPEX!BE29</f>
        <v>#REF!</v>
      </c>
      <c r="BF28" s="10" t="e">
        <f>CAPEX!BF29</f>
        <v>#REF!</v>
      </c>
      <c r="BG28" s="10" t="e">
        <f>CAPEX!BG29</f>
        <v>#REF!</v>
      </c>
      <c r="BH28" s="10" t="e">
        <f>CAPEX!BH29</f>
        <v>#REF!</v>
      </c>
      <c r="BI28" s="10" t="e">
        <f>CAPEX!BI29</f>
        <v>#REF!</v>
      </c>
      <c r="BJ28" s="10" t="e">
        <f>CAPEX!BJ29</f>
        <v>#REF!</v>
      </c>
      <c r="BK28" s="10" t="e">
        <f>CAPEX!BK29</f>
        <v>#REF!</v>
      </c>
      <c r="BL28" s="10" t="e">
        <f>CAPEX!BL29</f>
        <v>#REF!</v>
      </c>
      <c r="BM28" s="10" t="e">
        <f>CAPEX!BM29</f>
        <v>#REF!</v>
      </c>
      <c r="BN28" s="10" t="e">
        <f>CAPEX!BN29</f>
        <v>#REF!</v>
      </c>
      <c r="BO28" s="10" t="e">
        <f>CAPEX!BO29</f>
        <v>#REF!</v>
      </c>
      <c r="BP28" s="10" t="e">
        <f>CAPEX!BP29</f>
        <v>#REF!</v>
      </c>
      <c r="BQ28" s="10" t="e">
        <f>CAPEX!BQ29</f>
        <v>#REF!</v>
      </c>
      <c r="BR28" s="10" t="e">
        <f>CAPEX!BR29</f>
        <v>#REF!</v>
      </c>
      <c r="BS28" s="10" t="e">
        <f>CAPEX!BS29</f>
        <v>#REF!</v>
      </c>
      <c r="BT28" s="10" t="e">
        <f>CAPEX!BT29</f>
        <v>#REF!</v>
      </c>
      <c r="BU28" s="10" t="e">
        <f>CAPEX!BU29</f>
        <v>#REF!</v>
      </c>
      <c r="BV28" s="10" t="e">
        <f>CAPEX!BV29</f>
        <v>#REF!</v>
      </c>
      <c r="BW28" s="10" t="e">
        <f>CAPEX!BW29</f>
        <v>#REF!</v>
      </c>
      <c r="BX28" s="10" t="e">
        <f>CAPEX!BX29</f>
        <v>#REF!</v>
      </c>
      <c r="BY28" s="10" t="e">
        <f>CAPEX!BY29</f>
        <v>#REF!</v>
      </c>
      <c r="BZ28" s="10" t="e">
        <f>CAPEX!BZ29</f>
        <v>#REF!</v>
      </c>
      <c r="CA28" s="10" t="e">
        <f>CAPEX!CA29</f>
        <v>#REF!</v>
      </c>
      <c r="CB28" s="10" t="e">
        <f>CAPEX!CB29</f>
        <v>#REF!</v>
      </c>
      <c r="CC28" s="10" t="e">
        <f>CAPEX!CC29</f>
        <v>#REF!</v>
      </c>
      <c r="CD28" s="10" t="e">
        <f>CAPEX!CD29</f>
        <v>#REF!</v>
      </c>
      <c r="CE28" s="10" t="e">
        <f>CAPEX!CE29</f>
        <v>#REF!</v>
      </c>
      <c r="CF28" s="10" t="e">
        <f>CAPEX!CF29</f>
        <v>#REF!</v>
      </c>
      <c r="CG28" s="10" t="e">
        <f>CAPEX!CG29</f>
        <v>#REF!</v>
      </c>
      <c r="CH28" s="10" t="e">
        <f>CAPEX!CH29</f>
        <v>#REF!</v>
      </c>
      <c r="CI28" s="10" t="e">
        <f>CAPEX!CI29</f>
        <v>#REF!</v>
      </c>
      <c r="CJ28" s="10" t="e">
        <f>CAPEX!CJ29</f>
        <v>#REF!</v>
      </c>
      <c r="CK28" s="10" t="e">
        <f>CAPEX!CK29</f>
        <v>#REF!</v>
      </c>
      <c r="CL28" s="10" t="e">
        <f>CAPEX!CL29</f>
        <v>#REF!</v>
      </c>
      <c r="CM28" s="10" t="e">
        <f>CAPEX!CM29</f>
        <v>#REF!</v>
      </c>
      <c r="CN28" s="10" t="e">
        <f>CAPEX!CN29</f>
        <v>#REF!</v>
      </c>
      <c r="CO28" s="10" t="e">
        <f>CAPEX!CO29</f>
        <v>#REF!</v>
      </c>
      <c r="CP28" s="10" t="e">
        <f>CAPEX!CP29</f>
        <v>#REF!</v>
      </c>
      <c r="CQ28" s="10" t="e">
        <f>CAPEX!CQ29</f>
        <v>#REF!</v>
      </c>
    </row>
    <row r="29" spans="1:95" ht="12.75" customHeight="1" x14ac:dyDescent="0.25">
      <c r="C29" s="17" t="s">
        <v>32</v>
      </c>
      <c r="D29" t="s">
        <v>200</v>
      </c>
      <c r="H29" s="54" t="s">
        <v>3</v>
      </c>
      <c r="N29" s="25" t="e">
        <f t="shared" si="5"/>
        <v>#REF!</v>
      </c>
      <c r="P29" s="10" t="e">
        <f>CAPEX!P38</f>
        <v>#REF!</v>
      </c>
      <c r="Q29" s="10" t="e">
        <f>CAPEX!Q38</f>
        <v>#REF!</v>
      </c>
      <c r="R29" s="10" t="e">
        <f>CAPEX!R38</f>
        <v>#REF!</v>
      </c>
      <c r="S29" s="10" t="e">
        <f>CAPEX!S38</f>
        <v>#REF!</v>
      </c>
      <c r="T29" s="10" t="e">
        <f>CAPEX!T38</f>
        <v>#REF!</v>
      </c>
      <c r="U29" s="10" t="e">
        <f>CAPEX!U38</f>
        <v>#REF!</v>
      </c>
      <c r="V29" s="10" t="e">
        <f>CAPEX!V38</f>
        <v>#REF!</v>
      </c>
      <c r="W29" s="10" t="e">
        <f>CAPEX!W38</f>
        <v>#REF!</v>
      </c>
      <c r="X29" s="10" t="e">
        <f>CAPEX!X38</f>
        <v>#REF!</v>
      </c>
      <c r="Y29" s="10" t="e">
        <f>CAPEX!Y38</f>
        <v>#REF!</v>
      </c>
      <c r="Z29" s="10" t="e">
        <f>CAPEX!Z38</f>
        <v>#REF!</v>
      </c>
      <c r="AA29" s="10" t="e">
        <f>CAPEX!AA38</f>
        <v>#REF!</v>
      </c>
      <c r="AB29" s="10" t="e">
        <f>CAPEX!AB38</f>
        <v>#REF!</v>
      </c>
      <c r="AC29" s="10" t="e">
        <f>CAPEX!AC38</f>
        <v>#REF!</v>
      </c>
      <c r="AD29" s="10" t="e">
        <f>CAPEX!AD38</f>
        <v>#REF!</v>
      </c>
      <c r="AE29" s="10" t="e">
        <f>CAPEX!AE38</f>
        <v>#REF!</v>
      </c>
      <c r="AF29" s="10" t="e">
        <f>CAPEX!AF38</f>
        <v>#REF!</v>
      </c>
      <c r="AG29" s="10" t="e">
        <f>CAPEX!AG38</f>
        <v>#REF!</v>
      </c>
      <c r="AH29" s="10" t="e">
        <f>CAPEX!AH38</f>
        <v>#REF!</v>
      </c>
      <c r="AI29" s="10" t="e">
        <f>CAPEX!AI38</f>
        <v>#REF!</v>
      </c>
      <c r="AJ29" s="10" t="e">
        <f>CAPEX!AJ38</f>
        <v>#REF!</v>
      </c>
      <c r="AK29" s="10" t="e">
        <f>CAPEX!AK38</f>
        <v>#REF!</v>
      </c>
      <c r="AL29" s="10" t="e">
        <f>CAPEX!AL38</f>
        <v>#REF!</v>
      </c>
      <c r="AM29" s="10" t="e">
        <f>CAPEX!AM38</f>
        <v>#REF!</v>
      </c>
      <c r="AN29" s="10" t="e">
        <f>CAPEX!AN38</f>
        <v>#REF!</v>
      </c>
      <c r="AO29" s="10" t="e">
        <f>CAPEX!AO38</f>
        <v>#REF!</v>
      </c>
      <c r="AP29" s="10" t="e">
        <f>CAPEX!AP38</f>
        <v>#REF!</v>
      </c>
      <c r="AQ29" s="10" t="e">
        <f>CAPEX!AQ38</f>
        <v>#REF!</v>
      </c>
      <c r="AR29" s="10" t="e">
        <f>CAPEX!AR38</f>
        <v>#REF!</v>
      </c>
      <c r="AS29" s="10" t="e">
        <f>CAPEX!AS38</f>
        <v>#REF!</v>
      </c>
      <c r="AT29" s="10" t="e">
        <f>CAPEX!AT38</f>
        <v>#REF!</v>
      </c>
      <c r="AU29" s="10" t="e">
        <f>CAPEX!AU38</f>
        <v>#REF!</v>
      </c>
      <c r="AV29" s="10" t="e">
        <f>CAPEX!AV38</f>
        <v>#REF!</v>
      </c>
      <c r="AW29" s="10" t="e">
        <f>CAPEX!AW38</f>
        <v>#REF!</v>
      </c>
      <c r="AX29" s="10" t="e">
        <f>CAPEX!AX38</f>
        <v>#REF!</v>
      </c>
      <c r="AY29" s="10" t="e">
        <f>CAPEX!AY38</f>
        <v>#REF!</v>
      </c>
      <c r="AZ29" s="10" t="e">
        <f>CAPEX!AZ38</f>
        <v>#REF!</v>
      </c>
      <c r="BA29" s="10" t="e">
        <f>CAPEX!BA38</f>
        <v>#REF!</v>
      </c>
      <c r="BB29" s="10" t="e">
        <f>CAPEX!BB38</f>
        <v>#REF!</v>
      </c>
      <c r="BC29" s="10" t="e">
        <f>CAPEX!BC38</f>
        <v>#REF!</v>
      </c>
      <c r="BD29" s="10" t="e">
        <f>CAPEX!BD38</f>
        <v>#REF!</v>
      </c>
      <c r="BE29" s="10" t="e">
        <f>CAPEX!BE38</f>
        <v>#REF!</v>
      </c>
      <c r="BF29" s="10" t="e">
        <f>CAPEX!BF38</f>
        <v>#REF!</v>
      </c>
      <c r="BG29" s="10" t="e">
        <f>CAPEX!BG38</f>
        <v>#REF!</v>
      </c>
      <c r="BH29" s="10" t="e">
        <f>CAPEX!BH38</f>
        <v>#REF!</v>
      </c>
      <c r="BI29" s="10" t="e">
        <f>CAPEX!BI38</f>
        <v>#REF!</v>
      </c>
      <c r="BJ29" s="10" t="e">
        <f>CAPEX!BJ38</f>
        <v>#REF!</v>
      </c>
      <c r="BK29" s="10" t="e">
        <f>CAPEX!BK38</f>
        <v>#REF!</v>
      </c>
      <c r="BL29" s="10" t="e">
        <f>CAPEX!BL38</f>
        <v>#REF!</v>
      </c>
      <c r="BM29" s="10" t="e">
        <f>CAPEX!BM38</f>
        <v>#REF!</v>
      </c>
      <c r="BN29" s="10" t="e">
        <f>CAPEX!BN38</f>
        <v>#REF!</v>
      </c>
      <c r="BO29" s="10" t="e">
        <f>CAPEX!BO38</f>
        <v>#REF!</v>
      </c>
      <c r="BP29" s="10" t="e">
        <f>CAPEX!BP38</f>
        <v>#REF!</v>
      </c>
      <c r="BQ29" s="10" t="e">
        <f>CAPEX!BQ38</f>
        <v>#REF!</v>
      </c>
      <c r="BR29" s="10" t="e">
        <f>CAPEX!BR38</f>
        <v>#REF!</v>
      </c>
      <c r="BS29" s="10" t="e">
        <f>CAPEX!BS38</f>
        <v>#REF!</v>
      </c>
      <c r="BT29" s="10" t="e">
        <f>CAPEX!BT38</f>
        <v>#REF!</v>
      </c>
      <c r="BU29" s="10" t="e">
        <f>CAPEX!BU38</f>
        <v>#REF!</v>
      </c>
      <c r="BV29" s="10" t="e">
        <f>CAPEX!BV38</f>
        <v>#REF!</v>
      </c>
      <c r="BW29" s="10" t="e">
        <f>CAPEX!BW38</f>
        <v>#REF!</v>
      </c>
      <c r="BX29" s="10" t="e">
        <f>CAPEX!BX38</f>
        <v>#REF!</v>
      </c>
      <c r="BY29" s="10" t="e">
        <f>CAPEX!BY38</f>
        <v>#REF!</v>
      </c>
      <c r="BZ29" s="10" t="e">
        <f>CAPEX!BZ38</f>
        <v>#REF!</v>
      </c>
      <c r="CA29" s="10" t="e">
        <f>CAPEX!CA38</f>
        <v>#REF!</v>
      </c>
      <c r="CB29" s="10" t="e">
        <f>CAPEX!CB38</f>
        <v>#REF!</v>
      </c>
      <c r="CC29" s="10" t="e">
        <f>CAPEX!CC38</f>
        <v>#REF!</v>
      </c>
      <c r="CD29" s="10" t="e">
        <f>CAPEX!CD38</f>
        <v>#REF!</v>
      </c>
      <c r="CE29" s="10" t="e">
        <f>CAPEX!CE38</f>
        <v>#REF!</v>
      </c>
      <c r="CF29" s="10" t="e">
        <f>CAPEX!CF38</f>
        <v>#REF!</v>
      </c>
      <c r="CG29" s="10" t="e">
        <f>CAPEX!CG38</f>
        <v>#REF!</v>
      </c>
      <c r="CH29" s="10" t="e">
        <f>CAPEX!CH38</f>
        <v>#REF!</v>
      </c>
      <c r="CI29" s="10" t="e">
        <f>CAPEX!CI38</f>
        <v>#REF!</v>
      </c>
      <c r="CJ29" s="10" t="e">
        <f>CAPEX!CJ38</f>
        <v>#REF!</v>
      </c>
      <c r="CK29" s="10" t="e">
        <f>CAPEX!CK38</f>
        <v>#REF!</v>
      </c>
      <c r="CL29" s="10" t="e">
        <f>CAPEX!CL38</f>
        <v>#REF!</v>
      </c>
      <c r="CM29" s="10" t="e">
        <f>CAPEX!CM38</f>
        <v>#REF!</v>
      </c>
      <c r="CN29" s="10" t="e">
        <f>CAPEX!CN38</f>
        <v>#REF!</v>
      </c>
      <c r="CO29" s="10" t="e">
        <f>CAPEX!CO38</f>
        <v>#REF!</v>
      </c>
      <c r="CP29" s="10" t="e">
        <f>CAPEX!CP38</f>
        <v>#REF!</v>
      </c>
      <c r="CQ29" s="10" t="e">
        <f>CAPEX!CQ38</f>
        <v>#REF!</v>
      </c>
    </row>
    <row r="30" spans="1:95" ht="12.75" customHeight="1" x14ac:dyDescent="0.25">
      <c r="C30" s="17" t="s">
        <v>32</v>
      </c>
      <c r="D30" s="27" t="s">
        <v>201</v>
      </c>
      <c r="E30" s="27"/>
      <c r="F30" s="27"/>
      <c r="G30" s="27"/>
      <c r="H30" s="160" t="s">
        <v>3</v>
      </c>
      <c r="I30" s="27"/>
      <c r="J30" s="27"/>
      <c r="K30" s="27"/>
      <c r="L30" s="27"/>
      <c r="M30" s="27"/>
      <c r="N30" s="32" t="e">
        <f t="shared" si="5"/>
        <v>#REF!</v>
      </c>
      <c r="O30" s="27"/>
      <c r="P30" s="161" t="e">
        <f>Ops!P89</f>
        <v>#REF!</v>
      </c>
      <c r="Q30" s="161" t="e">
        <f>Ops!Q89</f>
        <v>#REF!</v>
      </c>
      <c r="R30" s="161" t="e">
        <f>Ops!R89</f>
        <v>#REF!</v>
      </c>
      <c r="S30" s="161" t="e">
        <f>Ops!S89</f>
        <v>#REF!</v>
      </c>
      <c r="T30" s="161" t="e">
        <f>Ops!T89</f>
        <v>#REF!</v>
      </c>
      <c r="U30" s="161" t="e">
        <f>Ops!U89</f>
        <v>#REF!</v>
      </c>
      <c r="V30" s="161" t="e">
        <f>Ops!V89</f>
        <v>#REF!</v>
      </c>
      <c r="W30" s="161" t="e">
        <f>Ops!W89</f>
        <v>#REF!</v>
      </c>
      <c r="X30" s="161" t="e">
        <f>Ops!X89</f>
        <v>#REF!</v>
      </c>
      <c r="Y30" s="161" t="e">
        <f>Ops!Y89</f>
        <v>#REF!</v>
      </c>
      <c r="Z30" s="161" t="e">
        <f>Ops!Z89</f>
        <v>#REF!</v>
      </c>
      <c r="AA30" s="161" t="e">
        <f>Ops!AA89</f>
        <v>#REF!</v>
      </c>
      <c r="AB30" s="161" t="e">
        <f>Ops!AB89</f>
        <v>#REF!</v>
      </c>
      <c r="AC30" s="161" t="e">
        <f>Ops!AC89</f>
        <v>#REF!</v>
      </c>
      <c r="AD30" s="161" t="e">
        <f>Ops!AD89</f>
        <v>#REF!</v>
      </c>
      <c r="AE30" s="161" t="e">
        <f>Ops!AE89</f>
        <v>#REF!</v>
      </c>
      <c r="AF30" s="161" t="e">
        <f>Ops!AF89</f>
        <v>#REF!</v>
      </c>
      <c r="AG30" s="161" t="e">
        <f>Ops!AG89</f>
        <v>#REF!</v>
      </c>
      <c r="AH30" s="161" t="e">
        <f>Ops!AH89</f>
        <v>#REF!</v>
      </c>
      <c r="AI30" s="161" t="e">
        <f>Ops!AI89</f>
        <v>#REF!</v>
      </c>
      <c r="AJ30" s="161" t="e">
        <f>Ops!AJ89</f>
        <v>#REF!</v>
      </c>
      <c r="AK30" s="161" t="e">
        <f>Ops!AK89</f>
        <v>#REF!</v>
      </c>
      <c r="AL30" s="161" t="e">
        <f>Ops!AL89</f>
        <v>#REF!</v>
      </c>
      <c r="AM30" s="161" t="e">
        <f>Ops!AM89</f>
        <v>#REF!</v>
      </c>
      <c r="AN30" s="161" t="e">
        <f>Ops!AN89</f>
        <v>#REF!</v>
      </c>
      <c r="AO30" s="161" t="e">
        <f>Ops!AO89</f>
        <v>#REF!</v>
      </c>
      <c r="AP30" s="161" t="e">
        <f>Ops!AP89</f>
        <v>#REF!</v>
      </c>
      <c r="AQ30" s="161" t="e">
        <f>Ops!AQ89</f>
        <v>#REF!</v>
      </c>
      <c r="AR30" s="161" t="e">
        <f>Ops!AR89</f>
        <v>#REF!</v>
      </c>
      <c r="AS30" s="161" t="e">
        <f>Ops!AS89</f>
        <v>#REF!</v>
      </c>
      <c r="AT30" s="161" t="e">
        <f>Ops!AT89</f>
        <v>#REF!</v>
      </c>
      <c r="AU30" s="161" t="e">
        <f>Ops!AU89</f>
        <v>#REF!</v>
      </c>
      <c r="AV30" s="161" t="e">
        <f>Ops!AV89</f>
        <v>#REF!</v>
      </c>
      <c r="AW30" s="161" t="e">
        <f>Ops!AW89</f>
        <v>#REF!</v>
      </c>
      <c r="AX30" s="161" t="e">
        <f>Ops!AX89</f>
        <v>#REF!</v>
      </c>
      <c r="AY30" s="161" t="e">
        <f>Ops!AY89</f>
        <v>#REF!</v>
      </c>
      <c r="AZ30" s="161" t="e">
        <f>Ops!AZ89</f>
        <v>#REF!</v>
      </c>
      <c r="BA30" s="161" t="e">
        <f>Ops!BA89</f>
        <v>#REF!</v>
      </c>
      <c r="BB30" s="161" t="e">
        <f>Ops!BB89</f>
        <v>#REF!</v>
      </c>
      <c r="BC30" s="161" t="e">
        <f>Ops!BC89</f>
        <v>#REF!</v>
      </c>
      <c r="BD30" s="161" t="e">
        <f>Ops!BD89</f>
        <v>#REF!</v>
      </c>
      <c r="BE30" s="161" t="e">
        <f>Ops!BE89</f>
        <v>#REF!</v>
      </c>
      <c r="BF30" s="161" t="e">
        <f>Ops!BF89</f>
        <v>#REF!</v>
      </c>
      <c r="BG30" s="161" t="e">
        <f>Ops!BG89</f>
        <v>#REF!</v>
      </c>
      <c r="BH30" s="161" t="e">
        <f>Ops!BH89</f>
        <v>#REF!</v>
      </c>
      <c r="BI30" s="161" t="e">
        <f>Ops!BI89</f>
        <v>#REF!</v>
      </c>
      <c r="BJ30" s="161" t="e">
        <f>Ops!BJ89</f>
        <v>#REF!</v>
      </c>
      <c r="BK30" s="161" t="e">
        <f>Ops!BK89</f>
        <v>#REF!</v>
      </c>
      <c r="BL30" s="161" t="e">
        <f>Ops!BL89</f>
        <v>#REF!</v>
      </c>
      <c r="BM30" s="161" t="e">
        <f>Ops!BM89</f>
        <v>#REF!</v>
      </c>
      <c r="BN30" s="161" t="e">
        <f>Ops!BN89</f>
        <v>#REF!</v>
      </c>
      <c r="BO30" s="161" t="e">
        <f>Ops!BO89</f>
        <v>#REF!</v>
      </c>
      <c r="BP30" s="161" t="e">
        <f>Ops!BP89</f>
        <v>#REF!</v>
      </c>
      <c r="BQ30" s="161" t="e">
        <f>Ops!BQ89</f>
        <v>#REF!</v>
      </c>
      <c r="BR30" s="161" t="e">
        <f>Ops!BR89</f>
        <v>#REF!</v>
      </c>
      <c r="BS30" s="161" t="e">
        <f>Ops!BS89</f>
        <v>#REF!</v>
      </c>
      <c r="BT30" s="161" t="e">
        <f>Ops!BT89</f>
        <v>#REF!</v>
      </c>
      <c r="BU30" s="161" t="e">
        <f>Ops!BU89</f>
        <v>#REF!</v>
      </c>
      <c r="BV30" s="161" t="e">
        <f>Ops!BV89</f>
        <v>#REF!</v>
      </c>
      <c r="BW30" s="161" t="e">
        <f>Ops!BW89</f>
        <v>#REF!</v>
      </c>
      <c r="BX30" s="161" t="e">
        <f>Ops!BX89</f>
        <v>#REF!</v>
      </c>
      <c r="BY30" s="161" t="e">
        <f>Ops!BY89</f>
        <v>#REF!</v>
      </c>
      <c r="BZ30" s="161" t="e">
        <f>Ops!BZ89</f>
        <v>#REF!</v>
      </c>
      <c r="CA30" s="161" t="e">
        <f>Ops!CA89</f>
        <v>#REF!</v>
      </c>
      <c r="CB30" s="161" t="e">
        <f>Ops!CB89</f>
        <v>#REF!</v>
      </c>
      <c r="CC30" s="161" t="e">
        <f>Ops!CC89</f>
        <v>#REF!</v>
      </c>
      <c r="CD30" s="161" t="e">
        <f>Ops!CD89</f>
        <v>#REF!</v>
      </c>
      <c r="CE30" s="161" t="e">
        <f>Ops!CE89</f>
        <v>#REF!</v>
      </c>
      <c r="CF30" s="161" t="e">
        <f>Ops!CF89</f>
        <v>#REF!</v>
      </c>
      <c r="CG30" s="161" t="e">
        <f>Ops!CG89</f>
        <v>#REF!</v>
      </c>
      <c r="CH30" s="161" t="e">
        <f>Ops!CH89</f>
        <v>#REF!</v>
      </c>
      <c r="CI30" s="161" t="e">
        <f>Ops!CI89</f>
        <v>#REF!</v>
      </c>
      <c r="CJ30" s="161" t="e">
        <f>Ops!CJ89</f>
        <v>#REF!</v>
      </c>
      <c r="CK30" s="161" t="e">
        <f>Ops!CK89</f>
        <v>#REF!</v>
      </c>
      <c r="CL30" s="161" t="e">
        <f>Ops!CL89</f>
        <v>#REF!</v>
      </c>
      <c r="CM30" s="161" t="e">
        <f>Ops!CM89</f>
        <v>#REF!</v>
      </c>
      <c r="CN30" s="161" t="e">
        <f>Ops!CN89</f>
        <v>#REF!</v>
      </c>
      <c r="CO30" s="161" t="e">
        <f>Ops!CO89</f>
        <v>#REF!</v>
      </c>
      <c r="CP30" s="161" t="e">
        <f>Ops!CP89</f>
        <v>#REF!</v>
      </c>
      <c r="CQ30" s="161" t="e">
        <f>Ops!CQ89</f>
        <v>#REF!</v>
      </c>
    </row>
    <row r="31" spans="1:95" ht="12.75" customHeight="1" x14ac:dyDescent="0.25">
      <c r="D31" t="s">
        <v>202</v>
      </c>
      <c r="H31" s="54" t="s">
        <v>3</v>
      </c>
      <c r="N31" s="35" t="e">
        <f t="shared" si="5"/>
        <v>#REF!</v>
      </c>
      <c r="P31" s="49" t="e">
        <f>P25-SUM(P26:P30)</f>
        <v>#REF!</v>
      </c>
      <c r="Q31" s="49" t="e">
        <f t="shared" ref="Q31:CB31" si="8">Q25-SUM(Q26:Q30)</f>
        <v>#REF!</v>
      </c>
      <c r="R31" s="49" t="e">
        <f t="shared" si="8"/>
        <v>#REF!</v>
      </c>
      <c r="S31" s="49" t="e">
        <f t="shared" si="8"/>
        <v>#REF!</v>
      </c>
      <c r="T31" s="49" t="e">
        <f t="shared" si="8"/>
        <v>#REF!</v>
      </c>
      <c r="U31" s="49" t="e">
        <f t="shared" si="8"/>
        <v>#REF!</v>
      </c>
      <c r="V31" s="49" t="e">
        <f t="shared" si="8"/>
        <v>#REF!</v>
      </c>
      <c r="W31" s="49" t="e">
        <f t="shared" si="8"/>
        <v>#REF!</v>
      </c>
      <c r="X31" s="49" t="e">
        <f t="shared" si="8"/>
        <v>#REF!</v>
      </c>
      <c r="Y31" s="49" t="e">
        <f t="shared" si="8"/>
        <v>#REF!</v>
      </c>
      <c r="Z31" s="49" t="e">
        <f t="shared" si="8"/>
        <v>#REF!</v>
      </c>
      <c r="AA31" s="49" t="e">
        <f t="shared" si="8"/>
        <v>#REF!</v>
      </c>
      <c r="AB31" s="49" t="e">
        <f t="shared" si="8"/>
        <v>#REF!</v>
      </c>
      <c r="AC31" s="49" t="e">
        <f t="shared" si="8"/>
        <v>#REF!</v>
      </c>
      <c r="AD31" s="49" t="e">
        <f t="shared" si="8"/>
        <v>#REF!</v>
      </c>
      <c r="AE31" s="49" t="e">
        <f t="shared" si="8"/>
        <v>#REF!</v>
      </c>
      <c r="AF31" s="49" t="e">
        <f t="shared" si="8"/>
        <v>#REF!</v>
      </c>
      <c r="AG31" s="49" t="e">
        <f t="shared" si="8"/>
        <v>#REF!</v>
      </c>
      <c r="AH31" s="49" t="e">
        <f t="shared" si="8"/>
        <v>#REF!</v>
      </c>
      <c r="AI31" s="49" t="e">
        <f t="shared" si="8"/>
        <v>#REF!</v>
      </c>
      <c r="AJ31" s="49" t="e">
        <f t="shared" si="8"/>
        <v>#REF!</v>
      </c>
      <c r="AK31" s="49" t="e">
        <f t="shared" si="8"/>
        <v>#REF!</v>
      </c>
      <c r="AL31" s="49" t="e">
        <f t="shared" si="8"/>
        <v>#REF!</v>
      </c>
      <c r="AM31" s="49" t="e">
        <f t="shared" si="8"/>
        <v>#REF!</v>
      </c>
      <c r="AN31" s="49" t="e">
        <f t="shared" si="8"/>
        <v>#REF!</v>
      </c>
      <c r="AO31" s="49" t="e">
        <f t="shared" si="8"/>
        <v>#REF!</v>
      </c>
      <c r="AP31" s="49" t="e">
        <f t="shared" si="8"/>
        <v>#REF!</v>
      </c>
      <c r="AQ31" s="49" t="e">
        <f t="shared" si="8"/>
        <v>#REF!</v>
      </c>
      <c r="AR31" s="49" t="e">
        <f t="shared" si="8"/>
        <v>#REF!</v>
      </c>
      <c r="AS31" s="49" t="e">
        <f t="shared" si="8"/>
        <v>#REF!</v>
      </c>
      <c r="AT31" s="49" t="e">
        <f t="shared" si="8"/>
        <v>#REF!</v>
      </c>
      <c r="AU31" s="49" t="e">
        <f t="shared" si="8"/>
        <v>#REF!</v>
      </c>
      <c r="AV31" s="49" t="e">
        <f t="shared" si="8"/>
        <v>#REF!</v>
      </c>
      <c r="AW31" s="49" t="e">
        <f t="shared" si="8"/>
        <v>#REF!</v>
      </c>
      <c r="AX31" s="49" t="e">
        <f t="shared" si="8"/>
        <v>#REF!</v>
      </c>
      <c r="AY31" s="49" t="e">
        <f t="shared" si="8"/>
        <v>#REF!</v>
      </c>
      <c r="AZ31" s="49" t="e">
        <f t="shared" si="8"/>
        <v>#REF!</v>
      </c>
      <c r="BA31" s="49" t="e">
        <f t="shared" si="8"/>
        <v>#REF!</v>
      </c>
      <c r="BB31" s="49" t="e">
        <f t="shared" si="8"/>
        <v>#REF!</v>
      </c>
      <c r="BC31" s="49" t="e">
        <f t="shared" si="8"/>
        <v>#REF!</v>
      </c>
      <c r="BD31" s="49" t="e">
        <f t="shared" si="8"/>
        <v>#REF!</v>
      </c>
      <c r="BE31" s="49" t="e">
        <f t="shared" si="8"/>
        <v>#REF!</v>
      </c>
      <c r="BF31" s="49" t="e">
        <f t="shared" si="8"/>
        <v>#REF!</v>
      </c>
      <c r="BG31" s="49" t="e">
        <f t="shared" si="8"/>
        <v>#REF!</v>
      </c>
      <c r="BH31" s="49" t="e">
        <f t="shared" si="8"/>
        <v>#REF!</v>
      </c>
      <c r="BI31" s="49" t="e">
        <f t="shared" si="8"/>
        <v>#REF!</v>
      </c>
      <c r="BJ31" s="49" t="e">
        <f t="shared" si="8"/>
        <v>#REF!</v>
      </c>
      <c r="BK31" s="49" t="e">
        <f t="shared" si="8"/>
        <v>#REF!</v>
      </c>
      <c r="BL31" s="49" t="e">
        <f t="shared" si="8"/>
        <v>#REF!</v>
      </c>
      <c r="BM31" s="49" t="e">
        <f t="shared" si="8"/>
        <v>#REF!</v>
      </c>
      <c r="BN31" s="49" t="e">
        <f t="shared" si="8"/>
        <v>#REF!</v>
      </c>
      <c r="BO31" s="49" t="e">
        <f t="shared" si="8"/>
        <v>#REF!</v>
      </c>
      <c r="BP31" s="49" t="e">
        <f t="shared" si="8"/>
        <v>#REF!</v>
      </c>
      <c r="BQ31" s="49" t="e">
        <f t="shared" si="8"/>
        <v>#REF!</v>
      </c>
      <c r="BR31" s="49" t="e">
        <f t="shared" si="8"/>
        <v>#REF!</v>
      </c>
      <c r="BS31" s="49" t="e">
        <f t="shared" si="8"/>
        <v>#REF!</v>
      </c>
      <c r="BT31" s="49" t="e">
        <f t="shared" si="8"/>
        <v>#REF!</v>
      </c>
      <c r="BU31" s="49" t="e">
        <f t="shared" si="8"/>
        <v>#REF!</v>
      </c>
      <c r="BV31" s="49" t="e">
        <f t="shared" si="8"/>
        <v>#REF!</v>
      </c>
      <c r="BW31" s="49" t="e">
        <f t="shared" si="8"/>
        <v>#REF!</v>
      </c>
      <c r="BX31" s="49" t="e">
        <f t="shared" si="8"/>
        <v>#REF!</v>
      </c>
      <c r="BY31" s="49" t="e">
        <f t="shared" si="8"/>
        <v>#REF!</v>
      </c>
      <c r="BZ31" s="49" t="e">
        <f t="shared" si="8"/>
        <v>#REF!</v>
      </c>
      <c r="CA31" s="49" t="e">
        <f t="shared" si="8"/>
        <v>#REF!</v>
      </c>
      <c r="CB31" s="49" t="e">
        <f t="shared" si="8"/>
        <v>#REF!</v>
      </c>
      <c r="CC31" s="49" t="e">
        <f t="shared" ref="CC31:CQ31" si="9">CC25-SUM(CC26:CC30)</f>
        <v>#REF!</v>
      </c>
      <c r="CD31" s="49" t="e">
        <f t="shared" si="9"/>
        <v>#REF!</v>
      </c>
      <c r="CE31" s="49" t="e">
        <f t="shared" si="9"/>
        <v>#REF!</v>
      </c>
      <c r="CF31" s="49" t="e">
        <f t="shared" si="9"/>
        <v>#REF!</v>
      </c>
      <c r="CG31" s="49" t="e">
        <f t="shared" si="9"/>
        <v>#REF!</v>
      </c>
      <c r="CH31" s="49" t="e">
        <f t="shared" si="9"/>
        <v>#REF!</v>
      </c>
      <c r="CI31" s="49" t="e">
        <f t="shared" si="9"/>
        <v>#REF!</v>
      </c>
      <c r="CJ31" s="49" t="e">
        <f t="shared" si="9"/>
        <v>#REF!</v>
      </c>
      <c r="CK31" s="49" t="e">
        <f t="shared" si="9"/>
        <v>#REF!</v>
      </c>
      <c r="CL31" s="49" t="e">
        <f t="shared" si="9"/>
        <v>#REF!</v>
      </c>
      <c r="CM31" s="49" t="e">
        <f t="shared" si="9"/>
        <v>#REF!</v>
      </c>
      <c r="CN31" s="49" t="e">
        <f t="shared" si="9"/>
        <v>#REF!</v>
      </c>
      <c r="CO31" s="49" t="e">
        <f t="shared" si="9"/>
        <v>#REF!</v>
      </c>
      <c r="CP31" s="49" t="e">
        <f t="shared" si="9"/>
        <v>#REF!</v>
      </c>
      <c r="CQ31" s="49" t="e">
        <f t="shared" si="9"/>
        <v>#REF!</v>
      </c>
    </row>
    <row r="32" spans="1:95" ht="12.75" customHeight="1" x14ac:dyDescent="0.25">
      <c r="H32" s="54"/>
      <c r="N32" s="19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</row>
    <row r="33" spans="1:95" ht="12.75" customHeight="1" x14ac:dyDescent="0.25">
      <c r="C33" t="s">
        <v>203</v>
      </c>
      <c r="H33" s="54" t="s">
        <v>6</v>
      </c>
      <c r="J33" s="84" t="e">
        <f>InputC!#REF!</f>
        <v>#REF!</v>
      </c>
      <c r="N33" s="19"/>
    </row>
    <row r="34" spans="1:95" ht="12.75" customHeight="1" x14ac:dyDescent="0.25">
      <c r="C34" t="s">
        <v>204</v>
      </c>
      <c r="H34" s="54" t="s">
        <v>6</v>
      </c>
      <c r="J34" s="84">
        <f>SUMPRODUCT(P34:CQ34,P13:CQ13)</f>
        <v>0</v>
      </c>
      <c r="N34" s="19"/>
      <c r="P34" s="55">
        <f>IFERROR(IRR($P31:P31),0)*P12</f>
        <v>0</v>
      </c>
      <c r="Q34" s="55">
        <f>IFERROR(IRR($P31:Q31),0)*Q12</f>
        <v>0</v>
      </c>
      <c r="R34" s="55">
        <f>IFERROR(IRR($P31:R31),0)*R12</f>
        <v>0</v>
      </c>
      <c r="S34" s="55">
        <f>IFERROR(IRR($P31:S31),0)*S12</f>
        <v>0</v>
      </c>
      <c r="T34" s="55">
        <f>IFERROR(IRR($P31:T31),0)*T12</f>
        <v>0</v>
      </c>
      <c r="U34" s="55">
        <f>IFERROR(IRR($P31:U31),0)*U12</f>
        <v>0</v>
      </c>
      <c r="V34" s="55">
        <f>IFERROR(IRR($P31:V31),0)*V12</f>
        <v>0</v>
      </c>
      <c r="W34" s="55">
        <f>IFERROR(IRR($P31:W31),0)*W12</f>
        <v>0</v>
      </c>
      <c r="X34" s="55">
        <f>IFERROR(IRR($P31:X31),0)*X12</f>
        <v>0</v>
      </c>
      <c r="Y34" s="55">
        <f>IFERROR(IRR($P31:Y31),0)*Y12</f>
        <v>0</v>
      </c>
      <c r="Z34" s="55">
        <f>IFERROR(IRR($P31:Z31),0)*Z12</f>
        <v>0</v>
      </c>
      <c r="AA34" s="55">
        <f>IFERROR(IRR($P31:AA31),0)*AA12</f>
        <v>0</v>
      </c>
      <c r="AB34" s="55">
        <f>IFERROR(IRR($P31:AB31),0)*AB12</f>
        <v>0</v>
      </c>
      <c r="AC34" s="55">
        <f>IFERROR(IRR($P31:AC31),0)*AC12</f>
        <v>0</v>
      </c>
      <c r="AD34" s="55">
        <f>IFERROR(IRR($P31:AD31),0)*AD12</f>
        <v>0</v>
      </c>
      <c r="AE34" s="55">
        <f>IFERROR(IRR($P31:AE31),0)*AE12</f>
        <v>0</v>
      </c>
      <c r="AF34" s="55">
        <f>IFERROR(IRR($P31:AF31),0)*AF12</f>
        <v>0</v>
      </c>
      <c r="AG34" s="55">
        <f>IFERROR(IRR($P31:AG31),0)*AG12</f>
        <v>0</v>
      </c>
      <c r="AH34" s="55">
        <f>IFERROR(IRR($P31:AH31),0)*AH12</f>
        <v>0</v>
      </c>
      <c r="AI34" s="55">
        <f>IFERROR(IRR($P31:AI31),0)*AI12</f>
        <v>0</v>
      </c>
      <c r="AJ34" s="55">
        <f>IFERROR(IRR($P31:AJ31),0)*AJ12</f>
        <v>0</v>
      </c>
      <c r="AK34" s="55">
        <f>IFERROR(IRR($P31:AK31),0)*AK12</f>
        <v>0</v>
      </c>
      <c r="AL34" s="55">
        <f>IFERROR(IRR($P31:AL31),0)*AL12</f>
        <v>0</v>
      </c>
      <c r="AM34" s="55">
        <f>IFERROR(IRR($P31:AM31),0)*AM12</f>
        <v>0</v>
      </c>
      <c r="AN34" s="55">
        <f>IFERROR(IRR($P31:AN31),0)*AN12</f>
        <v>0</v>
      </c>
      <c r="AO34" s="55">
        <f>IFERROR(IRR($P31:AO31),0)*AO12</f>
        <v>0</v>
      </c>
      <c r="AP34" s="55">
        <f>IFERROR(IRR($P31:AP31),0)*AP12</f>
        <v>0</v>
      </c>
      <c r="AQ34" s="55">
        <f>IFERROR(IRR($P31:AQ31),0)*AQ12</f>
        <v>0</v>
      </c>
      <c r="AR34" s="55">
        <f>IFERROR(IRR($P31:AR31),0)*AR12</f>
        <v>0</v>
      </c>
      <c r="AS34" s="55">
        <f>IFERROR(IRR($P31:AS31),0)*AS12</f>
        <v>0</v>
      </c>
      <c r="AT34" s="55">
        <f>IFERROR(IRR($P31:AT31),0)*AT12</f>
        <v>0</v>
      </c>
      <c r="AU34" s="55">
        <f>IFERROR(IRR($P31:AU31),0)*AU12</f>
        <v>0</v>
      </c>
      <c r="AV34" s="55">
        <f>IFERROR(IRR($P31:AV31),0)*AV12</f>
        <v>0</v>
      </c>
      <c r="AW34" s="55">
        <f>IFERROR(IRR($P31:AW31),0)*AW12</f>
        <v>0</v>
      </c>
      <c r="AX34" s="55">
        <f>IFERROR(IRR($P31:AX31),0)*AX12</f>
        <v>0</v>
      </c>
      <c r="AY34" s="55">
        <f>IFERROR(IRR($P31:AY31),0)*AY12</f>
        <v>0</v>
      </c>
      <c r="AZ34" s="55">
        <f>IFERROR(IRR($P31:AZ31),0)*AZ12</f>
        <v>0</v>
      </c>
      <c r="BA34" s="55">
        <f>IFERROR(IRR($P31:BA31),0)*BA12</f>
        <v>0</v>
      </c>
      <c r="BB34" s="55">
        <f>IFERROR(IRR($P31:BB31),0)*BB12</f>
        <v>0</v>
      </c>
      <c r="BC34" s="55">
        <f>IFERROR(IRR($P31:BC31),0)*BC12</f>
        <v>0</v>
      </c>
      <c r="BD34" s="55">
        <f>IFERROR(IRR($P31:BD31),0)*BD12</f>
        <v>0</v>
      </c>
      <c r="BE34" s="55">
        <f>IFERROR(IRR($P31:BE31),0)*BE12</f>
        <v>0</v>
      </c>
      <c r="BF34" s="55">
        <f>IFERROR(IRR($P31:BF31),0)*BF12</f>
        <v>0</v>
      </c>
      <c r="BG34" s="55">
        <f>IFERROR(IRR($P31:BG31),0)*BG12</f>
        <v>0</v>
      </c>
      <c r="BH34" s="55">
        <f>IFERROR(IRR($P31:BH31),0)*BH12</f>
        <v>0</v>
      </c>
      <c r="BI34" s="55">
        <f>IFERROR(IRR($P31:BI31),0)*BI12</f>
        <v>0</v>
      </c>
      <c r="BJ34" s="55">
        <f>IFERROR(IRR($P31:BJ31),0)*BJ12</f>
        <v>0</v>
      </c>
      <c r="BK34" s="55">
        <f>IFERROR(IRR($P31:BK31),0)*BK12</f>
        <v>0</v>
      </c>
      <c r="BL34" s="55">
        <f>IFERROR(IRR($P31:BL31),0)*BL12</f>
        <v>0</v>
      </c>
      <c r="BM34" s="55">
        <f>IFERROR(IRR($P31:BM31),0)*BM12</f>
        <v>0</v>
      </c>
      <c r="BN34" s="55">
        <f>IFERROR(IRR($P31:BN31),0)*BN12</f>
        <v>0</v>
      </c>
      <c r="BO34" s="55">
        <f>IFERROR(IRR($P31:BO31),0)*BO12</f>
        <v>0</v>
      </c>
      <c r="BP34" s="55">
        <f>IFERROR(IRR($P31:BP31),0)*BP12</f>
        <v>0</v>
      </c>
      <c r="BQ34" s="55">
        <f>IFERROR(IRR($P31:BQ31),0)*BQ12</f>
        <v>0</v>
      </c>
      <c r="BR34" s="55">
        <f>IFERROR(IRR($P31:BR31),0)*BR12</f>
        <v>0</v>
      </c>
      <c r="BS34" s="55">
        <f>IFERROR(IRR($P31:BS31),0)*BS12</f>
        <v>0</v>
      </c>
      <c r="BT34" s="55">
        <f>IFERROR(IRR($P31:BT31),0)*BT12</f>
        <v>0</v>
      </c>
      <c r="BU34" s="55">
        <f>IFERROR(IRR($P31:BU31),0)*BU12</f>
        <v>0</v>
      </c>
      <c r="BV34" s="55">
        <f>IFERROR(IRR($P31:BV31),0)*BV12</f>
        <v>0</v>
      </c>
      <c r="BW34" s="55">
        <f>IFERROR(IRR($P31:BW31),0)*BW12</f>
        <v>0</v>
      </c>
      <c r="BX34" s="55">
        <f>IFERROR(IRR($P31:BX31),0)*BX12</f>
        <v>0</v>
      </c>
      <c r="BY34" s="55">
        <f>IFERROR(IRR($P31:BY31),0)*BY12</f>
        <v>0</v>
      </c>
      <c r="BZ34" s="55">
        <f>IFERROR(IRR($P31:BZ31),0)*BZ12</f>
        <v>0</v>
      </c>
      <c r="CA34" s="55">
        <f>IFERROR(IRR($P31:CA31),0)*CA12</f>
        <v>0</v>
      </c>
      <c r="CB34" s="55">
        <f>IFERROR(IRR($P31:CB31),0)*CB12</f>
        <v>0</v>
      </c>
      <c r="CC34" s="55">
        <f>IFERROR(IRR($P31:CC31),0)*CC12</f>
        <v>0</v>
      </c>
      <c r="CD34" s="55">
        <f>IFERROR(IRR($P31:CD31),0)*CD12</f>
        <v>0</v>
      </c>
      <c r="CE34" s="55">
        <f>IFERROR(IRR($P31:CE31),0)*CE12</f>
        <v>0</v>
      </c>
      <c r="CF34" s="55">
        <f>IFERROR(IRR($P31:CF31),0)*CF12</f>
        <v>0</v>
      </c>
      <c r="CG34" s="55">
        <f>IFERROR(IRR($P31:CG31),0)*CG12</f>
        <v>0</v>
      </c>
      <c r="CH34" s="55">
        <f>IFERROR(IRR($P31:CH31),0)*CH12</f>
        <v>0</v>
      </c>
      <c r="CI34" s="55">
        <f>IFERROR(IRR($P31:CI31),0)*CI12</f>
        <v>0</v>
      </c>
      <c r="CJ34" s="55">
        <f>IFERROR(IRR($P31:CJ31),0)*CJ12</f>
        <v>0</v>
      </c>
      <c r="CK34" s="55">
        <f>IFERROR(IRR($P31:CK31),0)*CK12</f>
        <v>0</v>
      </c>
      <c r="CL34" s="55">
        <f>IFERROR(IRR($P31:CL31),0)*CL12</f>
        <v>0</v>
      </c>
      <c r="CM34" s="55">
        <f>IFERROR(IRR($P31:CM31),0)*CM12</f>
        <v>0</v>
      </c>
      <c r="CN34" s="55">
        <f>IFERROR(IRR($P31:CN31),0)*CN12</f>
        <v>0</v>
      </c>
      <c r="CO34" s="55">
        <f>IFERROR(IRR($P31:CO31),0)*CO12</f>
        <v>0</v>
      </c>
      <c r="CP34" s="55">
        <f>IFERROR(IRR($P31:CP31),0)*CP12</f>
        <v>0</v>
      </c>
      <c r="CQ34" s="55">
        <f>IFERROR(IRR($P31:CQ31),0)*CQ12</f>
        <v>0</v>
      </c>
    </row>
    <row r="35" spans="1:95" ht="12.75" customHeight="1" x14ac:dyDescent="0.25">
      <c r="H35" s="54"/>
      <c r="N35" s="19"/>
    </row>
    <row r="36" spans="1:95" ht="12.75" customHeight="1" x14ac:dyDescent="0.25">
      <c r="C36" t="s">
        <v>24</v>
      </c>
      <c r="H36" s="54" t="s">
        <v>25</v>
      </c>
      <c r="J36" s="40" t="e">
        <f>ROUND(IRR_Hurdle,2)=ROUND(Unlevered_IRR,2)</f>
        <v>#REF!</v>
      </c>
      <c r="N36" s="19"/>
    </row>
    <row r="37" spans="1:95" ht="12.75" customHeight="1" x14ac:dyDescent="0.25">
      <c r="H37" s="54"/>
      <c r="N37" s="19"/>
    </row>
    <row r="38" spans="1:95" ht="12.75" customHeight="1" x14ac:dyDescent="0.25">
      <c r="H38" s="54"/>
      <c r="J38" s="38" t="s">
        <v>174</v>
      </c>
      <c r="K38" s="96"/>
      <c r="N38" s="19"/>
    </row>
    <row r="39" spans="1:95" ht="12.75" customHeight="1" x14ac:dyDescent="0.25">
      <c r="C39" t="s">
        <v>207</v>
      </c>
      <c r="H39" s="54" t="s">
        <v>174</v>
      </c>
      <c r="J39" s="185">
        <v>33.952381683191305</v>
      </c>
      <c r="N39" s="19"/>
      <c r="O39" s="10"/>
      <c r="P39" s="10">
        <f t="shared" ref="P39:CA39" si="10">$J39*P12</f>
        <v>0</v>
      </c>
      <c r="Q39" s="10">
        <f t="shared" si="10"/>
        <v>0</v>
      </c>
      <c r="R39" s="10">
        <f t="shared" si="10"/>
        <v>0</v>
      </c>
      <c r="S39" s="10">
        <f t="shared" si="10"/>
        <v>33.952381683191305</v>
      </c>
      <c r="T39" s="10">
        <f t="shared" si="10"/>
        <v>33.952381683191305</v>
      </c>
      <c r="U39" s="10">
        <f t="shared" si="10"/>
        <v>33.952381683191305</v>
      </c>
      <c r="V39" s="10">
        <f t="shared" si="10"/>
        <v>33.952381683191305</v>
      </c>
      <c r="W39" s="10">
        <f t="shared" si="10"/>
        <v>33.952381683191305</v>
      </c>
      <c r="X39" s="10">
        <f t="shared" si="10"/>
        <v>33.952381683191305</v>
      </c>
      <c r="Y39" s="10">
        <f t="shared" si="10"/>
        <v>33.952381683191305</v>
      </c>
      <c r="Z39" s="10">
        <f t="shared" si="10"/>
        <v>33.952381683191305</v>
      </c>
      <c r="AA39" s="10">
        <f t="shared" si="10"/>
        <v>33.952381683191305</v>
      </c>
      <c r="AB39" s="10">
        <f t="shared" si="10"/>
        <v>33.952381683191305</v>
      </c>
      <c r="AC39" s="10">
        <f t="shared" si="10"/>
        <v>33.952381683191305</v>
      </c>
      <c r="AD39" s="10">
        <f t="shared" si="10"/>
        <v>33.952381683191305</v>
      </c>
      <c r="AE39" s="10">
        <f t="shared" si="10"/>
        <v>33.952381683191305</v>
      </c>
      <c r="AF39" s="10">
        <f t="shared" si="10"/>
        <v>33.952381683191305</v>
      </c>
      <c r="AG39" s="10">
        <f t="shared" si="10"/>
        <v>33.952381683191305</v>
      </c>
      <c r="AH39" s="10">
        <f t="shared" si="10"/>
        <v>33.952381683191305</v>
      </c>
      <c r="AI39" s="10">
        <f t="shared" si="10"/>
        <v>33.952381683191305</v>
      </c>
      <c r="AJ39" s="10">
        <f t="shared" si="10"/>
        <v>33.952381683191305</v>
      </c>
      <c r="AK39" s="10">
        <f t="shared" si="10"/>
        <v>33.952381683191305</v>
      </c>
      <c r="AL39" s="10">
        <f t="shared" si="10"/>
        <v>33.952381683191305</v>
      </c>
      <c r="AM39" s="10">
        <f t="shared" si="10"/>
        <v>33.952381683191305</v>
      </c>
      <c r="AN39" s="10">
        <f t="shared" si="10"/>
        <v>33.952381683191305</v>
      </c>
      <c r="AO39" s="10">
        <f t="shared" si="10"/>
        <v>33.952381683191305</v>
      </c>
      <c r="AP39" s="10">
        <f t="shared" si="10"/>
        <v>33.952381683191305</v>
      </c>
      <c r="AQ39" s="10">
        <f t="shared" si="10"/>
        <v>33.952381683191305</v>
      </c>
      <c r="AR39" s="10">
        <f t="shared" si="10"/>
        <v>33.952381683191305</v>
      </c>
      <c r="AS39" s="10">
        <f t="shared" si="10"/>
        <v>33.952381683191305</v>
      </c>
      <c r="AT39" s="10">
        <f t="shared" si="10"/>
        <v>33.952381683191305</v>
      </c>
      <c r="AU39" s="10">
        <f t="shared" si="10"/>
        <v>33.952381683191305</v>
      </c>
      <c r="AV39" s="10">
        <f t="shared" si="10"/>
        <v>33.952381683191305</v>
      </c>
      <c r="AW39" s="10">
        <f t="shared" si="10"/>
        <v>33.952381683191305</v>
      </c>
      <c r="AX39" s="10">
        <f t="shared" si="10"/>
        <v>33.952381683191305</v>
      </c>
      <c r="AY39" s="10">
        <f t="shared" si="10"/>
        <v>33.952381683191305</v>
      </c>
      <c r="AZ39" s="10">
        <f t="shared" si="10"/>
        <v>33.952381683191305</v>
      </c>
      <c r="BA39" s="10">
        <f t="shared" si="10"/>
        <v>33.952381683191305</v>
      </c>
      <c r="BB39" s="10">
        <f t="shared" si="10"/>
        <v>33.952381683191305</v>
      </c>
      <c r="BC39" s="10">
        <f t="shared" si="10"/>
        <v>33.952381683191305</v>
      </c>
      <c r="BD39" s="10">
        <f t="shared" si="10"/>
        <v>33.952381683191305</v>
      </c>
      <c r="BE39" s="10">
        <f t="shared" si="10"/>
        <v>33.952381683191305</v>
      </c>
      <c r="BF39" s="10">
        <f t="shared" si="10"/>
        <v>33.952381683191305</v>
      </c>
      <c r="BG39" s="10">
        <f t="shared" si="10"/>
        <v>33.952381683191305</v>
      </c>
      <c r="BH39" s="10">
        <f t="shared" si="10"/>
        <v>33.952381683191305</v>
      </c>
      <c r="BI39" s="10">
        <f t="shared" si="10"/>
        <v>33.952381683191305</v>
      </c>
      <c r="BJ39" s="10">
        <f t="shared" si="10"/>
        <v>33.952381683191305</v>
      </c>
      <c r="BK39" s="10">
        <f t="shared" si="10"/>
        <v>33.952381683191305</v>
      </c>
      <c r="BL39" s="10">
        <f t="shared" si="10"/>
        <v>33.952381683191305</v>
      </c>
      <c r="BM39" s="10">
        <f t="shared" si="10"/>
        <v>33.952381683191305</v>
      </c>
      <c r="BN39" s="10">
        <f t="shared" si="10"/>
        <v>33.952381683191305</v>
      </c>
      <c r="BO39" s="10">
        <f t="shared" si="10"/>
        <v>33.952381683191305</v>
      </c>
      <c r="BP39" s="10">
        <f t="shared" si="10"/>
        <v>33.952381683191305</v>
      </c>
      <c r="BQ39" s="10">
        <f t="shared" si="10"/>
        <v>33.952381683191305</v>
      </c>
      <c r="BR39" s="10">
        <f t="shared" si="10"/>
        <v>0</v>
      </c>
      <c r="BS39" s="10">
        <f t="shared" si="10"/>
        <v>0</v>
      </c>
      <c r="BT39" s="10">
        <f t="shared" si="10"/>
        <v>0</v>
      </c>
      <c r="BU39" s="10">
        <f t="shared" si="10"/>
        <v>0</v>
      </c>
      <c r="BV39" s="10">
        <f t="shared" si="10"/>
        <v>0</v>
      </c>
      <c r="BW39" s="10">
        <f t="shared" si="10"/>
        <v>0</v>
      </c>
      <c r="BX39" s="10">
        <f t="shared" si="10"/>
        <v>0</v>
      </c>
      <c r="BY39" s="10">
        <f t="shared" si="10"/>
        <v>0</v>
      </c>
      <c r="BZ39" s="10">
        <f t="shared" si="10"/>
        <v>0</v>
      </c>
      <c r="CA39" s="10">
        <f t="shared" si="10"/>
        <v>0</v>
      </c>
      <c r="CB39" s="10">
        <f t="shared" ref="CB39:CQ39" si="11">$J39*CB12</f>
        <v>0</v>
      </c>
      <c r="CC39" s="10">
        <f t="shared" si="11"/>
        <v>0</v>
      </c>
      <c r="CD39" s="10">
        <f t="shared" si="11"/>
        <v>0</v>
      </c>
      <c r="CE39" s="10">
        <f t="shared" si="11"/>
        <v>0</v>
      </c>
      <c r="CF39" s="10">
        <f t="shared" si="11"/>
        <v>0</v>
      </c>
      <c r="CG39" s="10">
        <f t="shared" si="11"/>
        <v>0</v>
      </c>
      <c r="CH39" s="10">
        <f t="shared" si="11"/>
        <v>0</v>
      </c>
      <c r="CI39" s="10">
        <f t="shared" si="11"/>
        <v>0</v>
      </c>
      <c r="CJ39" s="10">
        <f t="shared" si="11"/>
        <v>0</v>
      </c>
      <c r="CK39" s="10">
        <f t="shared" si="11"/>
        <v>0</v>
      </c>
      <c r="CL39" s="10">
        <f t="shared" si="11"/>
        <v>0</v>
      </c>
      <c r="CM39" s="10">
        <f t="shared" si="11"/>
        <v>0</v>
      </c>
      <c r="CN39" s="10">
        <f t="shared" si="11"/>
        <v>0</v>
      </c>
      <c r="CO39" s="10">
        <f t="shared" si="11"/>
        <v>0</v>
      </c>
      <c r="CP39" s="10">
        <f t="shared" si="11"/>
        <v>0</v>
      </c>
      <c r="CQ39" s="10">
        <f t="shared" si="11"/>
        <v>0</v>
      </c>
    </row>
    <row r="40" spans="1:95" ht="12.75" customHeight="1" x14ac:dyDescent="0.25">
      <c r="C40" s="27" t="s">
        <v>206</v>
      </c>
      <c r="D40" s="27"/>
      <c r="E40" s="27"/>
      <c r="F40" s="27"/>
      <c r="G40" s="27"/>
      <c r="H40" s="28" t="s">
        <v>102</v>
      </c>
      <c r="I40" s="27"/>
      <c r="J40" s="27"/>
      <c r="K40" s="27"/>
      <c r="L40" s="27"/>
      <c r="M40" s="27"/>
      <c r="N40" s="175"/>
      <c r="O40" s="161"/>
      <c r="P40" s="161">
        <f>Ops!P30</f>
        <v>0</v>
      </c>
      <c r="Q40" s="161">
        <f>Ops!Q30</f>
        <v>0</v>
      </c>
      <c r="R40" s="161">
        <f>Ops!R30</f>
        <v>0</v>
      </c>
      <c r="S40" s="161">
        <f>Ops!S30</f>
        <v>120</v>
      </c>
      <c r="T40" s="161" t="e">
        <f>Ops!T30</f>
        <v>#REF!</v>
      </c>
      <c r="U40" s="161">
        <f>Ops!U30</f>
        <v>120</v>
      </c>
      <c r="V40" s="161" t="e">
        <f>Ops!V30</f>
        <v>#REF!</v>
      </c>
      <c r="W40" s="161">
        <f>Ops!W30</f>
        <v>120</v>
      </c>
      <c r="X40" s="161" t="e">
        <f>Ops!X30</f>
        <v>#REF!</v>
      </c>
      <c r="Y40" s="161">
        <f>Ops!Y30</f>
        <v>120</v>
      </c>
      <c r="Z40" s="161" t="e">
        <f>Ops!Z30</f>
        <v>#REF!</v>
      </c>
      <c r="AA40" s="161">
        <f>Ops!AA30</f>
        <v>120</v>
      </c>
      <c r="AB40" s="161" t="e">
        <f>Ops!AB30</f>
        <v>#REF!</v>
      </c>
      <c r="AC40" s="161">
        <f>Ops!AC30</f>
        <v>120</v>
      </c>
      <c r="AD40" s="161" t="e">
        <f>Ops!AD30</f>
        <v>#REF!</v>
      </c>
      <c r="AE40" s="161">
        <f>Ops!AE30</f>
        <v>120</v>
      </c>
      <c r="AF40" s="161" t="e">
        <f>Ops!AF30</f>
        <v>#REF!</v>
      </c>
      <c r="AG40" s="161">
        <f>Ops!AG30</f>
        <v>120</v>
      </c>
      <c r="AH40" s="161" t="e">
        <f>Ops!AH30</f>
        <v>#REF!</v>
      </c>
      <c r="AI40" s="161">
        <f>Ops!AI30</f>
        <v>120</v>
      </c>
      <c r="AJ40" s="161" t="e">
        <f>Ops!AJ30</f>
        <v>#REF!</v>
      </c>
      <c r="AK40" s="161">
        <f>Ops!AK30</f>
        <v>120</v>
      </c>
      <c r="AL40" s="161" t="e">
        <f>Ops!AL30</f>
        <v>#REF!</v>
      </c>
      <c r="AM40" s="161">
        <f>Ops!AM30</f>
        <v>120</v>
      </c>
      <c r="AN40" s="161" t="e">
        <f>Ops!AN30</f>
        <v>#REF!</v>
      </c>
      <c r="AO40" s="161">
        <f>Ops!AO30</f>
        <v>120</v>
      </c>
      <c r="AP40" s="161" t="e">
        <f>Ops!AP30</f>
        <v>#REF!</v>
      </c>
      <c r="AQ40" s="161">
        <f>Ops!AQ30</f>
        <v>120</v>
      </c>
      <c r="AR40" s="161" t="e">
        <f>Ops!AR30</f>
        <v>#REF!</v>
      </c>
      <c r="AS40" s="161">
        <f>Ops!AS30</f>
        <v>120</v>
      </c>
      <c r="AT40" s="161" t="e">
        <f>Ops!AT30</f>
        <v>#REF!</v>
      </c>
      <c r="AU40" s="161">
        <f>Ops!AU30</f>
        <v>120</v>
      </c>
      <c r="AV40" s="161" t="e">
        <f>Ops!AV30</f>
        <v>#REF!</v>
      </c>
      <c r="AW40" s="161">
        <f>Ops!AW30</f>
        <v>120</v>
      </c>
      <c r="AX40" s="161" t="e">
        <f>Ops!AX30</f>
        <v>#REF!</v>
      </c>
      <c r="AY40" s="161">
        <f>Ops!AY30</f>
        <v>120</v>
      </c>
      <c r="AZ40" s="161" t="e">
        <f>Ops!AZ30</f>
        <v>#REF!</v>
      </c>
      <c r="BA40" s="161">
        <f>Ops!BA30</f>
        <v>120</v>
      </c>
      <c r="BB40" s="161" t="e">
        <f>Ops!BB30</f>
        <v>#REF!</v>
      </c>
      <c r="BC40" s="161">
        <f>Ops!BC30</f>
        <v>120</v>
      </c>
      <c r="BD40" s="161" t="e">
        <f>Ops!BD30</f>
        <v>#REF!</v>
      </c>
      <c r="BE40" s="161">
        <f>Ops!BE30</f>
        <v>120</v>
      </c>
      <c r="BF40" s="161" t="e">
        <f>Ops!BF30</f>
        <v>#REF!</v>
      </c>
      <c r="BG40" s="161">
        <f>Ops!BG30</f>
        <v>120</v>
      </c>
      <c r="BH40" s="161" t="e">
        <f>Ops!BH30</f>
        <v>#REF!</v>
      </c>
      <c r="BI40" s="161">
        <f>Ops!BI30</f>
        <v>120</v>
      </c>
      <c r="BJ40" s="161" t="e">
        <f>Ops!BJ30</f>
        <v>#REF!</v>
      </c>
      <c r="BK40" s="161">
        <f>Ops!BK30</f>
        <v>120</v>
      </c>
      <c r="BL40" s="161" t="e">
        <f>Ops!BL30</f>
        <v>#REF!</v>
      </c>
      <c r="BM40" s="161">
        <f>Ops!BM30</f>
        <v>120</v>
      </c>
      <c r="BN40" s="161" t="e">
        <f>Ops!BN30</f>
        <v>#REF!</v>
      </c>
      <c r="BO40" s="161">
        <f>Ops!BO30</f>
        <v>120</v>
      </c>
      <c r="BP40" s="161" t="e">
        <f>Ops!BP30</f>
        <v>#REF!</v>
      </c>
      <c r="BQ40" s="161">
        <f>Ops!BQ30</f>
        <v>120</v>
      </c>
      <c r="BR40" s="161">
        <f>Ops!BR30</f>
        <v>0</v>
      </c>
      <c r="BS40" s="161">
        <f>Ops!BS30</f>
        <v>0</v>
      </c>
      <c r="BT40" s="161">
        <f>Ops!BT30</f>
        <v>0</v>
      </c>
      <c r="BU40" s="161">
        <f>Ops!BU30</f>
        <v>0</v>
      </c>
      <c r="BV40" s="161">
        <f>Ops!BV30</f>
        <v>0</v>
      </c>
      <c r="BW40" s="161">
        <f>Ops!BW30</f>
        <v>0</v>
      </c>
      <c r="BX40" s="161">
        <f>Ops!BX30</f>
        <v>0</v>
      </c>
      <c r="BY40" s="161">
        <f>Ops!BY30</f>
        <v>0</v>
      </c>
      <c r="BZ40" s="161">
        <f>Ops!BZ30</f>
        <v>0</v>
      </c>
      <c r="CA40" s="161">
        <f>Ops!CA30</f>
        <v>0</v>
      </c>
      <c r="CB40" s="161">
        <f>Ops!CB30</f>
        <v>0</v>
      </c>
      <c r="CC40" s="161">
        <f>Ops!CC30</f>
        <v>0</v>
      </c>
      <c r="CD40" s="161">
        <f>Ops!CD30</f>
        <v>0</v>
      </c>
      <c r="CE40" s="161">
        <f>Ops!CE30</f>
        <v>0</v>
      </c>
      <c r="CF40" s="161">
        <f>Ops!CF30</f>
        <v>0</v>
      </c>
      <c r="CG40" s="161">
        <f>Ops!CG30</f>
        <v>0</v>
      </c>
      <c r="CH40" s="161">
        <f>Ops!CH30</f>
        <v>0</v>
      </c>
      <c r="CI40" s="161">
        <f>Ops!CI30</f>
        <v>0</v>
      </c>
      <c r="CJ40" s="161">
        <f>Ops!CJ30</f>
        <v>0</v>
      </c>
      <c r="CK40" s="161">
        <f>Ops!CK30</f>
        <v>0</v>
      </c>
      <c r="CL40" s="161">
        <f>Ops!CL30</f>
        <v>0</v>
      </c>
      <c r="CM40" s="161">
        <f>Ops!CM30</f>
        <v>0</v>
      </c>
      <c r="CN40" s="161">
        <f>Ops!CN30</f>
        <v>0</v>
      </c>
      <c r="CO40" s="161">
        <f>Ops!CO30</f>
        <v>0</v>
      </c>
      <c r="CP40" s="161">
        <f>Ops!CP30</f>
        <v>0</v>
      </c>
      <c r="CQ40" s="161">
        <f>Ops!CQ30</f>
        <v>0</v>
      </c>
    </row>
    <row r="41" spans="1:95" ht="12.75" customHeight="1" x14ac:dyDescent="0.25">
      <c r="C41" t="s">
        <v>205</v>
      </c>
      <c r="H41" s="54" t="s">
        <v>3</v>
      </c>
      <c r="N41" s="35" t="e">
        <f>SUM(P41:DD41)</f>
        <v>#REF!</v>
      </c>
      <c r="O41" s="51"/>
      <c r="P41" s="51">
        <f>P40*P39</f>
        <v>0</v>
      </c>
      <c r="Q41" s="51">
        <f t="shared" ref="Q41:CB41" si="12">Q40*Q39</f>
        <v>0</v>
      </c>
      <c r="R41" s="51">
        <f t="shared" si="12"/>
        <v>0</v>
      </c>
      <c r="S41" s="51">
        <f t="shared" si="12"/>
        <v>4074.2858019829564</v>
      </c>
      <c r="T41" s="51" t="e">
        <f t="shared" si="12"/>
        <v>#REF!</v>
      </c>
      <c r="U41" s="51">
        <f t="shared" si="12"/>
        <v>4074.2858019829564</v>
      </c>
      <c r="V41" s="51" t="e">
        <f t="shared" si="12"/>
        <v>#REF!</v>
      </c>
      <c r="W41" s="51">
        <f t="shared" si="12"/>
        <v>4074.2858019829564</v>
      </c>
      <c r="X41" s="51" t="e">
        <f t="shared" si="12"/>
        <v>#REF!</v>
      </c>
      <c r="Y41" s="51">
        <f t="shared" si="12"/>
        <v>4074.2858019829564</v>
      </c>
      <c r="Z41" s="51" t="e">
        <f t="shared" si="12"/>
        <v>#REF!</v>
      </c>
      <c r="AA41" s="51">
        <f t="shared" si="12"/>
        <v>4074.2858019829564</v>
      </c>
      <c r="AB41" s="51" t="e">
        <f t="shared" si="12"/>
        <v>#REF!</v>
      </c>
      <c r="AC41" s="51">
        <f t="shared" si="12"/>
        <v>4074.2858019829564</v>
      </c>
      <c r="AD41" s="51" t="e">
        <f t="shared" si="12"/>
        <v>#REF!</v>
      </c>
      <c r="AE41" s="51">
        <f t="shared" si="12"/>
        <v>4074.2858019829564</v>
      </c>
      <c r="AF41" s="51" t="e">
        <f t="shared" si="12"/>
        <v>#REF!</v>
      </c>
      <c r="AG41" s="51">
        <f t="shared" si="12"/>
        <v>4074.2858019829564</v>
      </c>
      <c r="AH41" s="51" t="e">
        <f t="shared" si="12"/>
        <v>#REF!</v>
      </c>
      <c r="AI41" s="51">
        <f t="shared" si="12"/>
        <v>4074.2858019829564</v>
      </c>
      <c r="AJ41" s="51" t="e">
        <f t="shared" si="12"/>
        <v>#REF!</v>
      </c>
      <c r="AK41" s="51">
        <f t="shared" si="12"/>
        <v>4074.2858019829564</v>
      </c>
      <c r="AL41" s="51" t="e">
        <f t="shared" si="12"/>
        <v>#REF!</v>
      </c>
      <c r="AM41" s="51">
        <f t="shared" si="12"/>
        <v>4074.2858019829564</v>
      </c>
      <c r="AN41" s="51" t="e">
        <f t="shared" si="12"/>
        <v>#REF!</v>
      </c>
      <c r="AO41" s="51">
        <f t="shared" si="12"/>
        <v>4074.2858019829564</v>
      </c>
      <c r="AP41" s="51" t="e">
        <f t="shared" si="12"/>
        <v>#REF!</v>
      </c>
      <c r="AQ41" s="51">
        <f t="shared" si="12"/>
        <v>4074.2858019829564</v>
      </c>
      <c r="AR41" s="51" t="e">
        <f t="shared" si="12"/>
        <v>#REF!</v>
      </c>
      <c r="AS41" s="51">
        <f t="shared" si="12"/>
        <v>4074.2858019829564</v>
      </c>
      <c r="AT41" s="51" t="e">
        <f t="shared" si="12"/>
        <v>#REF!</v>
      </c>
      <c r="AU41" s="51">
        <f t="shared" si="12"/>
        <v>4074.2858019829564</v>
      </c>
      <c r="AV41" s="51" t="e">
        <f t="shared" si="12"/>
        <v>#REF!</v>
      </c>
      <c r="AW41" s="51">
        <f t="shared" si="12"/>
        <v>4074.2858019829564</v>
      </c>
      <c r="AX41" s="51" t="e">
        <f t="shared" si="12"/>
        <v>#REF!</v>
      </c>
      <c r="AY41" s="51">
        <f t="shared" si="12"/>
        <v>4074.2858019829564</v>
      </c>
      <c r="AZ41" s="51" t="e">
        <f t="shared" si="12"/>
        <v>#REF!</v>
      </c>
      <c r="BA41" s="51">
        <f t="shared" si="12"/>
        <v>4074.2858019829564</v>
      </c>
      <c r="BB41" s="51" t="e">
        <f t="shared" si="12"/>
        <v>#REF!</v>
      </c>
      <c r="BC41" s="51">
        <f t="shared" si="12"/>
        <v>4074.2858019829564</v>
      </c>
      <c r="BD41" s="51" t="e">
        <f t="shared" si="12"/>
        <v>#REF!</v>
      </c>
      <c r="BE41" s="51">
        <f t="shared" si="12"/>
        <v>4074.2858019829564</v>
      </c>
      <c r="BF41" s="51" t="e">
        <f t="shared" si="12"/>
        <v>#REF!</v>
      </c>
      <c r="BG41" s="51">
        <f t="shared" si="12"/>
        <v>4074.2858019829564</v>
      </c>
      <c r="BH41" s="51" t="e">
        <f t="shared" si="12"/>
        <v>#REF!</v>
      </c>
      <c r="BI41" s="51">
        <f t="shared" si="12"/>
        <v>4074.2858019829564</v>
      </c>
      <c r="BJ41" s="51" t="e">
        <f t="shared" si="12"/>
        <v>#REF!</v>
      </c>
      <c r="BK41" s="51">
        <f t="shared" si="12"/>
        <v>4074.2858019829564</v>
      </c>
      <c r="BL41" s="51" t="e">
        <f t="shared" si="12"/>
        <v>#REF!</v>
      </c>
      <c r="BM41" s="51">
        <f t="shared" si="12"/>
        <v>4074.2858019829564</v>
      </c>
      <c r="BN41" s="51" t="e">
        <f t="shared" si="12"/>
        <v>#REF!</v>
      </c>
      <c r="BO41" s="51">
        <f t="shared" si="12"/>
        <v>4074.2858019829564</v>
      </c>
      <c r="BP41" s="51" t="e">
        <f t="shared" si="12"/>
        <v>#REF!</v>
      </c>
      <c r="BQ41" s="51">
        <f t="shared" si="12"/>
        <v>4074.2858019829564</v>
      </c>
      <c r="BR41" s="51">
        <f t="shared" si="12"/>
        <v>0</v>
      </c>
      <c r="BS41" s="51">
        <f t="shared" si="12"/>
        <v>0</v>
      </c>
      <c r="BT41" s="51">
        <f t="shared" si="12"/>
        <v>0</v>
      </c>
      <c r="BU41" s="51">
        <f t="shared" si="12"/>
        <v>0</v>
      </c>
      <c r="BV41" s="51">
        <f t="shared" si="12"/>
        <v>0</v>
      </c>
      <c r="BW41" s="51">
        <f t="shared" si="12"/>
        <v>0</v>
      </c>
      <c r="BX41" s="51">
        <f t="shared" si="12"/>
        <v>0</v>
      </c>
      <c r="BY41" s="51">
        <f t="shared" si="12"/>
        <v>0</v>
      </c>
      <c r="BZ41" s="51">
        <f t="shared" si="12"/>
        <v>0</v>
      </c>
      <c r="CA41" s="51">
        <f t="shared" si="12"/>
        <v>0</v>
      </c>
      <c r="CB41" s="51">
        <f t="shared" si="12"/>
        <v>0</v>
      </c>
      <c r="CC41" s="51">
        <f t="shared" ref="CC41:CQ41" si="13">CC40*CC39</f>
        <v>0</v>
      </c>
      <c r="CD41" s="51">
        <f t="shared" si="13"/>
        <v>0</v>
      </c>
      <c r="CE41" s="51">
        <f t="shared" si="13"/>
        <v>0</v>
      </c>
      <c r="CF41" s="51">
        <f t="shared" si="13"/>
        <v>0</v>
      </c>
      <c r="CG41" s="51">
        <f t="shared" si="13"/>
        <v>0</v>
      </c>
      <c r="CH41" s="51">
        <f t="shared" si="13"/>
        <v>0</v>
      </c>
      <c r="CI41" s="51">
        <f t="shared" si="13"/>
        <v>0</v>
      </c>
      <c r="CJ41" s="51">
        <f t="shared" si="13"/>
        <v>0</v>
      </c>
      <c r="CK41" s="51">
        <f t="shared" si="13"/>
        <v>0</v>
      </c>
      <c r="CL41" s="51">
        <f t="shared" si="13"/>
        <v>0</v>
      </c>
      <c r="CM41" s="51">
        <f t="shared" si="13"/>
        <v>0</v>
      </c>
      <c r="CN41" s="51">
        <f t="shared" si="13"/>
        <v>0</v>
      </c>
      <c r="CO41" s="51">
        <f t="shared" si="13"/>
        <v>0</v>
      </c>
      <c r="CP41" s="51">
        <f t="shared" si="13"/>
        <v>0</v>
      </c>
      <c r="CQ41" s="51">
        <f t="shared" si="13"/>
        <v>0</v>
      </c>
    </row>
    <row r="42" spans="1:95" ht="12.75" customHeight="1" x14ac:dyDescent="0.25">
      <c r="H42" s="54"/>
      <c r="N42" s="19"/>
    </row>
    <row r="43" spans="1:95" s="292" customFormat="1" ht="12.75" customHeight="1" x14ac:dyDescent="0.25">
      <c r="A43" s="299" t="s">
        <v>53</v>
      </c>
      <c r="I43" s="313"/>
      <c r="J43" s="284"/>
    </row>
  </sheetData>
  <conditionalFormatting sqref="CU7:DD7">
    <cfRule type="expression" dxfId="104" priority="5">
      <formula>CU7="Ops"</formula>
    </cfRule>
    <cfRule type="expression" dxfId="103" priority="6">
      <formula>CU7="Const"</formula>
    </cfRule>
  </conditionalFormatting>
  <conditionalFormatting sqref="P7:CT7">
    <cfRule type="expression" dxfId="102" priority="3">
      <formula>P7="Ops"</formula>
    </cfRule>
    <cfRule type="expression" dxfId="101" priority="4">
      <formula>P7="Const"</formula>
    </cfRule>
  </conditionalFormatting>
  <conditionalFormatting sqref="J36">
    <cfRule type="containsText" dxfId="100" priority="1" operator="containsText" text="TRUE">
      <formula>NOT(ISERROR(SEARCH("TRUE",J36)))</formula>
    </cfRule>
    <cfRule type="containsText" dxfId="99" priority="2" operator="containsText" text="FALSE">
      <formula>NOT(ISERROR(SEARCH("FALSE",J36)))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Button 5">
              <controlPr defaultSize="0" print="0" autoFill="0" autoPict="0" macro="[0]!OptimiseTariff">
                <anchor moveWithCells="1">
                  <from>
                    <xdr:col>1</xdr:col>
                    <xdr:colOff>190500</xdr:colOff>
                    <xdr:row>3</xdr:row>
                    <xdr:rowOff>152400</xdr:rowOff>
                  </from>
                  <to>
                    <xdr:col>4</xdr:col>
                    <xdr:colOff>285750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FB05-12C0-426F-995A-AC2AF6BF3876}">
  <sheetPr codeName="Sheet8">
    <tabColor theme="3" tint="-0.499984740745262"/>
  </sheetPr>
  <dimension ref="A1:IE141"/>
  <sheetViews>
    <sheetView showGridLines="0" zoomScale="50" zoomScaleNormal="50" workbookViewId="0">
      <pane xSplit="14" ySplit="8" topLeftCell="O87" activePane="bottomRight" state="frozen"/>
      <selection activeCell="I6" sqref="I6"/>
      <selection pane="topRight" activeCell="I6" sqref="I6"/>
      <selection pane="bottomLeft" activeCell="I6" sqref="I6"/>
      <selection pane="bottomRight" activeCell="N126" sqref="N126"/>
    </sheetView>
  </sheetViews>
  <sheetFormatPr defaultColWidth="0" defaultRowHeight="12.75" customHeight="1" zeroHeight="1" x14ac:dyDescent="0.25"/>
  <cols>
    <col min="1" max="3" width="3.28515625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1:108" s="282" customFormat="1" ht="12.75" customHeight="1" x14ac:dyDescent="0.2">
      <c r="H1" s="284"/>
    </row>
    <row r="2" spans="1:108" s="282" customFormat="1" ht="12.75" customHeight="1" x14ac:dyDescent="0.2">
      <c r="C2" s="282" t="s">
        <v>228</v>
      </c>
      <c r="H2" s="284" t="s">
        <v>3</v>
      </c>
      <c r="J2" s="290">
        <f>J55</f>
        <v>0.8</v>
      </c>
    </row>
    <row r="3" spans="1:108" s="282" customFormat="1" ht="12.75" customHeight="1" x14ac:dyDescent="0.2">
      <c r="C3" s="282" t="s">
        <v>261</v>
      </c>
      <c r="H3" s="284" t="s">
        <v>3</v>
      </c>
      <c r="J3" s="291">
        <f>J56</f>
        <v>1.2</v>
      </c>
    </row>
    <row r="4" spans="1:108" s="282" customFormat="1" ht="12.75" customHeight="1" x14ac:dyDescent="0.2">
      <c r="H4" s="284"/>
    </row>
    <row r="5" spans="1:108" s="282" customFormat="1" ht="12.75" customHeight="1" x14ac:dyDescent="0.2">
      <c r="C5" s="282" t="s">
        <v>262</v>
      </c>
      <c r="H5" s="284" t="s">
        <v>6</v>
      </c>
      <c r="J5" s="290" t="e">
        <f>J75/J52</f>
        <v>#REF!</v>
      </c>
      <c r="M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C6" s="282" t="s">
        <v>263</v>
      </c>
      <c r="H6" s="284" t="s">
        <v>50</v>
      </c>
      <c r="J6" s="291">
        <f>J68</f>
        <v>1.1999999999999995</v>
      </c>
      <c r="M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C7" s="282" t="s">
        <v>264</v>
      </c>
      <c r="H7" s="284" t="s">
        <v>10</v>
      </c>
      <c r="J7" s="291" t="e">
        <f>IF(J5=J55,"Gearing","Min DSCR")</f>
        <v>#REF!</v>
      </c>
      <c r="M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H8" s="284"/>
    </row>
    <row r="9" spans="1:108" s="5" customFormat="1" ht="12.75" customHeight="1" x14ac:dyDescent="0.2">
      <c r="A9" s="5" t="s">
        <v>208</v>
      </c>
      <c r="H9" s="137"/>
      <c r="I9" s="8"/>
    </row>
    <row r="10" spans="1:108" ht="12.75" customHeight="1" x14ac:dyDescent="0.25">
      <c r="H10" s="54"/>
      <c r="N10" s="19"/>
    </row>
    <row r="11" spans="1:108" ht="12.75" customHeight="1" x14ac:dyDescent="0.25">
      <c r="C11" t="s">
        <v>209</v>
      </c>
      <c r="H11" s="54" t="s">
        <v>10</v>
      </c>
      <c r="J11" s="186" t="s">
        <v>148</v>
      </c>
      <c r="L11" s="82"/>
      <c r="N11" s="19"/>
    </row>
    <row r="12" spans="1:108" ht="12.75" customHeight="1" x14ac:dyDescent="0.25">
      <c r="H12" s="54"/>
      <c r="N12" s="19"/>
    </row>
    <row r="13" spans="1:108" ht="12.75" customHeight="1" x14ac:dyDescent="0.25">
      <c r="B13" s="21" t="s">
        <v>19</v>
      </c>
      <c r="H13" s="54"/>
      <c r="N13" s="19"/>
    </row>
    <row r="14" spans="1:108" ht="12.75" customHeight="1" x14ac:dyDescent="0.25">
      <c r="H14" s="54"/>
      <c r="J14" s="38" t="s">
        <v>210</v>
      </c>
      <c r="N14" s="19"/>
    </row>
    <row r="15" spans="1:108" ht="12.75" customHeight="1" x14ac:dyDescent="0.25">
      <c r="C15" t="s">
        <v>97</v>
      </c>
      <c r="H15" s="54" t="s">
        <v>3</v>
      </c>
      <c r="J15" s="84" t="e">
        <f>N15/$N$18</f>
        <v>#REF!</v>
      </c>
      <c r="N15" s="25" t="e">
        <f>SUM(P15:DD15)</f>
        <v>#REF!</v>
      </c>
      <c r="P15" s="10" t="e">
        <f>CAPEX!P29</f>
        <v>#REF!</v>
      </c>
      <c r="Q15" s="10" t="e">
        <f>CAPEX!Q29</f>
        <v>#REF!</v>
      </c>
      <c r="R15" s="10" t="e">
        <f>CAPEX!R29</f>
        <v>#REF!</v>
      </c>
      <c r="S15" s="10" t="e">
        <f>CAPEX!S29</f>
        <v>#REF!</v>
      </c>
      <c r="T15" s="10" t="e">
        <f>CAPEX!T29</f>
        <v>#REF!</v>
      </c>
      <c r="U15" s="10" t="e">
        <f>CAPEX!U29</f>
        <v>#REF!</v>
      </c>
      <c r="V15" s="10" t="e">
        <f>CAPEX!V29</f>
        <v>#REF!</v>
      </c>
      <c r="W15" s="10" t="e">
        <f>CAPEX!W29</f>
        <v>#REF!</v>
      </c>
      <c r="X15" s="10" t="e">
        <f>CAPEX!X29</f>
        <v>#REF!</v>
      </c>
      <c r="Y15" s="10" t="e">
        <f>CAPEX!Y29</f>
        <v>#REF!</v>
      </c>
      <c r="Z15" s="10" t="e">
        <f>CAPEX!Z29</f>
        <v>#REF!</v>
      </c>
      <c r="AA15" s="10" t="e">
        <f>CAPEX!AA29</f>
        <v>#REF!</v>
      </c>
      <c r="AB15" s="10" t="e">
        <f>CAPEX!AB29</f>
        <v>#REF!</v>
      </c>
      <c r="AC15" s="10" t="e">
        <f>CAPEX!AC29</f>
        <v>#REF!</v>
      </c>
      <c r="AD15" s="10" t="e">
        <f>CAPEX!AD29</f>
        <v>#REF!</v>
      </c>
      <c r="AE15" s="10" t="e">
        <f>CAPEX!AE29</f>
        <v>#REF!</v>
      </c>
      <c r="AF15" s="10" t="e">
        <f>CAPEX!AF29</f>
        <v>#REF!</v>
      </c>
      <c r="AG15" s="10" t="e">
        <f>CAPEX!AG29</f>
        <v>#REF!</v>
      </c>
      <c r="AH15" s="10" t="e">
        <f>CAPEX!AH29</f>
        <v>#REF!</v>
      </c>
      <c r="AI15" s="10" t="e">
        <f>CAPEX!AI29</f>
        <v>#REF!</v>
      </c>
      <c r="AJ15" s="10" t="e">
        <f>CAPEX!AJ29</f>
        <v>#REF!</v>
      </c>
      <c r="AK15" s="10" t="e">
        <f>CAPEX!AK29</f>
        <v>#REF!</v>
      </c>
      <c r="AL15" s="10" t="e">
        <f>CAPEX!AL29</f>
        <v>#REF!</v>
      </c>
      <c r="AM15" s="10" t="e">
        <f>CAPEX!AM29</f>
        <v>#REF!</v>
      </c>
      <c r="AN15" s="10" t="e">
        <f>CAPEX!AN29</f>
        <v>#REF!</v>
      </c>
      <c r="AO15" s="10" t="e">
        <f>CAPEX!AO29</f>
        <v>#REF!</v>
      </c>
      <c r="AP15" s="10" t="e">
        <f>CAPEX!AP29</f>
        <v>#REF!</v>
      </c>
      <c r="AQ15" s="10" t="e">
        <f>CAPEX!AQ29</f>
        <v>#REF!</v>
      </c>
      <c r="AR15" s="10" t="e">
        <f>CAPEX!AR29</f>
        <v>#REF!</v>
      </c>
      <c r="AS15" s="10" t="e">
        <f>CAPEX!AS29</f>
        <v>#REF!</v>
      </c>
      <c r="AT15" s="10" t="e">
        <f>CAPEX!AT29</f>
        <v>#REF!</v>
      </c>
      <c r="AU15" s="10" t="e">
        <f>CAPEX!AU29</f>
        <v>#REF!</v>
      </c>
      <c r="AV15" s="10" t="e">
        <f>CAPEX!AV29</f>
        <v>#REF!</v>
      </c>
      <c r="AW15" s="10" t="e">
        <f>CAPEX!AW29</f>
        <v>#REF!</v>
      </c>
      <c r="AX15" s="10" t="e">
        <f>CAPEX!AX29</f>
        <v>#REF!</v>
      </c>
      <c r="AY15" s="10" t="e">
        <f>CAPEX!AY29</f>
        <v>#REF!</v>
      </c>
      <c r="AZ15" s="10" t="e">
        <f>CAPEX!AZ29</f>
        <v>#REF!</v>
      </c>
      <c r="BA15" s="10" t="e">
        <f>CAPEX!BA29</f>
        <v>#REF!</v>
      </c>
      <c r="BB15" s="10" t="e">
        <f>CAPEX!BB29</f>
        <v>#REF!</v>
      </c>
      <c r="BC15" s="10" t="e">
        <f>CAPEX!BC29</f>
        <v>#REF!</v>
      </c>
      <c r="BD15" s="10" t="e">
        <f>CAPEX!BD29</f>
        <v>#REF!</v>
      </c>
      <c r="BE15" s="10" t="e">
        <f>CAPEX!BE29</f>
        <v>#REF!</v>
      </c>
      <c r="BF15" s="10" t="e">
        <f>CAPEX!BF29</f>
        <v>#REF!</v>
      </c>
      <c r="BG15" s="10" t="e">
        <f>CAPEX!BG29</f>
        <v>#REF!</v>
      </c>
      <c r="BH15" s="10" t="e">
        <f>CAPEX!BH29</f>
        <v>#REF!</v>
      </c>
      <c r="BI15" s="10" t="e">
        <f>CAPEX!BI29</f>
        <v>#REF!</v>
      </c>
      <c r="BJ15" s="10" t="e">
        <f>CAPEX!BJ29</f>
        <v>#REF!</v>
      </c>
      <c r="BK15" s="10" t="e">
        <f>CAPEX!BK29</f>
        <v>#REF!</v>
      </c>
      <c r="BL15" s="10" t="e">
        <f>CAPEX!BL29</f>
        <v>#REF!</v>
      </c>
      <c r="BM15" s="10" t="e">
        <f>CAPEX!BM29</f>
        <v>#REF!</v>
      </c>
      <c r="BN15" s="10" t="e">
        <f>CAPEX!BN29</f>
        <v>#REF!</v>
      </c>
      <c r="BO15" s="10" t="e">
        <f>CAPEX!BO29</f>
        <v>#REF!</v>
      </c>
      <c r="BP15" s="10" t="e">
        <f>CAPEX!BP29</f>
        <v>#REF!</v>
      </c>
      <c r="BQ15" s="10" t="e">
        <f>CAPEX!BQ29</f>
        <v>#REF!</v>
      </c>
      <c r="BR15" s="10" t="e">
        <f>CAPEX!BR29</f>
        <v>#REF!</v>
      </c>
      <c r="BS15" s="10" t="e">
        <f>CAPEX!BS29</f>
        <v>#REF!</v>
      </c>
      <c r="BT15" s="10" t="e">
        <f>CAPEX!BT29</f>
        <v>#REF!</v>
      </c>
      <c r="BU15" s="10" t="e">
        <f>CAPEX!BU29</f>
        <v>#REF!</v>
      </c>
      <c r="BV15" s="10" t="e">
        <f>CAPEX!BV29</f>
        <v>#REF!</v>
      </c>
      <c r="BW15" s="10" t="e">
        <f>CAPEX!BW29</f>
        <v>#REF!</v>
      </c>
      <c r="BX15" s="10" t="e">
        <f>CAPEX!BX29</f>
        <v>#REF!</v>
      </c>
      <c r="BY15" s="10" t="e">
        <f>CAPEX!BY29</f>
        <v>#REF!</v>
      </c>
      <c r="BZ15" s="10" t="e">
        <f>CAPEX!BZ29</f>
        <v>#REF!</v>
      </c>
      <c r="CA15" s="10" t="e">
        <f>CAPEX!CA29</f>
        <v>#REF!</v>
      </c>
      <c r="CB15" s="10" t="e">
        <f>CAPEX!CB29</f>
        <v>#REF!</v>
      </c>
      <c r="CC15" s="10" t="e">
        <f>CAPEX!CC29</f>
        <v>#REF!</v>
      </c>
      <c r="CD15" s="10" t="e">
        <f>CAPEX!CD29</f>
        <v>#REF!</v>
      </c>
      <c r="CE15" s="10" t="e">
        <f>CAPEX!CE29</f>
        <v>#REF!</v>
      </c>
      <c r="CF15" s="10" t="e">
        <f>CAPEX!CF29</f>
        <v>#REF!</v>
      </c>
      <c r="CG15" s="10" t="e">
        <f>CAPEX!CG29</f>
        <v>#REF!</v>
      </c>
      <c r="CH15" s="10" t="e">
        <f>CAPEX!CH29</f>
        <v>#REF!</v>
      </c>
      <c r="CI15" s="10" t="e">
        <f>CAPEX!CI29</f>
        <v>#REF!</v>
      </c>
      <c r="CJ15" s="10" t="e">
        <f>CAPEX!CJ29</f>
        <v>#REF!</v>
      </c>
      <c r="CK15" s="10" t="e">
        <f>CAPEX!CK29</f>
        <v>#REF!</v>
      </c>
      <c r="CL15" s="10" t="e">
        <f>CAPEX!CL29</f>
        <v>#REF!</v>
      </c>
      <c r="CM15" s="10" t="e">
        <f>CAPEX!CM29</f>
        <v>#REF!</v>
      </c>
      <c r="CN15" s="10" t="e">
        <f>CAPEX!CN29</f>
        <v>#REF!</v>
      </c>
      <c r="CO15" s="10" t="e">
        <f>CAPEX!CO29</f>
        <v>#REF!</v>
      </c>
      <c r="CP15" s="10" t="e">
        <f>CAPEX!CP29</f>
        <v>#REF!</v>
      </c>
      <c r="CQ15" s="10" t="e">
        <f>CAPEX!CQ29</f>
        <v>#REF!</v>
      </c>
      <c r="CR15" s="10">
        <f>CAPEX!CR29</f>
        <v>0</v>
      </c>
      <c r="CS15" s="10">
        <f>CAPEX!CS29</f>
        <v>0</v>
      </c>
      <c r="CT15" s="10">
        <f>CAPEX!CT29</f>
        <v>0</v>
      </c>
      <c r="CU15" s="10"/>
      <c r="CV15" s="10"/>
      <c r="CW15" s="10"/>
      <c r="CX15" s="10"/>
      <c r="CY15" s="10"/>
      <c r="CZ15" s="10"/>
      <c r="DA15" s="10"/>
      <c r="DB15" s="10"/>
      <c r="DC15" s="10"/>
      <c r="DD15" s="10"/>
    </row>
    <row r="16" spans="1:108" ht="12.75" customHeight="1" x14ac:dyDescent="0.25">
      <c r="C16" t="s">
        <v>126</v>
      </c>
      <c r="H16" s="54" t="s">
        <v>3</v>
      </c>
      <c r="J16" s="84" t="e">
        <f>N16/$N$18</f>
        <v>#REF!</v>
      </c>
      <c r="N16" s="25">
        <f>SUM(P16:DD16)</f>
        <v>500</v>
      </c>
      <c r="P16" s="173">
        <v>300</v>
      </c>
      <c r="Q16" s="173">
        <v>100</v>
      </c>
      <c r="R16" s="173">
        <v>100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0</v>
      </c>
      <c r="AJ16" s="10">
        <v>0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Q16" s="10">
        <v>0</v>
      </c>
      <c r="AR16" s="10">
        <v>0</v>
      </c>
      <c r="AS16" s="10">
        <v>0</v>
      </c>
      <c r="AT16" s="10">
        <v>0</v>
      </c>
      <c r="AU16" s="10">
        <v>0</v>
      </c>
      <c r="AV16" s="10">
        <v>0</v>
      </c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0</v>
      </c>
      <c r="BD16" s="10">
        <v>0</v>
      </c>
      <c r="BE16" s="10">
        <v>0</v>
      </c>
      <c r="BF16" s="10">
        <v>0</v>
      </c>
      <c r="BG16" s="10">
        <v>0</v>
      </c>
      <c r="BH16" s="10">
        <v>0</v>
      </c>
      <c r="BI16" s="10">
        <v>0</v>
      </c>
      <c r="BJ16" s="10">
        <v>0</v>
      </c>
      <c r="BK16" s="10">
        <v>0</v>
      </c>
      <c r="BL16" s="10">
        <v>0</v>
      </c>
      <c r="BM16" s="10">
        <v>0</v>
      </c>
      <c r="BN16" s="10">
        <v>0</v>
      </c>
      <c r="BO16" s="10">
        <v>0</v>
      </c>
      <c r="BP16" s="10">
        <v>0</v>
      </c>
      <c r="BQ16" s="10">
        <v>0</v>
      </c>
      <c r="BR16" s="10">
        <v>0</v>
      </c>
      <c r="BS16" s="10">
        <v>0</v>
      </c>
      <c r="BT16" s="10">
        <v>0</v>
      </c>
      <c r="BU16" s="10">
        <v>0</v>
      </c>
      <c r="BV16" s="10">
        <v>0</v>
      </c>
      <c r="BW16" s="10">
        <v>0</v>
      </c>
      <c r="BX16" s="10">
        <v>0</v>
      </c>
      <c r="BY16" s="10">
        <v>0</v>
      </c>
      <c r="BZ16" s="10">
        <v>0</v>
      </c>
      <c r="CA16" s="10">
        <v>0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10">
        <v>0</v>
      </c>
      <c r="CI16" s="10">
        <v>0</v>
      </c>
      <c r="CJ16" s="10">
        <v>0</v>
      </c>
      <c r="CK16" s="10">
        <v>0</v>
      </c>
      <c r="CL16" s="10">
        <v>0</v>
      </c>
      <c r="CM16" s="10">
        <v>0</v>
      </c>
      <c r="CN16" s="10">
        <v>0</v>
      </c>
      <c r="CO16" s="10">
        <v>0</v>
      </c>
      <c r="CP16" s="10">
        <v>0</v>
      </c>
      <c r="CQ16" s="10">
        <v>0</v>
      </c>
      <c r="CR16" s="10">
        <v>0</v>
      </c>
      <c r="CS16" s="10">
        <v>0</v>
      </c>
      <c r="CT16" s="10">
        <v>0</v>
      </c>
      <c r="CU16" s="10"/>
      <c r="CV16" s="10"/>
      <c r="CW16" s="10"/>
      <c r="CX16" s="10"/>
      <c r="CY16" s="10"/>
      <c r="CZ16" s="10"/>
      <c r="DA16" s="10"/>
      <c r="DB16" s="10"/>
      <c r="DC16" s="10"/>
      <c r="DD16" s="10"/>
    </row>
    <row r="17" spans="1:108" ht="12.75" customHeight="1" x14ac:dyDescent="0.25">
      <c r="C17" s="27" t="s">
        <v>211</v>
      </c>
      <c r="D17" s="27"/>
      <c r="E17" s="27"/>
      <c r="F17" s="27"/>
      <c r="G17" s="27"/>
      <c r="H17" s="160" t="s">
        <v>3</v>
      </c>
      <c r="I17" s="27"/>
      <c r="J17" s="187" t="e">
        <f>N17/$N$18</f>
        <v>#REF!</v>
      </c>
      <c r="K17" s="27"/>
      <c r="L17" s="27"/>
      <c r="M17" s="27"/>
      <c r="N17" s="32">
        <f>SUM(P17:DD17)</f>
        <v>333</v>
      </c>
      <c r="O17" s="27"/>
      <c r="P17" s="188">
        <v>111</v>
      </c>
      <c r="Q17" s="188">
        <v>111</v>
      </c>
      <c r="R17" s="188">
        <v>111</v>
      </c>
      <c r="S17" s="161">
        <v>0</v>
      </c>
      <c r="T17" s="161">
        <v>0</v>
      </c>
      <c r="U17" s="161">
        <v>0</v>
      </c>
      <c r="V17" s="161">
        <v>0</v>
      </c>
      <c r="W17" s="161">
        <v>0</v>
      </c>
      <c r="X17" s="161">
        <v>0</v>
      </c>
      <c r="Y17" s="161">
        <v>0</v>
      </c>
      <c r="Z17" s="161">
        <v>0</v>
      </c>
      <c r="AA17" s="161">
        <v>0</v>
      </c>
      <c r="AB17" s="161">
        <v>0</v>
      </c>
      <c r="AC17" s="161">
        <v>0</v>
      </c>
      <c r="AD17" s="161">
        <v>0</v>
      </c>
      <c r="AE17" s="161">
        <v>0</v>
      </c>
      <c r="AF17" s="161">
        <v>0</v>
      </c>
      <c r="AG17" s="161">
        <v>0</v>
      </c>
      <c r="AH17" s="161">
        <v>0</v>
      </c>
      <c r="AI17" s="161">
        <v>0</v>
      </c>
      <c r="AJ17" s="161">
        <v>0</v>
      </c>
      <c r="AK17" s="161">
        <v>0</v>
      </c>
      <c r="AL17" s="161">
        <v>0</v>
      </c>
      <c r="AM17" s="161">
        <v>0</v>
      </c>
      <c r="AN17" s="161">
        <v>0</v>
      </c>
      <c r="AO17" s="161">
        <v>0</v>
      </c>
      <c r="AP17" s="161">
        <v>0</v>
      </c>
      <c r="AQ17" s="161">
        <v>0</v>
      </c>
      <c r="AR17" s="161">
        <v>0</v>
      </c>
      <c r="AS17" s="161">
        <v>0</v>
      </c>
      <c r="AT17" s="161">
        <v>0</v>
      </c>
      <c r="AU17" s="161">
        <v>0</v>
      </c>
      <c r="AV17" s="161">
        <v>0</v>
      </c>
      <c r="AW17" s="161">
        <v>0</v>
      </c>
      <c r="AX17" s="161">
        <v>0</v>
      </c>
      <c r="AY17" s="161">
        <v>0</v>
      </c>
      <c r="AZ17" s="161">
        <v>0</v>
      </c>
      <c r="BA17" s="161">
        <v>0</v>
      </c>
      <c r="BB17" s="161">
        <v>0</v>
      </c>
      <c r="BC17" s="161">
        <v>0</v>
      </c>
      <c r="BD17" s="161">
        <v>0</v>
      </c>
      <c r="BE17" s="161">
        <v>0</v>
      </c>
      <c r="BF17" s="161">
        <v>0</v>
      </c>
      <c r="BG17" s="161">
        <v>0</v>
      </c>
      <c r="BH17" s="161">
        <v>0</v>
      </c>
      <c r="BI17" s="161">
        <v>0</v>
      </c>
      <c r="BJ17" s="161">
        <v>0</v>
      </c>
      <c r="BK17" s="161">
        <v>0</v>
      </c>
      <c r="BL17" s="161">
        <v>0</v>
      </c>
      <c r="BM17" s="161">
        <v>0</v>
      </c>
      <c r="BN17" s="161">
        <v>0</v>
      </c>
      <c r="BO17" s="161">
        <v>0</v>
      </c>
      <c r="BP17" s="161">
        <v>0</v>
      </c>
      <c r="BQ17" s="161">
        <v>0</v>
      </c>
      <c r="BR17" s="161">
        <v>0</v>
      </c>
      <c r="BS17" s="161">
        <v>0</v>
      </c>
      <c r="BT17" s="161">
        <v>0</v>
      </c>
      <c r="BU17" s="161">
        <v>0</v>
      </c>
      <c r="BV17" s="161">
        <v>0</v>
      </c>
      <c r="BW17" s="161">
        <v>0</v>
      </c>
      <c r="BX17" s="161">
        <v>0</v>
      </c>
      <c r="BY17" s="161">
        <v>0</v>
      </c>
      <c r="BZ17" s="161">
        <v>0</v>
      </c>
      <c r="CA17" s="161">
        <v>0</v>
      </c>
      <c r="CB17" s="161">
        <v>0</v>
      </c>
      <c r="CC17" s="161">
        <v>0</v>
      </c>
      <c r="CD17" s="161">
        <v>0</v>
      </c>
      <c r="CE17" s="161">
        <v>0</v>
      </c>
      <c r="CF17" s="161">
        <v>0</v>
      </c>
      <c r="CG17" s="161">
        <v>0</v>
      </c>
      <c r="CH17" s="161">
        <v>0</v>
      </c>
      <c r="CI17" s="161">
        <v>0</v>
      </c>
      <c r="CJ17" s="161">
        <v>0</v>
      </c>
      <c r="CK17" s="161">
        <v>0</v>
      </c>
      <c r="CL17" s="161">
        <v>0</v>
      </c>
      <c r="CM17" s="161">
        <v>0</v>
      </c>
      <c r="CN17" s="161">
        <v>0</v>
      </c>
      <c r="CO17" s="161">
        <v>0</v>
      </c>
      <c r="CP17" s="161">
        <v>0</v>
      </c>
      <c r="CQ17" s="161">
        <v>0</v>
      </c>
      <c r="CR17" s="161">
        <v>0</v>
      </c>
      <c r="CS17" s="161">
        <v>0</v>
      </c>
      <c r="CT17" s="161">
        <v>0</v>
      </c>
      <c r="CU17" s="161"/>
      <c r="CV17" s="161"/>
      <c r="CW17" s="161"/>
      <c r="CX17" s="161"/>
      <c r="CY17" s="161"/>
      <c r="CZ17" s="161"/>
      <c r="DA17" s="161"/>
      <c r="DB17" s="161"/>
      <c r="DC17" s="161"/>
      <c r="DD17" s="161"/>
    </row>
    <row r="18" spans="1:108" ht="12.75" customHeight="1" x14ac:dyDescent="0.25">
      <c r="H18" s="54" t="s">
        <v>3</v>
      </c>
      <c r="J18" s="189" t="e">
        <f>SUM(J15:J17)</f>
        <v>#REF!</v>
      </c>
      <c r="N18" s="35" t="e">
        <f>SUM(P18:DD18)</f>
        <v>#REF!</v>
      </c>
      <c r="P18" s="51" t="e">
        <f t="shared" ref="P18:CA18" si="1">SUM(P15:P17)</f>
        <v>#REF!</v>
      </c>
      <c r="Q18" s="51" t="e">
        <f t="shared" si="1"/>
        <v>#REF!</v>
      </c>
      <c r="R18" s="51" t="e">
        <f t="shared" si="1"/>
        <v>#REF!</v>
      </c>
      <c r="S18" s="51" t="e">
        <f t="shared" si="1"/>
        <v>#REF!</v>
      </c>
      <c r="T18" s="51" t="e">
        <f t="shared" si="1"/>
        <v>#REF!</v>
      </c>
      <c r="U18" s="51" t="e">
        <f t="shared" si="1"/>
        <v>#REF!</v>
      </c>
      <c r="V18" s="51" t="e">
        <f t="shared" si="1"/>
        <v>#REF!</v>
      </c>
      <c r="W18" s="51" t="e">
        <f t="shared" si="1"/>
        <v>#REF!</v>
      </c>
      <c r="X18" s="51" t="e">
        <f t="shared" si="1"/>
        <v>#REF!</v>
      </c>
      <c r="Y18" s="51" t="e">
        <f t="shared" si="1"/>
        <v>#REF!</v>
      </c>
      <c r="Z18" s="51" t="e">
        <f t="shared" si="1"/>
        <v>#REF!</v>
      </c>
      <c r="AA18" s="51" t="e">
        <f t="shared" si="1"/>
        <v>#REF!</v>
      </c>
      <c r="AB18" s="51" t="e">
        <f t="shared" si="1"/>
        <v>#REF!</v>
      </c>
      <c r="AC18" s="51" t="e">
        <f t="shared" si="1"/>
        <v>#REF!</v>
      </c>
      <c r="AD18" s="51" t="e">
        <f t="shared" si="1"/>
        <v>#REF!</v>
      </c>
      <c r="AE18" s="51" t="e">
        <f t="shared" si="1"/>
        <v>#REF!</v>
      </c>
      <c r="AF18" s="51" t="e">
        <f t="shared" si="1"/>
        <v>#REF!</v>
      </c>
      <c r="AG18" s="51" t="e">
        <f t="shared" si="1"/>
        <v>#REF!</v>
      </c>
      <c r="AH18" s="51" t="e">
        <f t="shared" si="1"/>
        <v>#REF!</v>
      </c>
      <c r="AI18" s="51" t="e">
        <f t="shared" si="1"/>
        <v>#REF!</v>
      </c>
      <c r="AJ18" s="51" t="e">
        <f t="shared" si="1"/>
        <v>#REF!</v>
      </c>
      <c r="AK18" s="51" t="e">
        <f t="shared" si="1"/>
        <v>#REF!</v>
      </c>
      <c r="AL18" s="51" t="e">
        <f t="shared" si="1"/>
        <v>#REF!</v>
      </c>
      <c r="AM18" s="51" t="e">
        <f t="shared" si="1"/>
        <v>#REF!</v>
      </c>
      <c r="AN18" s="51" t="e">
        <f t="shared" si="1"/>
        <v>#REF!</v>
      </c>
      <c r="AO18" s="51" t="e">
        <f t="shared" si="1"/>
        <v>#REF!</v>
      </c>
      <c r="AP18" s="51" t="e">
        <f t="shared" si="1"/>
        <v>#REF!</v>
      </c>
      <c r="AQ18" s="51" t="e">
        <f t="shared" si="1"/>
        <v>#REF!</v>
      </c>
      <c r="AR18" s="51" t="e">
        <f t="shared" si="1"/>
        <v>#REF!</v>
      </c>
      <c r="AS18" s="51" t="e">
        <f t="shared" si="1"/>
        <v>#REF!</v>
      </c>
      <c r="AT18" s="51" t="e">
        <f t="shared" si="1"/>
        <v>#REF!</v>
      </c>
      <c r="AU18" s="51" t="e">
        <f t="shared" si="1"/>
        <v>#REF!</v>
      </c>
      <c r="AV18" s="51" t="e">
        <f t="shared" si="1"/>
        <v>#REF!</v>
      </c>
      <c r="AW18" s="51" t="e">
        <f t="shared" si="1"/>
        <v>#REF!</v>
      </c>
      <c r="AX18" s="51" t="e">
        <f t="shared" si="1"/>
        <v>#REF!</v>
      </c>
      <c r="AY18" s="51" t="e">
        <f t="shared" si="1"/>
        <v>#REF!</v>
      </c>
      <c r="AZ18" s="51" t="e">
        <f t="shared" si="1"/>
        <v>#REF!</v>
      </c>
      <c r="BA18" s="51" t="e">
        <f t="shared" si="1"/>
        <v>#REF!</v>
      </c>
      <c r="BB18" s="51" t="e">
        <f t="shared" si="1"/>
        <v>#REF!</v>
      </c>
      <c r="BC18" s="51" t="e">
        <f t="shared" si="1"/>
        <v>#REF!</v>
      </c>
      <c r="BD18" s="51" t="e">
        <f t="shared" si="1"/>
        <v>#REF!</v>
      </c>
      <c r="BE18" s="51" t="e">
        <f t="shared" si="1"/>
        <v>#REF!</v>
      </c>
      <c r="BF18" s="51" t="e">
        <f t="shared" si="1"/>
        <v>#REF!</v>
      </c>
      <c r="BG18" s="51" t="e">
        <f t="shared" si="1"/>
        <v>#REF!</v>
      </c>
      <c r="BH18" s="51" t="e">
        <f t="shared" si="1"/>
        <v>#REF!</v>
      </c>
      <c r="BI18" s="51" t="e">
        <f t="shared" si="1"/>
        <v>#REF!</v>
      </c>
      <c r="BJ18" s="51" t="e">
        <f t="shared" si="1"/>
        <v>#REF!</v>
      </c>
      <c r="BK18" s="51" t="e">
        <f t="shared" si="1"/>
        <v>#REF!</v>
      </c>
      <c r="BL18" s="51" t="e">
        <f t="shared" si="1"/>
        <v>#REF!</v>
      </c>
      <c r="BM18" s="51" t="e">
        <f t="shared" si="1"/>
        <v>#REF!</v>
      </c>
      <c r="BN18" s="51" t="e">
        <f t="shared" si="1"/>
        <v>#REF!</v>
      </c>
      <c r="BO18" s="51" t="e">
        <f t="shared" si="1"/>
        <v>#REF!</v>
      </c>
      <c r="BP18" s="51" t="e">
        <f t="shared" si="1"/>
        <v>#REF!</v>
      </c>
      <c r="BQ18" s="51" t="e">
        <f t="shared" si="1"/>
        <v>#REF!</v>
      </c>
      <c r="BR18" s="51" t="e">
        <f t="shared" si="1"/>
        <v>#REF!</v>
      </c>
      <c r="BS18" s="51" t="e">
        <f t="shared" si="1"/>
        <v>#REF!</v>
      </c>
      <c r="BT18" s="51" t="e">
        <f t="shared" si="1"/>
        <v>#REF!</v>
      </c>
      <c r="BU18" s="51" t="e">
        <f t="shared" si="1"/>
        <v>#REF!</v>
      </c>
      <c r="BV18" s="51" t="e">
        <f t="shared" si="1"/>
        <v>#REF!</v>
      </c>
      <c r="BW18" s="51" t="e">
        <f t="shared" si="1"/>
        <v>#REF!</v>
      </c>
      <c r="BX18" s="51" t="e">
        <f t="shared" si="1"/>
        <v>#REF!</v>
      </c>
      <c r="BY18" s="51" t="e">
        <f t="shared" si="1"/>
        <v>#REF!</v>
      </c>
      <c r="BZ18" s="51" t="e">
        <f t="shared" si="1"/>
        <v>#REF!</v>
      </c>
      <c r="CA18" s="51" t="e">
        <f t="shared" si="1"/>
        <v>#REF!</v>
      </c>
      <c r="CB18" s="51" t="e">
        <f t="shared" ref="CB18:CQ18" si="2">SUM(CB15:CB17)</f>
        <v>#REF!</v>
      </c>
      <c r="CC18" s="51" t="e">
        <f t="shared" si="2"/>
        <v>#REF!</v>
      </c>
      <c r="CD18" s="51" t="e">
        <f t="shared" si="2"/>
        <v>#REF!</v>
      </c>
      <c r="CE18" s="51" t="e">
        <f t="shared" si="2"/>
        <v>#REF!</v>
      </c>
      <c r="CF18" s="51" t="e">
        <f t="shared" si="2"/>
        <v>#REF!</v>
      </c>
      <c r="CG18" s="51" t="e">
        <f t="shared" si="2"/>
        <v>#REF!</v>
      </c>
      <c r="CH18" s="51" t="e">
        <f t="shared" si="2"/>
        <v>#REF!</v>
      </c>
      <c r="CI18" s="51" t="e">
        <f t="shared" si="2"/>
        <v>#REF!</v>
      </c>
      <c r="CJ18" s="51" t="e">
        <f t="shared" si="2"/>
        <v>#REF!</v>
      </c>
      <c r="CK18" s="51" t="e">
        <f t="shared" si="2"/>
        <v>#REF!</v>
      </c>
      <c r="CL18" s="51" t="e">
        <f t="shared" si="2"/>
        <v>#REF!</v>
      </c>
      <c r="CM18" s="51" t="e">
        <f t="shared" si="2"/>
        <v>#REF!</v>
      </c>
      <c r="CN18" s="51" t="e">
        <f t="shared" si="2"/>
        <v>#REF!</v>
      </c>
      <c r="CO18" s="51" t="e">
        <f t="shared" si="2"/>
        <v>#REF!</v>
      </c>
      <c r="CP18" s="51" t="e">
        <f t="shared" si="2"/>
        <v>#REF!</v>
      </c>
      <c r="CQ18" s="51" t="e">
        <f t="shared" si="2"/>
        <v>#REF!</v>
      </c>
      <c r="CR18" s="51">
        <f t="shared" ref="CR18:CT18" si="3">SUM(CR15:CR17)</f>
        <v>0</v>
      </c>
      <c r="CS18" s="51">
        <f t="shared" si="3"/>
        <v>0</v>
      </c>
      <c r="CT18" s="51">
        <f t="shared" si="3"/>
        <v>0</v>
      </c>
      <c r="CU18" s="51"/>
      <c r="CV18" s="51"/>
      <c r="CW18" s="51"/>
      <c r="CX18" s="51"/>
      <c r="CY18" s="51"/>
      <c r="CZ18" s="51"/>
      <c r="DA18" s="51"/>
      <c r="DB18" s="51"/>
      <c r="DC18" s="51"/>
      <c r="DD18" s="51"/>
    </row>
    <row r="19" spans="1:108" ht="12.75" customHeight="1" x14ac:dyDescent="0.25">
      <c r="H19" s="54"/>
      <c r="N19" s="19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</row>
    <row r="20" spans="1:108" ht="12.75" customHeight="1" x14ac:dyDescent="0.25">
      <c r="B20" s="21" t="s">
        <v>22</v>
      </c>
      <c r="H20" s="54"/>
      <c r="N20" s="19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</row>
    <row r="21" spans="1:108" ht="12.75" customHeight="1" x14ac:dyDescent="0.25">
      <c r="H21" s="54"/>
      <c r="J21" s="38" t="s">
        <v>212</v>
      </c>
      <c r="N21" s="19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</row>
    <row r="22" spans="1:108" ht="12.75" customHeight="1" x14ac:dyDescent="0.25">
      <c r="C22" t="s">
        <v>23</v>
      </c>
      <c r="H22" s="54" t="s">
        <v>3</v>
      </c>
      <c r="J22" s="84" t="e">
        <f>1-J23</f>
        <v>#REF!</v>
      </c>
      <c r="N22" s="25" t="e">
        <f>SUM(P22:DD22)</f>
        <v>#REF!</v>
      </c>
      <c r="P22" s="10" t="e">
        <f>IF($J$11="Pro Rata",P$18*$J22,MAX(0,MIN(P18,($J22*$N$18)-SUM(O22:$O22))))</f>
        <v>#REF!</v>
      </c>
      <c r="Q22" s="10" t="e">
        <f>IF($J$11="Pro Rata",Q$18*$J22,MAX(0,MIN(Q18,($J22*$N$18)-SUM($O22:P22))))</f>
        <v>#REF!</v>
      </c>
      <c r="R22" s="10" t="e">
        <f>IF($J$11="Pro Rata",R$18*$J22,MAX(0,MIN(R18,($J22*$N$18)-SUM($O22:Q22))))</f>
        <v>#REF!</v>
      </c>
      <c r="S22" s="10" t="e">
        <f>IF($J$11="Pro Rata",S$18*$J22,MAX(0,MIN(S18,($J22*$N$18)-SUM($O22:R22))))</f>
        <v>#REF!</v>
      </c>
      <c r="T22" s="10" t="e">
        <f>IF($J$11="Pro Rata",T$18*$J22,MAX(0,MIN(T18,($J22*$N$18)-SUM($O22:S22))))</f>
        <v>#REF!</v>
      </c>
      <c r="U22" s="10" t="e">
        <f>IF($J$11="Pro Rata",U$18*$J22,MAX(0,MIN(U18,($J22*$N$18)-SUM($O22:T22))))</f>
        <v>#REF!</v>
      </c>
      <c r="V22" s="10" t="e">
        <f>IF($J$11="Pro Rata",V$18*$J22,MAX(0,MIN(V18,($J22*$N$18)-SUM($O22:U22))))</f>
        <v>#REF!</v>
      </c>
      <c r="W22" s="10" t="e">
        <f>IF($J$11="Pro Rata",W$18*$J22,MAX(0,MIN(W18,($J22*$N$18)-SUM($O22:V22))))</f>
        <v>#REF!</v>
      </c>
      <c r="X22" s="10" t="e">
        <f>IF($J$11="Pro Rata",X$18*$J22,MAX(0,MIN(X18,($J22*$N$18)-SUM($O22:W22))))</f>
        <v>#REF!</v>
      </c>
      <c r="Y22" s="10" t="e">
        <f>IF($J$11="Pro Rata",Y$18*$J22,MAX(0,MIN(Y18,($J22*$N$18)-SUM($O22:X22))))</f>
        <v>#REF!</v>
      </c>
      <c r="Z22" s="10" t="e">
        <f>IF($J$11="Pro Rata",Z$18*$J22,MAX(0,MIN(Z18,($J22*$N$18)-SUM($O22:Y22))))</f>
        <v>#REF!</v>
      </c>
      <c r="AA22" s="10" t="e">
        <f>IF($J$11="Pro Rata",AA$18*$J22,MAX(0,MIN(AA18,($J22*$N$18)-SUM($O22:Z22))))</f>
        <v>#REF!</v>
      </c>
      <c r="AB22" s="10" t="e">
        <f>IF($J$11="Pro Rata",AB$18*$J22,MAX(0,MIN(AB18,($J22*$N$18)-SUM($O22:AA22))))</f>
        <v>#REF!</v>
      </c>
      <c r="AC22" s="10" t="e">
        <f>IF($J$11="Pro Rata",AC$18*$J22,MAX(0,MIN(AC18,($J22*$N$18)-SUM($O22:AB22))))</f>
        <v>#REF!</v>
      </c>
      <c r="AD22" s="10" t="e">
        <f>IF($J$11="Pro Rata",AD$18*$J22,MAX(0,MIN(AD18,($J22*$N$18)-SUM($O22:AC22))))</f>
        <v>#REF!</v>
      </c>
      <c r="AE22" s="10" t="e">
        <f>IF($J$11="Pro Rata",AE$18*$J22,MAX(0,MIN(AE18,($J22*$N$18)-SUM($O22:AD22))))</f>
        <v>#REF!</v>
      </c>
      <c r="AF22" s="10" t="e">
        <f>IF($J$11="Pro Rata",AF$18*$J22,MAX(0,MIN(AF18,($J22*$N$18)-SUM($O22:AE22))))</f>
        <v>#REF!</v>
      </c>
      <c r="AG22" s="10" t="e">
        <f>IF($J$11="Pro Rata",AG$18*$J22,MAX(0,MIN(AG18,($J22*$N$18)-SUM($O22:AF22))))</f>
        <v>#REF!</v>
      </c>
      <c r="AH22" s="10" t="e">
        <f>IF($J$11="Pro Rata",AH$18*$J22,MAX(0,MIN(AH18,($J22*$N$18)-SUM($O22:AG22))))</f>
        <v>#REF!</v>
      </c>
      <c r="AI22" s="10" t="e">
        <f>IF($J$11="Pro Rata",AI$18*$J22,MAX(0,MIN(AI18,($J22*$N$18)-SUM($O22:AH22))))</f>
        <v>#REF!</v>
      </c>
      <c r="AJ22" s="10" t="e">
        <f>IF($J$11="Pro Rata",AJ$18*$J22,MAX(0,MIN(AJ18,($J22*$N$18)-SUM($O22:AI22))))</f>
        <v>#REF!</v>
      </c>
      <c r="AK22" s="10" t="e">
        <f>IF($J$11="Pro Rata",AK$18*$J22,MAX(0,MIN(AK18,($J22*$N$18)-SUM($O22:AJ22))))</f>
        <v>#REF!</v>
      </c>
      <c r="AL22" s="10" t="e">
        <f>IF($J$11="Pro Rata",AL$18*$J22,MAX(0,MIN(AL18,($J22*$N$18)-SUM($O22:AK22))))</f>
        <v>#REF!</v>
      </c>
      <c r="AM22" s="10" t="e">
        <f>IF($J$11="Pro Rata",AM$18*$J22,MAX(0,MIN(AM18,($J22*$N$18)-SUM($O22:AL22))))</f>
        <v>#REF!</v>
      </c>
      <c r="AN22" s="10" t="e">
        <f>IF($J$11="Pro Rata",AN$18*$J22,MAX(0,MIN(AN18,($J22*$N$18)-SUM($O22:AM22))))</f>
        <v>#REF!</v>
      </c>
      <c r="AO22" s="10" t="e">
        <f>IF($J$11="Pro Rata",AO$18*$J22,MAX(0,MIN(AO18,($J22*$N$18)-SUM($O22:AN22))))</f>
        <v>#REF!</v>
      </c>
      <c r="AP22" s="10" t="e">
        <f>IF($J$11="Pro Rata",AP$18*$J22,MAX(0,MIN(AP18,($J22*$N$18)-SUM($O22:AO22))))</f>
        <v>#REF!</v>
      </c>
      <c r="AQ22" s="10" t="e">
        <f>IF($J$11="Pro Rata",AQ$18*$J22,MAX(0,MIN(AQ18,($J22*$N$18)-SUM($O22:AP22))))</f>
        <v>#REF!</v>
      </c>
      <c r="AR22" s="10" t="e">
        <f>IF($J$11="Pro Rata",AR$18*$J22,MAX(0,MIN(AR18,($J22*$N$18)-SUM($O22:AQ22))))</f>
        <v>#REF!</v>
      </c>
      <c r="AS22" s="10" t="e">
        <f>IF($J$11="Pro Rata",AS$18*$J22,MAX(0,MIN(AS18,($J22*$N$18)-SUM($O22:AR22))))</f>
        <v>#REF!</v>
      </c>
      <c r="AT22" s="10" t="e">
        <f>IF($J$11="Pro Rata",AT$18*$J22,MAX(0,MIN(AT18,($J22*$N$18)-SUM($O22:AS22))))</f>
        <v>#REF!</v>
      </c>
      <c r="AU22" s="10" t="e">
        <f>IF($J$11="Pro Rata",AU$18*$J22,MAX(0,MIN(AU18,($J22*$N$18)-SUM($O22:AT22))))</f>
        <v>#REF!</v>
      </c>
      <c r="AV22" s="10" t="e">
        <f>IF($J$11="Pro Rata",AV$18*$J22,MAX(0,MIN(AV18,($J22*$N$18)-SUM($O22:AU22))))</f>
        <v>#REF!</v>
      </c>
      <c r="AW22" s="10" t="e">
        <f>IF($J$11="Pro Rata",AW$18*$J22,MAX(0,MIN(AW18,($J22*$N$18)-SUM($O22:AV22))))</f>
        <v>#REF!</v>
      </c>
      <c r="AX22" s="10" t="e">
        <f>IF($J$11="Pro Rata",AX$18*$J22,MAX(0,MIN(AX18,($J22*$N$18)-SUM($O22:AW22))))</f>
        <v>#REF!</v>
      </c>
      <c r="AY22" s="10" t="e">
        <f>IF($J$11="Pro Rata",AY$18*$J22,MAX(0,MIN(AY18,($J22*$N$18)-SUM($O22:AX22))))</f>
        <v>#REF!</v>
      </c>
      <c r="AZ22" s="10" t="e">
        <f>IF($J$11="Pro Rata",AZ$18*$J22,MAX(0,MIN(AZ18,($J22*$N$18)-SUM($O22:AY22))))</f>
        <v>#REF!</v>
      </c>
      <c r="BA22" s="10" t="e">
        <f>IF($J$11="Pro Rata",BA$18*$J22,MAX(0,MIN(BA18,($J22*$N$18)-SUM($O22:AZ22))))</f>
        <v>#REF!</v>
      </c>
      <c r="BB22" s="10" t="e">
        <f>IF($J$11="Pro Rata",BB$18*$J22,MAX(0,MIN(BB18,($J22*$N$18)-SUM($O22:BA22))))</f>
        <v>#REF!</v>
      </c>
      <c r="BC22" s="10" t="e">
        <f>IF($J$11="Pro Rata",BC$18*$J22,MAX(0,MIN(BC18,($J22*$N$18)-SUM($O22:BB22))))</f>
        <v>#REF!</v>
      </c>
      <c r="BD22" s="10" t="e">
        <f>IF($J$11="Pro Rata",BD$18*$J22,MAX(0,MIN(BD18,($J22*$N$18)-SUM($O22:BC22))))</f>
        <v>#REF!</v>
      </c>
      <c r="BE22" s="10" t="e">
        <f>IF($J$11="Pro Rata",BE$18*$J22,MAX(0,MIN(BE18,($J22*$N$18)-SUM($O22:BD22))))</f>
        <v>#REF!</v>
      </c>
      <c r="BF22" s="10" t="e">
        <f>IF($J$11="Pro Rata",BF$18*$J22,MAX(0,MIN(BF18,($J22*$N$18)-SUM($O22:BE22))))</f>
        <v>#REF!</v>
      </c>
      <c r="BG22" s="10" t="e">
        <f>IF($J$11="Pro Rata",BG$18*$J22,MAX(0,MIN(BG18,($J22*$N$18)-SUM($O22:BF22))))</f>
        <v>#REF!</v>
      </c>
      <c r="BH22" s="10" t="e">
        <f>IF($J$11="Pro Rata",BH$18*$J22,MAX(0,MIN(BH18,($J22*$N$18)-SUM($O22:BG22))))</f>
        <v>#REF!</v>
      </c>
      <c r="BI22" s="10" t="e">
        <f>IF($J$11="Pro Rata",BI$18*$J22,MAX(0,MIN(BI18,($J22*$N$18)-SUM($O22:BH22))))</f>
        <v>#REF!</v>
      </c>
      <c r="BJ22" s="10" t="e">
        <f>IF($J$11="Pro Rata",BJ$18*$J22,MAX(0,MIN(BJ18,($J22*$N$18)-SUM($O22:BI22))))</f>
        <v>#REF!</v>
      </c>
      <c r="BK22" s="10" t="e">
        <f>IF($J$11="Pro Rata",BK$18*$J22,MAX(0,MIN(BK18,($J22*$N$18)-SUM($O22:BJ22))))</f>
        <v>#REF!</v>
      </c>
      <c r="BL22" s="10" t="e">
        <f>IF($J$11="Pro Rata",BL$18*$J22,MAX(0,MIN(BL18,($J22*$N$18)-SUM($O22:BK22))))</f>
        <v>#REF!</v>
      </c>
      <c r="BM22" s="10" t="e">
        <f>IF($J$11="Pro Rata",BM$18*$J22,MAX(0,MIN(BM18,($J22*$N$18)-SUM($O22:BL22))))</f>
        <v>#REF!</v>
      </c>
      <c r="BN22" s="10" t="e">
        <f>IF($J$11="Pro Rata",BN$18*$J22,MAX(0,MIN(BN18,($J22*$N$18)-SUM($O22:BM22))))</f>
        <v>#REF!</v>
      </c>
      <c r="BO22" s="10" t="e">
        <f>IF($J$11="Pro Rata",BO$18*$J22,MAX(0,MIN(BO18,($J22*$N$18)-SUM($O22:BN22))))</f>
        <v>#REF!</v>
      </c>
      <c r="BP22" s="10" t="e">
        <f>IF($J$11="Pro Rata",BP$18*$J22,MAX(0,MIN(BP18,($J22*$N$18)-SUM($O22:BO22))))</f>
        <v>#REF!</v>
      </c>
      <c r="BQ22" s="10" t="e">
        <f>IF($J$11="Pro Rata",BQ$18*$J22,MAX(0,MIN(BQ18,($J22*$N$18)-SUM($O22:BP22))))</f>
        <v>#REF!</v>
      </c>
      <c r="BR22" s="10" t="e">
        <f>IF($J$11="Pro Rata",BR$18*$J22,MAX(0,MIN(BR18,($J22*$N$18)-SUM($O22:BQ22))))</f>
        <v>#REF!</v>
      </c>
      <c r="BS22" s="10" t="e">
        <f>IF($J$11="Pro Rata",BS$18*$J22,MAX(0,MIN(BS18,($J22*$N$18)-SUM($O22:BR22))))</f>
        <v>#REF!</v>
      </c>
      <c r="BT22" s="10" t="e">
        <f>IF($J$11="Pro Rata",BT$18*$J22,MAX(0,MIN(BT18,($J22*$N$18)-SUM($O22:BS22))))</f>
        <v>#REF!</v>
      </c>
      <c r="BU22" s="10" t="e">
        <f>IF($J$11="Pro Rata",BU$18*$J22,MAX(0,MIN(BU18,($J22*$N$18)-SUM($O22:BT22))))</f>
        <v>#REF!</v>
      </c>
      <c r="BV22" s="10" t="e">
        <f>IF($J$11="Pro Rata",BV$18*$J22,MAX(0,MIN(BV18,($J22*$N$18)-SUM($O22:BU22))))</f>
        <v>#REF!</v>
      </c>
      <c r="BW22" s="10" t="e">
        <f>IF($J$11="Pro Rata",BW$18*$J22,MAX(0,MIN(BW18,($J22*$N$18)-SUM($O22:BV22))))</f>
        <v>#REF!</v>
      </c>
      <c r="BX22" s="10" t="e">
        <f>IF($J$11="Pro Rata",BX$18*$J22,MAX(0,MIN(BX18,($J22*$N$18)-SUM($O22:BW22))))</f>
        <v>#REF!</v>
      </c>
      <c r="BY22" s="10" t="e">
        <f>IF($J$11="Pro Rata",BY$18*$J22,MAX(0,MIN(BY18,($J22*$N$18)-SUM($O22:BX22))))</f>
        <v>#REF!</v>
      </c>
      <c r="BZ22" s="10" t="e">
        <f>IF($J$11="Pro Rata",BZ$18*$J22,MAX(0,MIN(BZ18,($J22*$N$18)-SUM($O22:BY22))))</f>
        <v>#REF!</v>
      </c>
      <c r="CA22" s="10" t="e">
        <f>IF($J$11="Pro Rata",CA$18*$J22,MAX(0,MIN(CA18,($J22*$N$18)-SUM($O22:BZ22))))</f>
        <v>#REF!</v>
      </c>
      <c r="CB22" s="10" t="e">
        <f>IF($J$11="Pro Rata",CB$18*$J22,MAX(0,MIN(CB18,($J22*$N$18)-SUM($O22:CA22))))</f>
        <v>#REF!</v>
      </c>
      <c r="CC22" s="10" t="e">
        <f>IF($J$11="Pro Rata",CC$18*$J22,MAX(0,MIN(CC18,($J22*$N$18)-SUM($O22:CB22))))</f>
        <v>#REF!</v>
      </c>
      <c r="CD22" s="10" t="e">
        <f>IF($J$11="Pro Rata",CD$18*$J22,MAX(0,MIN(CD18,($J22*$N$18)-SUM($O22:CC22))))</f>
        <v>#REF!</v>
      </c>
      <c r="CE22" s="10" t="e">
        <f>IF($J$11="Pro Rata",CE$18*$J22,MAX(0,MIN(CE18,($J22*$N$18)-SUM($O22:CD22))))</f>
        <v>#REF!</v>
      </c>
      <c r="CF22" s="10" t="e">
        <f>IF($J$11="Pro Rata",CF$18*$J22,MAX(0,MIN(CF18,($J22*$N$18)-SUM($O22:CE22))))</f>
        <v>#REF!</v>
      </c>
      <c r="CG22" s="10" t="e">
        <f>IF($J$11="Pro Rata",CG$18*$J22,MAX(0,MIN(CG18,($J22*$N$18)-SUM($O22:CF22))))</f>
        <v>#REF!</v>
      </c>
      <c r="CH22" s="10" t="e">
        <f>IF($J$11="Pro Rata",CH$18*$J22,MAX(0,MIN(CH18,($J22*$N$18)-SUM($O22:CG22))))</f>
        <v>#REF!</v>
      </c>
      <c r="CI22" s="10" t="e">
        <f>IF($J$11="Pro Rata",CI$18*$J22,MAX(0,MIN(CI18,($J22*$N$18)-SUM($O22:CH22))))</f>
        <v>#REF!</v>
      </c>
      <c r="CJ22" s="10" t="e">
        <f>IF($J$11="Pro Rata",CJ$18*$J22,MAX(0,MIN(CJ18,($J22*$N$18)-SUM($O22:CI22))))</f>
        <v>#REF!</v>
      </c>
      <c r="CK22" s="10" t="e">
        <f>IF($J$11="Pro Rata",CK$18*$J22,MAX(0,MIN(CK18,($J22*$N$18)-SUM($O22:CJ22))))</f>
        <v>#REF!</v>
      </c>
      <c r="CL22" s="10" t="e">
        <f>IF($J$11="Pro Rata",CL$18*$J22,MAX(0,MIN(CL18,($J22*$N$18)-SUM($O22:CK22))))</f>
        <v>#REF!</v>
      </c>
      <c r="CM22" s="10" t="e">
        <f>IF($J$11="Pro Rata",CM$18*$J22,MAX(0,MIN(CM18,($J22*$N$18)-SUM($O22:CL22))))</f>
        <v>#REF!</v>
      </c>
      <c r="CN22" s="10" t="e">
        <f>IF($J$11="Pro Rata",CN$18*$J22,MAX(0,MIN(CN18,($J22*$N$18)-SUM($O22:CM22))))</f>
        <v>#REF!</v>
      </c>
      <c r="CO22" s="10" t="e">
        <f>IF($J$11="Pro Rata",CO$18*$J22,MAX(0,MIN(CO18,($J22*$N$18)-SUM($O22:CN22))))</f>
        <v>#REF!</v>
      </c>
      <c r="CP22" s="10" t="e">
        <f>IF($J$11="Pro Rata",CP$18*$J22,MAX(0,MIN(CP18,($J22*$N$18)-SUM($O22:CO22))))</f>
        <v>#REF!</v>
      </c>
      <c r="CQ22" s="10" t="e">
        <f>IF($J$11="Pro Rata",CQ$18*$J22,MAX(0,MIN(CQ18,($J22*$N$18)-SUM($O22:CP22))))</f>
        <v>#REF!</v>
      </c>
      <c r="CR22" s="10" t="e">
        <f>IF($J$11="Pro Rata",CR$18*$J22,MAX(0,MIN(CR18,($J22*$N$18)-SUM($O22:CQ22))))</f>
        <v>#REF!</v>
      </c>
      <c r="CS22" s="10" t="e">
        <f>IF($J$11="Pro Rata",CS$18*$J22,MAX(0,MIN(CS18,($J22*$N$18)-SUM($O22:CR22))))</f>
        <v>#REF!</v>
      </c>
      <c r="CT22" s="10" t="e">
        <f>IF($J$11="Pro Rata",CT$18*$J22,MAX(0,MIN(CT18,($J22*$N$18)-SUM($O22:CS22))))</f>
        <v>#REF!</v>
      </c>
      <c r="CU22" s="10"/>
      <c r="CV22" s="10"/>
      <c r="CW22" s="10"/>
      <c r="CX22" s="10"/>
      <c r="CY22" s="10"/>
      <c r="CZ22" s="10"/>
      <c r="DA22" s="10"/>
      <c r="DB22" s="10"/>
      <c r="DC22" s="10"/>
      <c r="DD22" s="10"/>
    </row>
    <row r="23" spans="1:108" ht="12.75" customHeight="1" x14ac:dyDescent="0.25">
      <c r="C23" s="27" t="s">
        <v>74</v>
      </c>
      <c r="D23" s="27"/>
      <c r="E23" s="27"/>
      <c r="F23" s="27"/>
      <c r="G23" s="27"/>
      <c r="H23" s="160" t="s">
        <v>3</v>
      </c>
      <c r="I23" s="27"/>
      <c r="J23" s="187" t="e">
        <f>J5</f>
        <v>#REF!</v>
      </c>
      <c r="K23" s="27"/>
      <c r="L23" s="27"/>
      <c r="M23" s="27"/>
      <c r="N23" s="32" t="e">
        <f>SUM(P23:DD23)</f>
        <v>#REF!</v>
      </c>
      <c r="O23" s="27"/>
      <c r="P23" s="161" t="e">
        <f t="shared" ref="P23:AU23" si="4">P18-SUM(P22:P22)</f>
        <v>#REF!</v>
      </c>
      <c r="Q23" s="161" t="e">
        <f t="shared" si="4"/>
        <v>#REF!</v>
      </c>
      <c r="R23" s="161" t="e">
        <f t="shared" si="4"/>
        <v>#REF!</v>
      </c>
      <c r="S23" s="161" t="e">
        <f t="shared" si="4"/>
        <v>#REF!</v>
      </c>
      <c r="T23" s="161" t="e">
        <f t="shared" si="4"/>
        <v>#REF!</v>
      </c>
      <c r="U23" s="161" t="e">
        <f t="shared" si="4"/>
        <v>#REF!</v>
      </c>
      <c r="V23" s="161" t="e">
        <f t="shared" si="4"/>
        <v>#REF!</v>
      </c>
      <c r="W23" s="161" t="e">
        <f t="shared" si="4"/>
        <v>#REF!</v>
      </c>
      <c r="X23" s="161" t="e">
        <f t="shared" si="4"/>
        <v>#REF!</v>
      </c>
      <c r="Y23" s="161" t="e">
        <f t="shared" si="4"/>
        <v>#REF!</v>
      </c>
      <c r="Z23" s="161" t="e">
        <f t="shared" si="4"/>
        <v>#REF!</v>
      </c>
      <c r="AA23" s="161" t="e">
        <f t="shared" si="4"/>
        <v>#REF!</v>
      </c>
      <c r="AB23" s="161" t="e">
        <f t="shared" si="4"/>
        <v>#REF!</v>
      </c>
      <c r="AC23" s="161" t="e">
        <f t="shared" si="4"/>
        <v>#REF!</v>
      </c>
      <c r="AD23" s="161" t="e">
        <f t="shared" si="4"/>
        <v>#REF!</v>
      </c>
      <c r="AE23" s="161" t="e">
        <f t="shared" si="4"/>
        <v>#REF!</v>
      </c>
      <c r="AF23" s="161" t="e">
        <f t="shared" si="4"/>
        <v>#REF!</v>
      </c>
      <c r="AG23" s="161" t="e">
        <f t="shared" si="4"/>
        <v>#REF!</v>
      </c>
      <c r="AH23" s="161" t="e">
        <f t="shared" si="4"/>
        <v>#REF!</v>
      </c>
      <c r="AI23" s="161" t="e">
        <f t="shared" si="4"/>
        <v>#REF!</v>
      </c>
      <c r="AJ23" s="161" t="e">
        <f t="shared" si="4"/>
        <v>#REF!</v>
      </c>
      <c r="AK23" s="161" t="e">
        <f t="shared" si="4"/>
        <v>#REF!</v>
      </c>
      <c r="AL23" s="161" t="e">
        <f t="shared" si="4"/>
        <v>#REF!</v>
      </c>
      <c r="AM23" s="161" t="e">
        <f t="shared" si="4"/>
        <v>#REF!</v>
      </c>
      <c r="AN23" s="161" t="e">
        <f t="shared" si="4"/>
        <v>#REF!</v>
      </c>
      <c r="AO23" s="161" t="e">
        <f t="shared" si="4"/>
        <v>#REF!</v>
      </c>
      <c r="AP23" s="161" t="e">
        <f t="shared" si="4"/>
        <v>#REF!</v>
      </c>
      <c r="AQ23" s="161" t="e">
        <f t="shared" si="4"/>
        <v>#REF!</v>
      </c>
      <c r="AR23" s="161" t="e">
        <f t="shared" si="4"/>
        <v>#REF!</v>
      </c>
      <c r="AS23" s="161" t="e">
        <f t="shared" si="4"/>
        <v>#REF!</v>
      </c>
      <c r="AT23" s="161" t="e">
        <f t="shared" si="4"/>
        <v>#REF!</v>
      </c>
      <c r="AU23" s="161" t="e">
        <f t="shared" si="4"/>
        <v>#REF!</v>
      </c>
      <c r="AV23" s="161" t="e">
        <f t="shared" ref="AV23:CA23" si="5">AV18-SUM(AV22:AV22)</f>
        <v>#REF!</v>
      </c>
      <c r="AW23" s="161" t="e">
        <f t="shared" si="5"/>
        <v>#REF!</v>
      </c>
      <c r="AX23" s="161" t="e">
        <f t="shared" si="5"/>
        <v>#REF!</v>
      </c>
      <c r="AY23" s="161" t="e">
        <f t="shared" si="5"/>
        <v>#REF!</v>
      </c>
      <c r="AZ23" s="161" t="e">
        <f t="shared" si="5"/>
        <v>#REF!</v>
      </c>
      <c r="BA23" s="161" t="e">
        <f t="shared" si="5"/>
        <v>#REF!</v>
      </c>
      <c r="BB23" s="161" t="e">
        <f t="shared" si="5"/>
        <v>#REF!</v>
      </c>
      <c r="BC23" s="161" t="e">
        <f t="shared" si="5"/>
        <v>#REF!</v>
      </c>
      <c r="BD23" s="161" t="e">
        <f t="shared" si="5"/>
        <v>#REF!</v>
      </c>
      <c r="BE23" s="161" t="e">
        <f t="shared" si="5"/>
        <v>#REF!</v>
      </c>
      <c r="BF23" s="161" t="e">
        <f t="shared" si="5"/>
        <v>#REF!</v>
      </c>
      <c r="BG23" s="161" t="e">
        <f t="shared" si="5"/>
        <v>#REF!</v>
      </c>
      <c r="BH23" s="161" t="e">
        <f t="shared" si="5"/>
        <v>#REF!</v>
      </c>
      <c r="BI23" s="161" t="e">
        <f t="shared" si="5"/>
        <v>#REF!</v>
      </c>
      <c r="BJ23" s="161" t="e">
        <f t="shared" si="5"/>
        <v>#REF!</v>
      </c>
      <c r="BK23" s="161" t="e">
        <f t="shared" si="5"/>
        <v>#REF!</v>
      </c>
      <c r="BL23" s="161" t="e">
        <f t="shared" si="5"/>
        <v>#REF!</v>
      </c>
      <c r="BM23" s="161" t="e">
        <f t="shared" si="5"/>
        <v>#REF!</v>
      </c>
      <c r="BN23" s="161" t="e">
        <f t="shared" si="5"/>
        <v>#REF!</v>
      </c>
      <c r="BO23" s="161" t="e">
        <f t="shared" si="5"/>
        <v>#REF!</v>
      </c>
      <c r="BP23" s="161" t="e">
        <f t="shared" si="5"/>
        <v>#REF!</v>
      </c>
      <c r="BQ23" s="161" t="e">
        <f t="shared" si="5"/>
        <v>#REF!</v>
      </c>
      <c r="BR23" s="161" t="e">
        <f t="shared" si="5"/>
        <v>#REF!</v>
      </c>
      <c r="BS23" s="161" t="e">
        <f t="shared" si="5"/>
        <v>#REF!</v>
      </c>
      <c r="BT23" s="161" t="e">
        <f t="shared" si="5"/>
        <v>#REF!</v>
      </c>
      <c r="BU23" s="161" t="e">
        <f t="shared" si="5"/>
        <v>#REF!</v>
      </c>
      <c r="BV23" s="161" t="e">
        <f t="shared" si="5"/>
        <v>#REF!</v>
      </c>
      <c r="BW23" s="161" t="e">
        <f t="shared" si="5"/>
        <v>#REF!</v>
      </c>
      <c r="BX23" s="161" t="e">
        <f t="shared" si="5"/>
        <v>#REF!</v>
      </c>
      <c r="BY23" s="161" t="e">
        <f t="shared" si="5"/>
        <v>#REF!</v>
      </c>
      <c r="BZ23" s="161" t="e">
        <f t="shared" si="5"/>
        <v>#REF!</v>
      </c>
      <c r="CA23" s="161" t="e">
        <f t="shared" si="5"/>
        <v>#REF!</v>
      </c>
      <c r="CB23" s="161" t="e">
        <f t="shared" ref="CB23:CQ23" si="6">CB18-SUM(CB22:CB22)</f>
        <v>#REF!</v>
      </c>
      <c r="CC23" s="161" t="e">
        <f t="shared" si="6"/>
        <v>#REF!</v>
      </c>
      <c r="CD23" s="161" t="e">
        <f t="shared" si="6"/>
        <v>#REF!</v>
      </c>
      <c r="CE23" s="161" t="e">
        <f t="shared" si="6"/>
        <v>#REF!</v>
      </c>
      <c r="CF23" s="161" t="e">
        <f t="shared" si="6"/>
        <v>#REF!</v>
      </c>
      <c r="CG23" s="161" t="e">
        <f t="shared" si="6"/>
        <v>#REF!</v>
      </c>
      <c r="CH23" s="161" t="e">
        <f t="shared" si="6"/>
        <v>#REF!</v>
      </c>
      <c r="CI23" s="161" t="e">
        <f t="shared" si="6"/>
        <v>#REF!</v>
      </c>
      <c r="CJ23" s="161" t="e">
        <f t="shared" si="6"/>
        <v>#REF!</v>
      </c>
      <c r="CK23" s="161" t="e">
        <f t="shared" si="6"/>
        <v>#REF!</v>
      </c>
      <c r="CL23" s="161" t="e">
        <f t="shared" si="6"/>
        <v>#REF!</v>
      </c>
      <c r="CM23" s="161" t="e">
        <f t="shared" si="6"/>
        <v>#REF!</v>
      </c>
      <c r="CN23" s="161" t="e">
        <f t="shared" si="6"/>
        <v>#REF!</v>
      </c>
      <c r="CO23" s="161" t="e">
        <f t="shared" si="6"/>
        <v>#REF!</v>
      </c>
      <c r="CP23" s="161" t="e">
        <f t="shared" si="6"/>
        <v>#REF!</v>
      </c>
      <c r="CQ23" s="161" t="e">
        <f t="shared" si="6"/>
        <v>#REF!</v>
      </c>
      <c r="CR23" s="161" t="e">
        <f t="shared" ref="CR23:CT23" si="7">CR18-SUM(CR22:CR22)</f>
        <v>#REF!</v>
      </c>
      <c r="CS23" s="161" t="e">
        <f t="shared" si="7"/>
        <v>#REF!</v>
      </c>
      <c r="CT23" s="161" t="e">
        <f t="shared" si="7"/>
        <v>#REF!</v>
      </c>
      <c r="CU23" s="161"/>
      <c r="CV23" s="161"/>
      <c r="CW23" s="161"/>
      <c r="CX23" s="161"/>
      <c r="CY23" s="161"/>
      <c r="CZ23" s="161"/>
      <c r="DA23" s="161"/>
      <c r="DB23" s="161"/>
      <c r="DC23" s="161"/>
      <c r="DD23" s="161"/>
    </row>
    <row r="24" spans="1:108" ht="12.75" customHeight="1" x14ac:dyDescent="0.25">
      <c r="H24" s="54" t="s">
        <v>3</v>
      </c>
      <c r="J24" s="190" t="e">
        <f>SUM(J22:J23)</f>
        <v>#REF!</v>
      </c>
      <c r="N24" s="35" t="e">
        <f>SUM(P24:DD24)</f>
        <v>#REF!</v>
      </c>
      <c r="P24" s="51" t="e">
        <f t="shared" ref="P24:CA24" si="8">SUM(P22:P23)</f>
        <v>#REF!</v>
      </c>
      <c r="Q24" s="51" t="e">
        <f t="shared" si="8"/>
        <v>#REF!</v>
      </c>
      <c r="R24" s="51" t="e">
        <f t="shared" si="8"/>
        <v>#REF!</v>
      </c>
      <c r="S24" s="51" t="e">
        <f t="shared" si="8"/>
        <v>#REF!</v>
      </c>
      <c r="T24" s="51" t="e">
        <f t="shared" si="8"/>
        <v>#REF!</v>
      </c>
      <c r="U24" s="51" t="e">
        <f t="shared" si="8"/>
        <v>#REF!</v>
      </c>
      <c r="V24" s="51" t="e">
        <f t="shared" si="8"/>
        <v>#REF!</v>
      </c>
      <c r="W24" s="51" t="e">
        <f t="shared" si="8"/>
        <v>#REF!</v>
      </c>
      <c r="X24" s="51" t="e">
        <f t="shared" si="8"/>
        <v>#REF!</v>
      </c>
      <c r="Y24" s="51" t="e">
        <f t="shared" si="8"/>
        <v>#REF!</v>
      </c>
      <c r="Z24" s="51" t="e">
        <f t="shared" si="8"/>
        <v>#REF!</v>
      </c>
      <c r="AA24" s="51" t="e">
        <f t="shared" si="8"/>
        <v>#REF!</v>
      </c>
      <c r="AB24" s="51" t="e">
        <f t="shared" si="8"/>
        <v>#REF!</v>
      </c>
      <c r="AC24" s="51" t="e">
        <f t="shared" si="8"/>
        <v>#REF!</v>
      </c>
      <c r="AD24" s="51" t="e">
        <f t="shared" si="8"/>
        <v>#REF!</v>
      </c>
      <c r="AE24" s="51" t="e">
        <f t="shared" si="8"/>
        <v>#REF!</v>
      </c>
      <c r="AF24" s="51" t="e">
        <f t="shared" si="8"/>
        <v>#REF!</v>
      </c>
      <c r="AG24" s="51" t="e">
        <f t="shared" si="8"/>
        <v>#REF!</v>
      </c>
      <c r="AH24" s="51" t="e">
        <f t="shared" si="8"/>
        <v>#REF!</v>
      </c>
      <c r="AI24" s="51" t="e">
        <f t="shared" si="8"/>
        <v>#REF!</v>
      </c>
      <c r="AJ24" s="51" t="e">
        <f t="shared" si="8"/>
        <v>#REF!</v>
      </c>
      <c r="AK24" s="51" t="e">
        <f t="shared" si="8"/>
        <v>#REF!</v>
      </c>
      <c r="AL24" s="51" t="e">
        <f t="shared" si="8"/>
        <v>#REF!</v>
      </c>
      <c r="AM24" s="51" t="e">
        <f t="shared" si="8"/>
        <v>#REF!</v>
      </c>
      <c r="AN24" s="51" t="e">
        <f t="shared" si="8"/>
        <v>#REF!</v>
      </c>
      <c r="AO24" s="51" t="e">
        <f t="shared" si="8"/>
        <v>#REF!</v>
      </c>
      <c r="AP24" s="51" t="e">
        <f t="shared" si="8"/>
        <v>#REF!</v>
      </c>
      <c r="AQ24" s="51" t="e">
        <f t="shared" si="8"/>
        <v>#REF!</v>
      </c>
      <c r="AR24" s="51" t="e">
        <f t="shared" si="8"/>
        <v>#REF!</v>
      </c>
      <c r="AS24" s="51" t="e">
        <f t="shared" si="8"/>
        <v>#REF!</v>
      </c>
      <c r="AT24" s="51" t="e">
        <f t="shared" si="8"/>
        <v>#REF!</v>
      </c>
      <c r="AU24" s="51" t="e">
        <f t="shared" si="8"/>
        <v>#REF!</v>
      </c>
      <c r="AV24" s="51" t="e">
        <f t="shared" si="8"/>
        <v>#REF!</v>
      </c>
      <c r="AW24" s="51" t="e">
        <f t="shared" si="8"/>
        <v>#REF!</v>
      </c>
      <c r="AX24" s="51" t="e">
        <f t="shared" si="8"/>
        <v>#REF!</v>
      </c>
      <c r="AY24" s="51" t="e">
        <f t="shared" si="8"/>
        <v>#REF!</v>
      </c>
      <c r="AZ24" s="51" t="e">
        <f t="shared" si="8"/>
        <v>#REF!</v>
      </c>
      <c r="BA24" s="51" t="e">
        <f t="shared" si="8"/>
        <v>#REF!</v>
      </c>
      <c r="BB24" s="51" t="e">
        <f t="shared" si="8"/>
        <v>#REF!</v>
      </c>
      <c r="BC24" s="51" t="e">
        <f t="shared" si="8"/>
        <v>#REF!</v>
      </c>
      <c r="BD24" s="51" t="e">
        <f t="shared" si="8"/>
        <v>#REF!</v>
      </c>
      <c r="BE24" s="51" t="e">
        <f t="shared" si="8"/>
        <v>#REF!</v>
      </c>
      <c r="BF24" s="51" t="e">
        <f t="shared" si="8"/>
        <v>#REF!</v>
      </c>
      <c r="BG24" s="51" t="e">
        <f t="shared" si="8"/>
        <v>#REF!</v>
      </c>
      <c r="BH24" s="51" t="e">
        <f t="shared" si="8"/>
        <v>#REF!</v>
      </c>
      <c r="BI24" s="51" t="e">
        <f t="shared" si="8"/>
        <v>#REF!</v>
      </c>
      <c r="BJ24" s="51" t="e">
        <f t="shared" si="8"/>
        <v>#REF!</v>
      </c>
      <c r="BK24" s="51" t="e">
        <f t="shared" si="8"/>
        <v>#REF!</v>
      </c>
      <c r="BL24" s="51" t="e">
        <f t="shared" si="8"/>
        <v>#REF!</v>
      </c>
      <c r="BM24" s="51" t="e">
        <f t="shared" si="8"/>
        <v>#REF!</v>
      </c>
      <c r="BN24" s="51" t="e">
        <f t="shared" si="8"/>
        <v>#REF!</v>
      </c>
      <c r="BO24" s="51" t="e">
        <f t="shared" si="8"/>
        <v>#REF!</v>
      </c>
      <c r="BP24" s="51" t="e">
        <f t="shared" si="8"/>
        <v>#REF!</v>
      </c>
      <c r="BQ24" s="51" t="e">
        <f t="shared" si="8"/>
        <v>#REF!</v>
      </c>
      <c r="BR24" s="51" t="e">
        <f t="shared" si="8"/>
        <v>#REF!</v>
      </c>
      <c r="BS24" s="51" t="e">
        <f t="shared" si="8"/>
        <v>#REF!</v>
      </c>
      <c r="BT24" s="51" t="e">
        <f t="shared" si="8"/>
        <v>#REF!</v>
      </c>
      <c r="BU24" s="51" t="e">
        <f t="shared" si="8"/>
        <v>#REF!</v>
      </c>
      <c r="BV24" s="51" t="e">
        <f t="shared" si="8"/>
        <v>#REF!</v>
      </c>
      <c r="BW24" s="51" t="e">
        <f t="shared" si="8"/>
        <v>#REF!</v>
      </c>
      <c r="BX24" s="51" t="e">
        <f t="shared" si="8"/>
        <v>#REF!</v>
      </c>
      <c r="BY24" s="51" t="e">
        <f t="shared" si="8"/>
        <v>#REF!</v>
      </c>
      <c r="BZ24" s="51" t="e">
        <f t="shared" si="8"/>
        <v>#REF!</v>
      </c>
      <c r="CA24" s="51" t="e">
        <f t="shared" si="8"/>
        <v>#REF!</v>
      </c>
      <c r="CB24" s="51" t="e">
        <f t="shared" ref="CB24:CQ24" si="9">SUM(CB22:CB23)</f>
        <v>#REF!</v>
      </c>
      <c r="CC24" s="51" t="e">
        <f t="shared" si="9"/>
        <v>#REF!</v>
      </c>
      <c r="CD24" s="51" t="e">
        <f t="shared" si="9"/>
        <v>#REF!</v>
      </c>
      <c r="CE24" s="51" t="e">
        <f t="shared" si="9"/>
        <v>#REF!</v>
      </c>
      <c r="CF24" s="51" t="e">
        <f t="shared" si="9"/>
        <v>#REF!</v>
      </c>
      <c r="CG24" s="51" t="e">
        <f t="shared" si="9"/>
        <v>#REF!</v>
      </c>
      <c r="CH24" s="51" t="e">
        <f t="shared" si="9"/>
        <v>#REF!</v>
      </c>
      <c r="CI24" s="51" t="e">
        <f t="shared" si="9"/>
        <v>#REF!</v>
      </c>
      <c r="CJ24" s="51" t="e">
        <f t="shared" si="9"/>
        <v>#REF!</v>
      </c>
      <c r="CK24" s="51" t="e">
        <f t="shared" si="9"/>
        <v>#REF!</v>
      </c>
      <c r="CL24" s="51" t="e">
        <f t="shared" si="9"/>
        <v>#REF!</v>
      </c>
      <c r="CM24" s="51" t="e">
        <f t="shared" si="9"/>
        <v>#REF!</v>
      </c>
      <c r="CN24" s="51" t="e">
        <f t="shared" si="9"/>
        <v>#REF!</v>
      </c>
      <c r="CO24" s="51" t="e">
        <f t="shared" si="9"/>
        <v>#REF!</v>
      </c>
      <c r="CP24" s="51" t="e">
        <f t="shared" si="9"/>
        <v>#REF!</v>
      </c>
      <c r="CQ24" s="51" t="e">
        <f t="shared" si="9"/>
        <v>#REF!</v>
      </c>
      <c r="CR24" s="51" t="e">
        <f t="shared" ref="CR24:CT24" si="10">SUM(CR22:CR23)</f>
        <v>#REF!</v>
      </c>
      <c r="CS24" s="51" t="e">
        <f t="shared" si="10"/>
        <v>#REF!</v>
      </c>
      <c r="CT24" s="51" t="e">
        <f t="shared" si="10"/>
        <v>#REF!</v>
      </c>
      <c r="CU24" s="51"/>
      <c r="CV24" s="51"/>
      <c r="CW24" s="51"/>
      <c r="CX24" s="51"/>
      <c r="CY24" s="51"/>
      <c r="CZ24" s="51"/>
      <c r="DA24" s="51"/>
      <c r="DB24" s="51"/>
      <c r="DC24" s="51"/>
      <c r="DD24" s="51"/>
    </row>
    <row r="25" spans="1:108" ht="12.75" customHeight="1" x14ac:dyDescent="0.25">
      <c r="H25" s="54"/>
      <c r="N25" s="19"/>
    </row>
    <row r="26" spans="1:108" ht="12.75" customHeight="1" x14ac:dyDescent="0.25">
      <c r="H26" s="54"/>
      <c r="N26" s="19"/>
    </row>
    <row r="27" spans="1:108" ht="12.75" customHeight="1" x14ac:dyDescent="0.25">
      <c r="C27" t="s">
        <v>213</v>
      </c>
      <c r="H27" s="54" t="s">
        <v>25</v>
      </c>
      <c r="J27" s="40" t="e">
        <f>AND(P27:DD27)</f>
        <v>#REF!</v>
      </c>
      <c r="N27" s="19"/>
      <c r="P27" s="40" t="e">
        <f t="shared" ref="P27:CA27" si="11">IF(P18&gt;0,P18=P24,"")</f>
        <v>#REF!</v>
      </c>
      <c r="Q27" s="40" t="e">
        <f t="shared" si="11"/>
        <v>#REF!</v>
      </c>
      <c r="R27" s="40" t="e">
        <f t="shared" si="11"/>
        <v>#REF!</v>
      </c>
      <c r="S27" s="40" t="e">
        <f t="shared" si="11"/>
        <v>#REF!</v>
      </c>
      <c r="T27" s="40" t="e">
        <f t="shared" si="11"/>
        <v>#REF!</v>
      </c>
      <c r="U27" s="40" t="e">
        <f t="shared" si="11"/>
        <v>#REF!</v>
      </c>
      <c r="V27" s="40" t="e">
        <f t="shared" si="11"/>
        <v>#REF!</v>
      </c>
      <c r="W27" s="40" t="e">
        <f t="shared" si="11"/>
        <v>#REF!</v>
      </c>
      <c r="X27" s="40" t="e">
        <f t="shared" si="11"/>
        <v>#REF!</v>
      </c>
      <c r="Y27" s="40" t="e">
        <f t="shared" si="11"/>
        <v>#REF!</v>
      </c>
      <c r="Z27" s="40" t="e">
        <f t="shared" si="11"/>
        <v>#REF!</v>
      </c>
      <c r="AA27" s="40" t="e">
        <f t="shared" si="11"/>
        <v>#REF!</v>
      </c>
      <c r="AB27" s="40" t="e">
        <f t="shared" si="11"/>
        <v>#REF!</v>
      </c>
      <c r="AC27" s="40" t="e">
        <f t="shared" si="11"/>
        <v>#REF!</v>
      </c>
      <c r="AD27" s="40" t="e">
        <f t="shared" si="11"/>
        <v>#REF!</v>
      </c>
      <c r="AE27" s="40" t="e">
        <f t="shared" si="11"/>
        <v>#REF!</v>
      </c>
      <c r="AF27" s="40" t="e">
        <f t="shared" si="11"/>
        <v>#REF!</v>
      </c>
      <c r="AG27" s="40" t="e">
        <f t="shared" si="11"/>
        <v>#REF!</v>
      </c>
      <c r="AH27" s="40" t="e">
        <f t="shared" si="11"/>
        <v>#REF!</v>
      </c>
      <c r="AI27" s="40" t="e">
        <f t="shared" si="11"/>
        <v>#REF!</v>
      </c>
      <c r="AJ27" s="40" t="e">
        <f t="shared" si="11"/>
        <v>#REF!</v>
      </c>
      <c r="AK27" s="40" t="e">
        <f t="shared" si="11"/>
        <v>#REF!</v>
      </c>
      <c r="AL27" s="40" t="e">
        <f t="shared" si="11"/>
        <v>#REF!</v>
      </c>
      <c r="AM27" s="40" t="e">
        <f t="shared" si="11"/>
        <v>#REF!</v>
      </c>
      <c r="AN27" s="40" t="e">
        <f t="shared" si="11"/>
        <v>#REF!</v>
      </c>
      <c r="AO27" s="40" t="e">
        <f t="shared" si="11"/>
        <v>#REF!</v>
      </c>
      <c r="AP27" s="40" t="e">
        <f t="shared" si="11"/>
        <v>#REF!</v>
      </c>
      <c r="AQ27" s="40" t="e">
        <f t="shared" si="11"/>
        <v>#REF!</v>
      </c>
      <c r="AR27" s="40" t="e">
        <f t="shared" si="11"/>
        <v>#REF!</v>
      </c>
      <c r="AS27" s="40" t="e">
        <f t="shared" si="11"/>
        <v>#REF!</v>
      </c>
      <c r="AT27" s="40" t="e">
        <f t="shared" si="11"/>
        <v>#REF!</v>
      </c>
      <c r="AU27" s="40" t="e">
        <f t="shared" si="11"/>
        <v>#REF!</v>
      </c>
      <c r="AV27" s="40" t="e">
        <f t="shared" si="11"/>
        <v>#REF!</v>
      </c>
      <c r="AW27" s="40" t="e">
        <f t="shared" si="11"/>
        <v>#REF!</v>
      </c>
      <c r="AX27" s="40" t="e">
        <f t="shared" si="11"/>
        <v>#REF!</v>
      </c>
      <c r="AY27" s="40" t="e">
        <f t="shared" si="11"/>
        <v>#REF!</v>
      </c>
      <c r="AZ27" s="40" t="e">
        <f t="shared" si="11"/>
        <v>#REF!</v>
      </c>
      <c r="BA27" s="40" t="e">
        <f t="shared" si="11"/>
        <v>#REF!</v>
      </c>
      <c r="BB27" s="40" t="e">
        <f t="shared" si="11"/>
        <v>#REF!</v>
      </c>
      <c r="BC27" s="40" t="e">
        <f t="shared" si="11"/>
        <v>#REF!</v>
      </c>
      <c r="BD27" s="40" t="e">
        <f t="shared" si="11"/>
        <v>#REF!</v>
      </c>
      <c r="BE27" s="40" t="e">
        <f t="shared" si="11"/>
        <v>#REF!</v>
      </c>
      <c r="BF27" s="40" t="e">
        <f t="shared" si="11"/>
        <v>#REF!</v>
      </c>
      <c r="BG27" s="40" t="e">
        <f t="shared" si="11"/>
        <v>#REF!</v>
      </c>
      <c r="BH27" s="40" t="e">
        <f t="shared" si="11"/>
        <v>#REF!</v>
      </c>
      <c r="BI27" s="40" t="e">
        <f t="shared" si="11"/>
        <v>#REF!</v>
      </c>
      <c r="BJ27" s="40" t="e">
        <f t="shared" si="11"/>
        <v>#REF!</v>
      </c>
      <c r="BK27" s="40" t="e">
        <f t="shared" si="11"/>
        <v>#REF!</v>
      </c>
      <c r="BL27" s="40" t="e">
        <f t="shared" si="11"/>
        <v>#REF!</v>
      </c>
      <c r="BM27" s="40" t="e">
        <f t="shared" si="11"/>
        <v>#REF!</v>
      </c>
      <c r="BN27" s="40" t="e">
        <f t="shared" si="11"/>
        <v>#REF!</v>
      </c>
      <c r="BO27" s="40" t="e">
        <f t="shared" si="11"/>
        <v>#REF!</v>
      </c>
      <c r="BP27" s="40" t="e">
        <f t="shared" si="11"/>
        <v>#REF!</v>
      </c>
      <c r="BQ27" s="40" t="e">
        <f t="shared" si="11"/>
        <v>#REF!</v>
      </c>
      <c r="BR27" s="40" t="e">
        <f t="shared" si="11"/>
        <v>#REF!</v>
      </c>
      <c r="BS27" s="40" t="e">
        <f t="shared" si="11"/>
        <v>#REF!</v>
      </c>
      <c r="BT27" s="40" t="e">
        <f t="shared" si="11"/>
        <v>#REF!</v>
      </c>
      <c r="BU27" s="40" t="e">
        <f t="shared" si="11"/>
        <v>#REF!</v>
      </c>
      <c r="BV27" s="40" t="e">
        <f t="shared" si="11"/>
        <v>#REF!</v>
      </c>
      <c r="BW27" s="40" t="e">
        <f t="shared" si="11"/>
        <v>#REF!</v>
      </c>
      <c r="BX27" s="40" t="e">
        <f t="shared" si="11"/>
        <v>#REF!</v>
      </c>
      <c r="BY27" s="40" t="e">
        <f t="shared" si="11"/>
        <v>#REF!</v>
      </c>
      <c r="BZ27" s="40" t="e">
        <f t="shared" si="11"/>
        <v>#REF!</v>
      </c>
      <c r="CA27" s="40" t="e">
        <f t="shared" si="11"/>
        <v>#REF!</v>
      </c>
      <c r="CB27" s="40" t="e">
        <f t="shared" ref="CB27:CQ27" si="12">IF(CB18&gt;0,CB18=CB24,"")</f>
        <v>#REF!</v>
      </c>
      <c r="CC27" s="40" t="e">
        <f t="shared" si="12"/>
        <v>#REF!</v>
      </c>
      <c r="CD27" s="40" t="e">
        <f t="shared" si="12"/>
        <v>#REF!</v>
      </c>
      <c r="CE27" s="40" t="e">
        <f t="shared" si="12"/>
        <v>#REF!</v>
      </c>
      <c r="CF27" s="40" t="e">
        <f t="shared" si="12"/>
        <v>#REF!</v>
      </c>
      <c r="CG27" s="40" t="e">
        <f t="shared" si="12"/>
        <v>#REF!</v>
      </c>
      <c r="CH27" s="40" t="e">
        <f t="shared" si="12"/>
        <v>#REF!</v>
      </c>
      <c r="CI27" s="40" t="e">
        <f t="shared" si="12"/>
        <v>#REF!</v>
      </c>
      <c r="CJ27" s="40" t="e">
        <f t="shared" si="12"/>
        <v>#REF!</v>
      </c>
      <c r="CK27" s="40" t="e">
        <f t="shared" si="12"/>
        <v>#REF!</v>
      </c>
      <c r="CL27" s="40" t="e">
        <f t="shared" si="12"/>
        <v>#REF!</v>
      </c>
      <c r="CM27" s="40" t="e">
        <f t="shared" si="12"/>
        <v>#REF!</v>
      </c>
      <c r="CN27" s="40" t="e">
        <f t="shared" si="12"/>
        <v>#REF!</v>
      </c>
      <c r="CO27" s="40" t="e">
        <f t="shared" si="12"/>
        <v>#REF!</v>
      </c>
      <c r="CP27" s="40" t="e">
        <f t="shared" si="12"/>
        <v>#REF!</v>
      </c>
      <c r="CQ27" s="40" t="e">
        <f t="shared" si="12"/>
        <v>#REF!</v>
      </c>
      <c r="CR27" s="40" t="str">
        <f t="shared" ref="CR27:CT27" si="13">IF(CR18&gt;0,CR18=CR24,"")</f>
        <v/>
      </c>
      <c r="CS27" s="40" t="str">
        <f t="shared" si="13"/>
        <v/>
      </c>
      <c r="CT27" s="40" t="str">
        <f t="shared" si="13"/>
        <v/>
      </c>
      <c r="CU27" s="40"/>
      <c r="CV27" s="40"/>
      <c r="CW27" s="40"/>
      <c r="CX27" s="40"/>
      <c r="CY27" s="40"/>
      <c r="CZ27" s="40"/>
      <c r="DA27" s="40"/>
      <c r="DB27" s="40"/>
      <c r="DC27" s="40"/>
      <c r="DD27" s="40"/>
    </row>
    <row r="28" spans="1:108" ht="12.75" customHeight="1" x14ac:dyDescent="0.25">
      <c r="H28" s="54"/>
      <c r="N28" s="19"/>
    </row>
    <row r="29" spans="1:108" ht="12.75" customHeight="1" x14ac:dyDescent="0.25">
      <c r="H29" s="54"/>
      <c r="N29" s="19"/>
    </row>
    <row r="30" spans="1:108" s="5" customFormat="1" ht="12.75" customHeight="1" x14ac:dyDescent="0.2">
      <c r="A30" s="5" t="s">
        <v>123</v>
      </c>
      <c r="C30" s="6"/>
      <c r="H30" s="137"/>
      <c r="I30" s="8"/>
    </row>
    <row r="31" spans="1:108" s="125" customFormat="1" ht="12.75" customHeight="1" x14ac:dyDescent="0.25">
      <c r="A31" s="124" t="s">
        <v>214</v>
      </c>
      <c r="H31" s="126"/>
      <c r="J31" s="127"/>
      <c r="N31" s="128"/>
    </row>
    <row r="32" spans="1:108" ht="12.75" customHeight="1" x14ac:dyDescent="0.25">
      <c r="H32" s="54"/>
      <c r="N32" s="19"/>
    </row>
    <row r="33" spans="2:239" ht="12.75" customHeight="1" x14ac:dyDescent="0.25">
      <c r="B33" s="21" t="s">
        <v>215</v>
      </c>
      <c r="H33" s="54"/>
      <c r="N33" s="19"/>
    </row>
    <row r="34" spans="2:239" ht="12.75" customHeight="1" x14ac:dyDescent="0.25">
      <c r="H34" s="54"/>
      <c r="N34" s="19"/>
    </row>
    <row r="35" spans="2:239" ht="12.75" customHeight="1" x14ac:dyDescent="0.25">
      <c r="C35" t="s">
        <v>216</v>
      </c>
      <c r="H35" s="54" t="s">
        <v>13</v>
      </c>
      <c r="J35" s="38" t="s">
        <v>125</v>
      </c>
      <c r="N35" s="12">
        <f>SUM(P35:IF35)</f>
        <v>1</v>
      </c>
      <c r="P35" s="68">
        <f>Timing!R39</f>
        <v>0</v>
      </c>
      <c r="Q35" s="68">
        <f>Timing!S39</f>
        <v>0</v>
      </c>
      <c r="R35" s="68">
        <f>Timing!T39</f>
        <v>0</v>
      </c>
      <c r="S35" s="68">
        <f>Timing!U39</f>
        <v>1</v>
      </c>
      <c r="T35" s="68">
        <f>Timing!V39</f>
        <v>0</v>
      </c>
      <c r="U35" s="68">
        <f>Timing!W39</f>
        <v>0</v>
      </c>
      <c r="V35" s="68">
        <f>Timing!X39</f>
        <v>0</v>
      </c>
      <c r="W35" s="68">
        <f>Timing!Y39</f>
        <v>0</v>
      </c>
      <c r="X35" s="68">
        <f>Timing!Z39</f>
        <v>0</v>
      </c>
      <c r="Y35" s="68">
        <f>Timing!AA39</f>
        <v>0</v>
      </c>
      <c r="Z35" s="68">
        <f>Timing!AB39</f>
        <v>0</v>
      </c>
      <c r="AA35" s="68">
        <f>Timing!AC39</f>
        <v>0</v>
      </c>
      <c r="AB35" s="68">
        <f>Timing!AD39</f>
        <v>0</v>
      </c>
      <c r="AC35" s="68">
        <f>Timing!AE39</f>
        <v>0</v>
      </c>
      <c r="AD35" s="68">
        <f>Timing!AF39</f>
        <v>0</v>
      </c>
      <c r="AE35" s="68">
        <f>Timing!AG39</f>
        <v>0</v>
      </c>
      <c r="AF35" s="68">
        <f>Timing!AH39</f>
        <v>0</v>
      </c>
      <c r="AG35" s="68">
        <f>Timing!AI39</f>
        <v>0</v>
      </c>
      <c r="AH35" s="68">
        <f>Timing!AJ39</f>
        <v>0</v>
      </c>
      <c r="AI35" s="68">
        <f>Timing!AK39</f>
        <v>0</v>
      </c>
      <c r="AJ35" s="68">
        <f>Timing!AL39</f>
        <v>0</v>
      </c>
      <c r="AK35" s="68">
        <f>Timing!AM39</f>
        <v>0</v>
      </c>
      <c r="AL35" s="68">
        <f>Timing!AN39</f>
        <v>0</v>
      </c>
      <c r="AM35" s="68">
        <f>Timing!AO39</f>
        <v>0</v>
      </c>
      <c r="AN35" s="68">
        <f>Timing!AP39</f>
        <v>0</v>
      </c>
      <c r="AO35" s="68">
        <f>Timing!AQ39</f>
        <v>0</v>
      </c>
      <c r="AP35" s="68">
        <f>Timing!AR39</f>
        <v>0</v>
      </c>
      <c r="AQ35" s="68">
        <f>Timing!AS39</f>
        <v>0</v>
      </c>
      <c r="AR35" s="68">
        <f>Timing!AT39</f>
        <v>0</v>
      </c>
      <c r="AS35" s="68">
        <f>Timing!AU39</f>
        <v>0</v>
      </c>
      <c r="AT35" s="68">
        <f>Timing!AV39</f>
        <v>0</v>
      </c>
      <c r="AU35" s="68">
        <f>Timing!AW39</f>
        <v>0</v>
      </c>
      <c r="AV35" s="68">
        <f>Timing!AX39</f>
        <v>0</v>
      </c>
      <c r="AW35" s="68">
        <f>Timing!AY39</f>
        <v>0</v>
      </c>
      <c r="AX35" s="68">
        <f>Timing!AZ39</f>
        <v>0</v>
      </c>
      <c r="AY35" s="68">
        <f>Timing!BA39</f>
        <v>0</v>
      </c>
      <c r="AZ35" s="68">
        <f>Timing!BB39</f>
        <v>0</v>
      </c>
      <c r="BA35" s="68">
        <f>Timing!BC39</f>
        <v>0</v>
      </c>
      <c r="BB35" s="68">
        <f>Timing!BD39</f>
        <v>0</v>
      </c>
      <c r="BC35" s="68">
        <f>Timing!BE39</f>
        <v>0</v>
      </c>
      <c r="BD35" s="68">
        <f>Timing!BF39</f>
        <v>0</v>
      </c>
      <c r="BE35" s="68">
        <f>Timing!BG39</f>
        <v>0</v>
      </c>
      <c r="BF35" s="68">
        <f>Timing!BH39</f>
        <v>0</v>
      </c>
      <c r="BG35" s="68">
        <f>Timing!BI39</f>
        <v>0</v>
      </c>
      <c r="BH35" s="68">
        <f>Timing!BJ39</f>
        <v>0</v>
      </c>
      <c r="BI35" s="68">
        <f>Timing!BK39</f>
        <v>0</v>
      </c>
      <c r="BJ35" s="68">
        <f>Timing!BL39</f>
        <v>0</v>
      </c>
      <c r="BK35" s="68">
        <f>Timing!BM39</f>
        <v>0</v>
      </c>
      <c r="BL35" s="68">
        <f>Timing!BN39</f>
        <v>0</v>
      </c>
      <c r="BM35" s="68">
        <f>Timing!BO39</f>
        <v>0</v>
      </c>
      <c r="BN35" s="68">
        <f>Timing!BP39</f>
        <v>0</v>
      </c>
      <c r="BO35" s="68">
        <f>Timing!BQ39</f>
        <v>0</v>
      </c>
      <c r="BP35" s="68">
        <f>Timing!BR39</f>
        <v>0</v>
      </c>
      <c r="BQ35" s="68">
        <f>Timing!BS39</f>
        <v>0</v>
      </c>
      <c r="BR35" s="68">
        <f>Timing!BT39</f>
        <v>0</v>
      </c>
      <c r="BS35" s="68">
        <f>Timing!BU39</f>
        <v>0</v>
      </c>
      <c r="BT35" s="68">
        <f>Timing!BV39</f>
        <v>0</v>
      </c>
      <c r="BU35" s="68">
        <f>Timing!BW39</f>
        <v>0</v>
      </c>
      <c r="BV35" s="68">
        <f>Timing!BX39</f>
        <v>0</v>
      </c>
      <c r="BW35" s="68">
        <f>Timing!BY39</f>
        <v>0</v>
      </c>
      <c r="BX35" s="68">
        <f>Timing!BZ39</f>
        <v>0</v>
      </c>
      <c r="BY35" s="68">
        <f>Timing!CA39</f>
        <v>0</v>
      </c>
      <c r="BZ35" s="68">
        <f>Timing!CB39</f>
        <v>0</v>
      </c>
      <c r="CA35" s="68">
        <f>Timing!CC39</f>
        <v>0</v>
      </c>
      <c r="CB35" s="68">
        <f>Timing!CD39</f>
        <v>0</v>
      </c>
      <c r="CC35" s="68">
        <f>Timing!CE39</f>
        <v>0</v>
      </c>
      <c r="CD35" s="68">
        <f>Timing!CF39</f>
        <v>0</v>
      </c>
      <c r="CE35" s="68">
        <f>Timing!CG39</f>
        <v>0</v>
      </c>
      <c r="CF35" s="68">
        <f>Timing!CH39</f>
        <v>0</v>
      </c>
      <c r="CG35" s="68">
        <f>Timing!CI39</f>
        <v>0</v>
      </c>
      <c r="CH35" s="68">
        <f>Timing!CJ39</f>
        <v>0</v>
      </c>
      <c r="CI35" s="68">
        <f>Timing!CK39</f>
        <v>0</v>
      </c>
      <c r="CJ35" s="68">
        <f>Timing!CL39</f>
        <v>0</v>
      </c>
      <c r="CK35" s="68">
        <f>Timing!CM39</f>
        <v>0</v>
      </c>
      <c r="CL35" s="68">
        <f>Timing!CN39</f>
        <v>0</v>
      </c>
      <c r="CM35" s="68">
        <f>Timing!CO39</f>
        <v>0</v>
      </c>
      <c r="CN35" s="68">
        <f>Timing!CP39</f>
        <v>0</v>
      </c>
      <c r="CO35" s="68">
        <f>Timing!CQ39</f>
        <v>0</v>
      </c>
      <c r="CP35" s="68">
        <f>Timing!CR39</f>
        <v>0</v>
      </c>
      <c r="CQ35" s="68">
        <f>Timing!CS39</f>
        <v>0</v>
      </c>
      <c r="CR35" s="68">
        <f>Timing!CT39</f>
        <v>0</v>
      </c>
      <c r="CS35" s="68">
        <f>Timing!CU39</f>
        <v>0</v>
      </c>
      <c r="CT35" s="68">
        <f>Timing!CV39</f>
        <v>0</v>
      </c>
      <c r="CU35" s="68"/>
      <c r="CV35" s="68"/>
      <c r="CW35" s="68"/>
      <c r="CX35" s="68"/>
      <c r="CY35" s="68"/>
      <c r="CZ35" s="68"/>
      <c r="DA35" s="68"/>
      <c r="DB35" s="68"/>
      <c r="DE35" s="68"/>
      <c r="DF35" s="68"/>
      <c r="DG35" s="68"/>
      <c r="DH35" s="68"/>
      <c r="DI35" s="68"/>
      <c r="DJ35" s="68"/>
      <c r="DK35" s="68"/>
      <c r="DL35" s="68"/>
      <c r="DM35" s="68"/>
      <c r="DN35" s="68"/>
      <c r="DO35" s="68"/>
      <c r="DP35" s="68"/>
      <c r="DQ35" s="68"/>
      <c r="DR35" s="68"/>
      <c r="DS35" s="68"/>
      <c r="DT35" s="68"/>
      <c r="DU35" s="68"/>
      <c r="DV35" s="68"/>
      <c r="DW35" s="68"/>
      <c r="DX35" s="68"/>
      <c r="DY35" s="68"/>
      <c r="DZ35" s="68"/>
      <c r="EA35" s="68"/>
      <c r="EB35" s="68"/>
      <c r="EC35" s="68"/>
      <c r="ED35" s="68"/>
      <c r="EE35" s="68"/>
      <c r="EF35" s="68"/>
      <c r="EG35" s="68"/>
      <c r="EH35" s="68"/>
      <c r="EI35" s="68"/>
      <c r="EJ35" s="68"/>
      <c r="EK35" s="68"/>
      <c r="EL35" s="68"/>
      <c r="EM35" s="68"/>
      <c r="EN35" s="68"/>
      <c r="EO35" s="68"/>
      <c r="EP35" s="68"/>
      <c r="EQ35" s="68"/>
      <c r="ER35" s="68"/>
      <c r="ES35" s="68"/>
      <c r="ET35" s="68"/>
      <c r="EU35" s="68"/>
      <c r="EV35" s="68"/>
      <c r="EW35" s="68"/>
      <c r="EX35" s="68"/>
      <c r="EY35" s="68"/>
      <c r="EZ35" s="68"/>
      <c r="FA35" s="68"/>
      <c r="FB35" s="68"/>
      <c r="FC35" s="68"/>
      <c r="FD35" s="68"/>
      <c r="FE35" s="68"/>
      <c r="FF35" s="68"/>
      <c r="FG35" s="68"/>
      <c r="FH35" s="68"/>
      <c r="FI35" s="68"/>
      <c r="FJ35" s="68"/>
      <c r="FK35" s="68"/>
      <c r="FL35" s="68"/>
      <c r="FM35" s="68"/>
      <c r="FN35" s="68"/>
      <c r="FO35" s="68"/>
      <c r="FP35" s="68"/>
      <c r="FQ35" s="68"/>
      <c r="FR35" s="68"/>
      <c r="FS35" s="68"/>
      <c r="FT35" s="68"/>
      <c r="FU35" s="68"/>
      <c r="FV35" s="68"/>
      <c r="FW35" s="68"/>
      <c r="FX35" s="68"/>
      <c r="FY35" s="68"/>
      <c r="FZ35" s="68"/>
      <c r="GA35" s="68"/>
      <c r="GB35" s="68"/>
      <c r="GC35" s="68"/>
      <c r="GD35" s="68"/>
      <c r="GE35" s="68"/>
      <c r="GF35" s="68"/>
      <c r="GG35" s="68"/>
      <c r="GH35" s="68"/>
      <c r="GI35" s="68"/>
      <c r="GJ35" s="68"/>
      <c r="GK35" s="68"/>
      <c r="GL35" s="68"/>
      <c r="GM35" s="68"/>
      <c r="GN35" s="68"/>
      <c r="GO35" s="68"/>
      <c r="GP35" s="68"/>
      <c r="GQ35" s="68"/>
      <c r="GR35" s="68"/>
      <c r="GS35" s="68"/>
      <c r="GT35" s="68"/>
      <c r="GU35" s="68"/>
      <c r="GV35" s="68"/>
      <c r="GW35" s="68"/>
      <c r="GX35" s="68"/>
      <c r="GY35" s="68"/>
      <c r="GZ35" s="68"/>
      <c r="HA35" s="68"/>
      <c r="HB35" s="68"/>
      <c r="HC35" s="68"/>
      <c r="HD35" s="68"/>
      <c r="HE35" s="68"/>
      <c r="HF35" s="68"/>
      <c r="HG35" s="68"/>
      <c r="HH35" s="68"/>
      <c r="HI35" s="68"/>
      <c r="HJ35" s="68"/>
      <c r="HK35" s="68"/>
      <c r="HL35" s="68"/>
      <c r="HM35" s="68"/>
      <c r="HN35" s="68"/>
      <c r="HO35" s="68"/>
      <c r="HP35" s="68"/>
      <c r="HQ35" s="68"/>
      <c r="HR35" s="68"/>
      <c r="HS35" s="68"/>
      <c r="HT35" s="68"/>
      <c r="HU35" s="68"/>
      <c r="HV35" s="68"/>
      <c r="HW35" s="68"/>
      <c r="HX35" s="68"/>
      <c r="HY35" s="68"/>
      <c r="HZ35" s="68"/>
      <c r="IA35" s="68"/>
      <c r="IB35" s="68"/>
      <c r="IC35" s="68"/>
      <c r="ID35" s="68"/>
      <c r="IE35" s="68"/>
    </row>
    <row r="36" spans="2:239" ht="12.75" customHeight="1" x14ac:dyDescent="0.25">
      <c r="C36" t="s">
        <v>76</v>
      </c>
      <c r="H36" s="54" t="s">
        <v>13</v>
      </c>
      <c r="J36" s="167">
        <f>InputC!K96</f>
        <v>22</v>
      </c>
      <c r="N36" s="12">
        <f>SUM(P36:IF36)</f>
        <v>25</v>
      </c>
      <c r="P36" s="68">
        <f>Timing!R40</f>
        <v>0</v>
      </c>
      <c r="Q36" s="68">
        <f>Timing!S40</f>
        <v>0</v>
      </c>
      <c r="R36" s="68">
        <f>Timing!T40</f>
        <v>0</v>
      </c>
      <c r="S36" s="68">
        <f>Timing!U40</f>
        <v>1</v>
      </c>
      <c r="T36" s="68">
        <f>Timing!V40</f>
        <v>1</v>
      </c>
      <c r="U36" s="68">
        <f>Timing!W40</f>
        <v>1</v>
      </c>
      <c r="V36" s="68">
        <f>Timing!X40</f>
        <v>1</v>
      </c>
      <c r="W36" s="68">
        <f>Timing!Y40</f>
        <v>1</v>
      </c>
      <c r="X36" s="68">
        <f>Timing!Z40</f>
        <v>1</v>
      </c>
      <c r="Y36" s="68">
        <f>Timing!AA40</f>
        <v>1</v>
      </c>
      <c r="Z36" s="68">
        <f>Timing!AB40</f>
        <v>1</v>
      </c>
      <c r="AA36" s="68">
        <f>Timing!AC40</f>
        <v>1</v>
      </c>
      <c r="AB36" s="68">
        <f>Timing!AD40</f>
        <v>1</v>
      </c>
      <c r="AC36" s="68">
        <f>Timing!AE40</f>
        <v>1</v>
      </c>
      <c r="AD36" s="68">
        <f>Timing!AF40</f>
        <v>1</v>
      </c>
      <c r="AE36" s="68">
        <f>Timing!AG40</f>
        <v>1</v>
      </c>
      <c r="AF36" s="68">
        <f>Timing!AH40</f>
        <v>1</v>
      </c>
      <c r="AG36" s="68">
        <f>Timing!AI40</f>
        <v>1</v>
      </c>
      <c r="AH36" s="68">
        <f>Timing!AJ40</f>
        <v>1</v>
      </c>
      <c r="AI36" s="68">
        <f>Timing!AK40</f>
        <v>1</v>
      </c>
      <c r="AJ36" s="68">
        <f>Timing!AL40</f>
        <v>1</v>
      </c>
      <c r="AK36" s="68">
        <f>Timing!AM40</f>
        <v>1</v>
      </c>
      <c r="AL36" s="68">
        <f>Timing!AN40</f>
        <v>1</v>
      </c>
      <c r="AM36" s="68">
        <f>Timing!AO40</f>
        <v>1</v>
      </c>
      <c r="AN36" s="68">
        <f>Timing!AP40</f>
        <v>1</v>
      </c>
      <c r="AO36" s="68">
        <f>Timing!AQ40</f>
        <v>1</v>
      </c>
      <c r="AP36" s="68">
        <f>Timing!AR40</f>
        <v>1</v>
      </c>
      <c r="AQ36" s="68">
        <f>Timing!AS40</f>
        <v>1</v>
      </c>
      <c r="AR36" s="68">
        <f>Timing!AT40</f>
        <v>0</v>
      </c>
      <c r="AS36" s="68">
        <f>Timing!AU40</f>
        <v>0</v>
      </c>
      <c r="AT36" s="68">
        <f>Timing!AV40</f>
        <v>0</v>
      </c>
      <c r="AU36" s="68">
        <f>Timing!AW40</f>
        <v>0</v>
      </c>
      <c r="AV36" s="68">
        <f>Timing!AX40</f>
        <v>0</v>
      </c>
      <c r="AW36" s="68">
        <f>Timing!AY40</f>
        <v>0</v>
      </c>
      <c r="AX36" s="68">
        <f>Timing!AZ40</f>
        <v>0</v>
      </c>
      <c r="AY36" s="68">
        <f>Timing!BA40</f>
        <v>0</v>
      </c>
      <c r="AZ36" s="68">
        <f>Timing!BB40</f>
        <v>0</v>
      </c>
      <c r="BA36" s="68">
        <f>Timing!BC40</f>
        <v>0</v>
      </c>
      <c r="BB36" s="68">
        <f>Timing!BD40</f>
        <v>0</v>
      </c>
      <c r="BC36" s="68">
        <f>Timing!BE40</f>
        <v>0</v>
      </c>
      <c r="BD36" s="68">
        <f>Timing!BF40</f>
        <v>0</v>
      </c>
      <c r="BE36" s="68">
        <f>Timing!BG40</f>
        <v>0</v>
      </c>
      <c r="BF36" s="68">
        <f>Timing!BH40</f>
        <v>0</v>
      </c>
      <c r="BG36" s="68">
        <f>Timing!BI40</f>
        <v>0</v>
      </c>
      <c r="BH36" s="68">
        <f>Timing!BJ40</f>
        <v>0</v>
      </c>
      <c r="BI36" s="68">
        <f>Timing!BK40</f>
        <v>0</v>
      </c>
      <c r="BJ36" s="68">
        <f>Timing!BL40</f>
        <v>0</v>
      </c>
      <c r="BK36" s="68">
        <f>Timing!BM40</f>
        <v>0</v>
      </c>
      <c r="BL36" s="68">
        <f>Timing!BN40</f>
        <v>0</v>
      </c>
      <c r="BM36" s="68">
        <f>Timing!BO40</f>
        <v>0</v>
      </c>
      <c r="BN36" s="68">
        <f>Timing!BP40</f>
        <v>0</v>
      </c>
      <c r="BO36" s="68">
        <f>Timing!BQ40</f>
        <v>0</v>
      </c>
      <c r="BP36" s="68">
        <f>Timing!BR40</f>
        <v>0</v>
      </c>
      <c r="BQ36" s="68">
        <f>Timing!BS40</f>
        <v>0</v>
      </c>
      <c r="BR36" s="68">
        <f>Timing!BT40</f>
        <v>0</v>
      </c>
      <c r="BS36" s="68">
        <f>Timing!BU40</f>
        <v>0</v>
      </c>
      <c r="BT36" s="68">
        <f>Timing!BV40</f>
        <v>0</v>
      </c>
      <c r="BU36" s="68">
        <f>Timing!BW40</f>
        <v>0</v>
      </c>
      <c r="BV36" s="68">
        <f>Timing!BX40</f>
        <v>0</v>
      </c>
      <c r="BW36" s="68">
        <f>Timing!BY40</f>
        <v>0</v>
      </c>
      <c r="BX36" s="68">
        <f>Timing!BZ40</f>
        <v>0</v>
      </c>
      <c r="BY36" s="68">
        <f>Timing!CA40</f>
        <v>0</v>
      </c>
      <c r="BZ36" s="68">
        <f>Timing!CB40</f>
        <v>0</v>
      </c>
      <c r="CA36" s="68">
        <f>Timing!CC40</f>
        <v>0</v>
      </c>
      <c r="CB36" s="68">
        <f>Timing!CD40</f>
        <v>0</v>
      </c>
      <c r="CC36" s="68">
        <f>Timing!CE40</f>
        <v>0</v>
      </c>
      <c r="CD36" s="68">
        <f>Timing!CF40</f>
        <v>0</v>
      </c>
      <c r="CE36" s="68">
        <f>Timing!CG40</f>
        <v>0</v>
      </c>
      <c r="CF36" s="68">
        <f>Timing!CH40</f>
        <v>0</v>
      </c>
      <c r="CG36" s="68">
        <f>Timing!CI40</f>
        <v>0</v>
      </c>
      <c r="CH36" s="68">
        <f>Timing!CJ40</f>
        <v>0</v>
      </c>
      <c r="CI36" s="68">
        <f>Timing!CK40</f>
        <v>0</v>
      </c>
      <c r="CJ36" s="68">
        <f>Timing!CL40</f>
        <v>0</v>
      </c>
      <c r="CK36" s="68">
        <f>Timing!CM40</f>
        <v>0</v>
      </c>
      <c r="CL36" s="68">
        <f>Timing!CN40</f>
        <v>0</v>
      </c>
      <c r="CM36" s="68">
        <f>Timing!CO40</f>
        <v>0</v>
      </c>
      <c r="CN36" s="68">
        <f>Timing!CP40</f>
        <v>0</v>
      </c>
      <c r="CO36" s="68">
        <f>Timing!CQ40</f>
        <v>0</v>
      </c>
      <c r="CP36" s="68">
        <f>Timing!CR40</f>
        <v>0</v>
      </c>
      <c r="CQ36" s="68">
        <f>Timing!CS40</f>
        <v>0</v>
      </c>
      <c r="CR36" s="68">
        <f>Timing!CT40</f>
        <v>0</v>
      </c>
      <c r="CS36" s="68">
        <f>Timing!CU40</f>
        <v>0</v>
      </c>
      <c r="CT36" s="68">
        <f>Timing!CV40</f>
        <v>0</v>
      </c>
      <c r="CU36" s="68"/>
      <c r="CV36" s="68"/>
      <c r="CW36" s="68"/>
      <c r="CX36" s="68"/>
      <c r="CY36" s="68"/>
      <c r="CZ36" s="68"/>
      <c r="DA36" s="68"/>
      <c r="DB36" s="68"/>
      <c r="DE36" s="68"/>
      <c r="DF36" s="68"/>
      <c r="DG36" s="68"/>
      <c r="DH36" s="68"/>
      <c r="DI36" s="68"/>
      <c r="DJ36" s="68"/>
      <c r="DK36" s="68"/>
      <c r="DL36" s="68"/>
      <c r="DM36" s="68"/>
      <c r="DN36" s="68"/>
      <c r="DO36" s="68"/>
      <c r="DP36" s="68"/>
      <c r="DQ36" s="68"/>
      <c r="DR36" s="68"/>
      <c r="DS36" s="68"/>
      <c r="DT36" s="68"/>
      <c r="DU36" s="68"/>
      <c r="DV36" s="68"/>
      <c r="DW36" s="68"/>
      <c r="DX36" s="68"/>
      <c r="DY36" s="68"/>
      <c r="DZ36" s="68"/>
      <c r="EA36" s="68"/>
      <c r="EB36" s="68"/>
      <c r="EC36" s="68"/>
      <c r="ED36" s="68"/>
      <c r="EE36" s="68"/>
      <c r="EF36" s="68"/>
      <c r="EG36" s="68"/>
      <c r="EH36" s="68"/>
      <c r="EI36" s="68"/>
      <c r="EJ36" s="68"/>
      <c r="EK36" s="68"/>
      <c r="EL36" s="68"/>
      <c r="EM36" s="68"/>
      <c r="EN36" s="68"/>
      <c r="EO36" s="68"/>
      <c r="EP36" s="68"/>
      <c r="EQ36" s="68"/>
      <c r="ER36" s="68"/>
      <c r="ES36" s="68"/>
      <c r="ET36" s="68"/>
      <c r="EU36" s="68"/>
      <c r="EV36" s="68"/>
      <c r="EW36" s="68"/>
      <c r="EX36" s="68"/>
      <c r="EY36" s="68"/>
      <c r="EZ36" s="68"/>
      <c r="FA36" s="68"/>
      <c r="FB36" s="68"/>
      <c r="FC36" s="68"/>
      <c r="FD36" s="68"/>
      <c r="FE36" s="68"/>
      <c r="FF36" s="68"/>
      <c r="FG36" s="68"/>
      <c r="FH36" s="68"/>
      <c r="FI36" s="68"/>
      <c r="FJ36" s="68"/>
      <c r="FK36" s="68"/>
      <c r="FL36" s="68"/>
      <c r="FM36" s="68"/>
      <c r="FN36" s="68"/>
      <c r="FO36" s="68"/>
      <c r="FP36" s="68"/>
      <c r="FQ36" s="68"/>
      <c r="FR36" s="68"/>
      <c r="FS36" s="68"/>
      <c r="FT36" s="68"/>
      <c r="FU36" s="68"/>
      <c r="FV36" s="68"/>
      <c r="FW36" s="68"/>
      <c r="FX36" s="68"/>
      <c r="FY36" s="68"/>
      <c r="FZ36" s="68"/>
      <c r="GA36" s="68"/>
      <c r="GB36" s="68"/>
      <c r="GC36" s="68"/>
      <c r="GD36" s="68"/>
      <c r="GE36" s="68"/>
      <c r="GF36" s="68"/>
      <c r="GG36" s="68"/>
      <c r="GH36" s="68"/>
      <c r="GI36" s="68"/>
      <c r="GJ36" s="68"/>
      <c r="GK36" s="68"/>
      <c r="GL36" s="68"/>
      <c r="GM36" s="68"/>
      <c r="GN36" s="68"/>
      <c r="GO36" s="68"/>
      <c r="GP36" s="68"/>
      <c r="GQ36" s="68"/>
      <c r="GR36" s="68"/>
      <c r="GS36" s="68"/>
      <c r="GT36" s="68"/>
      <c r="GU36" s="68"/>
      <c r="GV36" s="68"/>
      <c r="GW36" s="68"/>
      <c r="GX36" s="68"/>
      <c r="GY36" s="68"/>
      <c r="GZ36" s="68"/>
      <c r="HA36" s="68"/>
      <c r="HB36" s="68"/>
      <c r="HC36" s="68"/>
      <c r="HD36" s="68"/>
      <c r="HE36" s="68"/>
      <c r="HF36" s="68"/>
      <c r="HG36" s="68"/>
      <c r="HH36" s="68"/>
      <c r="HI36" s="68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</row>
    <row r="37" spans="2:239" ht="12.75" customHeight="1" x14ac:dyDescent="0.25">
      <c r="C37" t="s">
        <v>217</v>
      </c>
      <c r="H37" s="54" t="s">
        <v>13</v>
      </c>
      <c r="N37" s="12">
        <f>SUM(P37:IF37)</f>
        <v>1</v>
      </c>
      <c r="P37" s="68">
        <f>Timing!R41</f>
        <v>0</v>
      </c>
      <c r="Q37" s="68">
        <f>Timing!S41</f>
        <v>0</v>
      </c>
      <c r="R37" s="68">
        <f>Timing!T41</f>
        <v>0</v>
      </c>
      <c r="S37" s="68">
        <f>Timing!U41</f>
        <v>0</v>
      </c>
      <c r="T37" s="68">
        <f>Timing!V41</f>
        <v>0</v>
      </c>
      <c r="U37" s="68">
        <f>Timing!W41</f>
        <v>0</v>
      </c>
      <c r="V37" s="68">
        <f>Timing!X41</f>
        <v>0</v>
      </c>
      <c r="W37" s="68">
        <f>Timing!Y41</f>
        <v>0</v>
      </c>
      <c r="X37" s="68">
        <f>Timing!Z41</f>
        <v>0</v>
      </c>
      <c r="Y37" s="68">
        <f>Timing!AA41</f>
        <v>0</v>
      </c>
      <c r="Z37" s="68">
        <f>Timing!AB41</f>
        <v>0</v>
      </c>
      <c r="AA37" s="68">
        <f>Timing!AC41</f>
        <v>0</v>
      </c>
      <c r="AB37" s="68">
        <f>Timing!AD41</f>
        <v>0</v>
      </c>
      <c r="AC37" s="68">
        <f>Timing!AE41</f>
        <v>0</v>
      </c>
      <c r="AD37" s="68">
        <f>Timing!AF41</f>
        <v>0</v>
      </c>
      <c r="AE37" s="68">
        <f>Timing!AG41</f>
        <v>0</v>
      </c>
      <c r="AF37" s="68">
        <f>Timing!AH41</f>
        <v>0</v>
      </c>
      <c r="AG37" s="68">
        <f>Timing!AI41</f>
        <v>0</v>
      </c>
      <c r="AH37" s="68">
        <f>Timing!AJ41</f>
        <v>0</v>
      </c>
      <c r="AI37" s="68">
        <f>Timing!AK41</f>
        <v>0</v>
      </c>
      <c r="AJ37" s="68">
        <f>Timing!AL41</f>
        <v>0</v>
      </c>
      <c r="AK37" s="68">
        <f>Timing!AM41</f>
        <v>0</v>
      </c>
      <c r="AL37" s="68">
        <f>Timing!AN41</f>
        <v>0</v>
      </c>
      <c r="AM37" s="68">
        <f>Timing!AO41</f>
        <v>0</v>
      </c>
      <c r="AN37" s="68">
        <f>Timing!AP41</f>
        <v>0</v>
      </c>
      <c r="AO37" s="68">
        <f>Timing!AQ41</f>
        <v>0</v>
      </c>
      <c r="AP37" s="68">
        <f>Timing!AR41</f>
        <v>0</v>
      </c>
      <c r="AQ37" s="68">
        <f>Timing!AS41</f>
        <v>1</v>
      </c>
      <c r="AR37" s="68">
        <f>Timing!AT41</f>
        <v>0</v>
      </c>
      <c r="AS37" s="68">
        <f>Timing!AU41</f>
        <v>0</v>
      </c>
      <c r="AT37" s="68">
        <f>Timing!AV41</f>
        <v>0</v>
      </c>
      <c r="AU37" s="68">
        <f>Timing!AW41</f>
        <v>0</v>
      </c>
      <c r="AV37" s="68">
        <f>Timing!AX41</f>
        <v>0</v>
      </c>
      <c r="AW37" s="68">
        <f>Timing!AY41</f>
        <v>0</v>
      </c>
      <c r="AX37" s="68">
        <f>Timing!AZ41</f>
        <v>0</v>
      </c>
      <c r="AY37" s="68">
        <f>Timing!BA41</f>
        <v>0</v>
      </c>
      <c r="AZ37" s="68">
        <f>Timing!BB41</f>
        <v>0</v>
      </c>
      <c r="BA37" s="68">
        <f>Timing!BC41</f>
        <v>0</v>
      </c>
      <c r="BB37" s="68">
        <f>Timing!BD41</f>
        <v>0</v>
      </c>
      <c r="BC37" s="68">
        <f>Timing!BE41</f>
        <v>0</v>
      </c>
      <c r="BD37" s="68">
        <f>Timing!BF41</f>
        <v>0</v>
      </c>
      <c r="BE37" s="68">
        <f>Timing!BG41</f>
        <v>0</v>
      </c>
      <c r="BF37" s="68">
        <f>Timing!BH41</f>
        <v>0</v>
      </c>
      <c r="BG37" s="68">
        <f>Timing!BI41</f>
        <v>0</v>
      </c>
      <c r="BH37" s="68">
        <f>Timing!BJ41</f>
        <v>0</v>
      </c>
      <c r="BI37" s="68">
        <f>Timing!BK41</f>
        <v>0</v>
      </c>
      <c r="BJ37" s="68">
        <f>Timing!BL41</f>
        <v>0</v>
      </c>
      <c r="BK37" s="68">
        <f>Timing!BM41</f>
        <v>0</v>
      </c>
      <c r="BL37" s="68">
        <f>Timing!BN41</f>
        <v>0</v>
      </c>
      <c r="BM37" s="68">
        <f>Timing!BO41</f>
        <v>0</v>
      </c>
      <c r="BN37" s="68">
        <f>Timing!BP41</f>
        <v>0</v>
      </c>
      <c r="BO37" s="68">
        <f>Timing!BQ41</f>
        <v>0</v>
      </c>
      <c r="BP37" s="68">
        <f>Timing!BR41</f>
        <v>0</v>
      </c>
      <c r="BQ37" s="68">
        <f>Timing!BS41</f>
        <v>0</v>
      </c>
      <c r="BR37" s="68">
        <f>Timing!BT41</f>
        <v>0</v>
      </c>
      <c r="BS37" s="68">
        <f>Timing!BU41</f>
        <v>0</v>
      </c>
      <c r="BT37" s="68">
        <f>Timing!BV41</f>
        <v>0</v>
      </c>
      <c r="BU37" s="68">
        <f>Timing!BW41</f>
        <v>0</v>
      </c>
      <c r="BV37" s="68">
        <f>Timing!BX41</f>
        <v>0</v>
      </c>
      <c r="BW37" s="68">
        <f>Timing!BY41</f>
        <v>0</v>
      </c>
      <c r="BX37" s="68">
        <f>Timing!BZ41</f>
        <v>0</v>
      </c>
      <c r="BY37" s="68">
        <f>Timing!CA41</f>
        <v>0</v>
      </c>
      <c r="BZ37" s="68">
        <f>Timing!CB41</f>
        <v>0</v>
      </c>
      <c r="CA37" s="68">
        <f>Timing!CC41</f>
        <v>0</v>
      </c>
      <c r="CB37" s="68">
        <f>Timing!CD41</f>
        <v>0</v>
      </c>
      <c r="CC37" s="68">
        <f>Timing!CE41</f>
        <v>0</v>
      </c>
      <c r="CD37" s="68">
        <f>Timing!CF41</f>
        <v>0</v>
      </c>
      <c r="CE37" s="68">
        <f>Timing!CG41</f>
        <v>0</v>
      </c>
      <c r="CF37" s="68">
        <f>Timing!CH41</f>
        <v>0</v>
      </c>
      <c r="CG37" s="68">
        <f>Timing!CI41</f>
        <v>0</v>
      </c>
      <c r="CH37" s="68">
        <f>Timing!CJ41</f>
        <v>0</v>
      </c>
      <c r="CI37" s="68">
        <f>Timing!CK41</f>
        <v>0</v>
      </c>
      <c r="CJ37" s="68">
        <f>Timing!CL41</f>
        <v>0</v>
      </c>
      <c r="CK37" s="68">
        <f>Timing!CM41</f>
        <v>0</v>
      </c>
      <c r="CL37" s="68">
        <f>Timing!CN41</f>
        <v>0</v>
      </c>
      <c r="CM37" s="68">
        <f>Timing!CO41</f>
        <v>0</v>
      </c>
      <c r="CN37" s="68">
        <f>Timing!CP41</f>
        <v>0</v>
      </c>
      <c r="CO37" s="68">
        <f>Timing!CQ41</f>
        <v>0</v>
      </c>
      <c r="CP37" s="68">
        <f>Timing!CR41</f>
        <v>0</v>
      </c>
      <c r="CQ37" s="68">
        <f>Timing!CS41</f>
        <v>0</v>
      </c>
      <c r="CR37" s="68">
        <f>Timing!CT41</f>
        <v>0</v>
      </c>
      <c r="CS37" s="68">
        <f>Timing!CU41</f>
        <v>0</v>
      </c>
      <c r="CT37" s="68">
        <f>Timing!CV41</f>
        <v>0</v>
      </c>
      <c r="CU37" s="68"/>
      <c r="CV37" s="68"/>
      <c r="CW37" s="68"/>
      <c r="CX37" s="68"/>
      <c r="CY37" s="68"/>
      <c r="CZ37" s="68"/>
      <c r="DA37" s="68"/>
      <c r="DB37" s="68"/>
      <c r="DE37" s="68"/>
      <c r="DF37" s="68"/>
      <c r="DG37" s="68"/>
      <c r="DH37" s="68"/>
      <c r="DI37" s="68"/>
      <c r="DJ37" s="68"/>
      <c r="DK37" s="68"/>
      <c r="DL37" s="68"/>
      <c r="DM37" s="68"/>
      <c r="DN37" s="68"/>
      <c r="DO37" s="68"/>
      <c r="DP37" s="68"/>
      <c r="DQ37" s="68"/>
      <c r="DR37" s="68"/>
      <c r="DS37" s="68"/>
      <c r="DT37" s="68"/>
      <c r="DU37" s="68"/>
      <c r="DV37" s="68"/>
      <c r="DW37" s="68"/>
      <c r="DX37" s="68"/>
      <c r="DY37" s="68"/>
      <c r="DZ37" s="68"/>
      <c r="EA37" s="68"/>
      <c r="EB37" s="68"/>
      <c r="EC37" s="68"/>
      <c r="ED37" s="68"/>
      <c r="EE37" s="68"/>
      <c r="EF37" s="68"/>
      <c r="EG37" s="68"/>
      <c r="EH37" s="68"/>
      <c r="EI37" s="68"/>
      <c r="EJ37" s="68"/>
      <c r="EK37" s="68"/>
      <c r="EL37" s="68"/>
      <c r="EM37" s="68"/>
      <c r="EN37" s="68"/>
      <c r="EO37" s="68"/>
      <c r="EP37" s="68"/>
      <c r="EQ37" s="68"/>
      <c r="ER37" s="68"/>
      <c r="ES37" s="68"/>
      <c r="ET37" s="68"/>
      <c r="EU37" s="68"/>
      <c r="EV37" s="68"/>
      <c r="EW37" s="68"/>
      <c r="EX37" s="68"/>
      <c r="EY37" s="68"/>
      <c r="EZ37" s="68"/>
      <c r="FA37" s="68"/>
      <c r="FB37" s="68"/>
      <c r="FC37" s="68"/>
      <c r="FD37" s="68"/>
      <c r="FE37" s="68"/>
      <c r="FF37" s="68"/>
      <c r="FG37" s="68"/>
      <c r="FH37" s="68"/>
      <c r="FI37" s="68"/>
      <c r="FJ37" s="68"/>
      <c r="FK37" s="68"/>
      <c r="FL37" s="68"/>
      <c r="FM37" s="68"/>
      <c r="FN37" s="68"/>
      <c r="FO37" s="68"/>
      <c r="FP37" s="68"/>
      <c r="FQ37" s="68"/>
      <c r="FR37" s="68"/>
      <c r="FS37" s="68"/>
      <c r="FT37" s="68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  <c r="GP37" s="68"/>
      <c r="GQ37" s="68"/>
      <c r="GR37" s="68"/>
      <c r="GS37" s="68"/>
      <c r="GT37" s="68"/>
      <c r="GU37" s="68"/>
      <c r="GV37" s="68"/>
      <c r="GW37" s="68"/>
      <c r="GX37" s="68"/>
      <c r="GY37" s="68"/>
      <c r="GZ37" s="68"/>
      <c r="HA37" s="68"/>
      <c r="HB37" s="68"/>
      <c r="HC37" s="68"/>
      <c r="HD37" s="68"/>
      <c r="HE37" s="68"/>
      <c r="HF37" s="68"/>
      <c r="HG37" s="68"/>
      <c r="HH37" s="68"/>
      <c r="HI37" s="68"/>
      <c r="HJ37" s="68"/>
      <c r="HK37" s="68"/>
      <c r="HL37" s="68"/>
      <c r="HM37" s="68"/>
      <c r="HN37" s="68"/>
      <c r="HO37" s="68"/>
      <c r="HP37" s="68"/>
      <c r="HQ37" s="68"/>
      <c r="HR37" s="68"/>
      <c r="HS37" s="68"/>
      <c r="HT37" s="68"/>
      <c r="HU37" s="68"/>
      <c r="HV37" s="68"/>
      <c r="HW37" s="68"/>
      <c r="HX37" s="68"/>
      <c r="HY37" s="68"/>
      <c r="HZ37" s="68"/>
      <c r="IA37" s="68"/>
      <c r="IB37" s="68"/>
      <c r="IC37" s="68"/>
      <c r="ID37" s="68"/>
      <c r="IE37" s="68"/>
    </row>
    <row r="38" spans="2:239" ht="12.75" customHeight="1" x14ac:dyDescent="0.25">
      <c r="H38" s="54"/>
    </row>
    <row r="39" spans="2:239" ht="12.75" customHeight="1" x14ac:dyDescent="0.25">
      <c r="C39" t="s">
        <v>218</v>
      </c>
      <c r="H39" s="54" t="s">
        <v>6</v>
      </c>
      <c r="J39" s="96"/>
      <c r="P39" s="82">
        <f>InputT!R18*P36</f>
        <v>0</v>
      </c>
      <c r="Q39" s="82">
        <f>InputT!S18*Q36</f>
        <v>0</v>
      </c>
      <c r="R39" s="82">
        <f>InputT!T18*R36</f>
        <v>0</v>
      </c>
      <c r="S39" s="82">
        <f>InputT!U18*S36</f>
        <v>0.01</v>
      </c>
      <c r="T39" s="82">
        <f>InputT!V18*T36</f>
        <v>0.01</v>
      </c>
      <c r="U39" s="82">
        <f>InputT!W18*U36</f>
        <v>0.01</v>
      </c>
      <c r="V39" s="82">
        <f>InputT!X18*V36</f>
        <v>0.01</v>
      </c>
      <c r="W39" s="82">
        <f>InputT!Y18*W36</f>
        <v>0.01</v>
      </c>
      <c r="X39" s="82">
        <f>InputT!Z18*X36</f>
        <v>0.01</v>
      </c>
      <c r="Y39" s="82">
        <f>InputT!AA18*Y36</f>
        <v>0.01</v>
      </c>
      <c r="Z39" s="82">
        <f>InputT!AB18*Z36</f>
        <v>0.01</v>
      </c>
      <c r="AA39" s="82">
        <f>InputT!AC18*AA36</f>
        <v>0.01</v>
      </c>
      <c r="AB39" s="82">
        <f>InputT!AD18*AB36</f>
        <v>0.01</v>
      </c>
      <c r="AC39" s="82">
        <f>InputT!AE18*AC36</f>
        <v>0.01</v>
      </c>
      <c r="AD39" s="82">
        <f>InputT!AF18*AD36</f>
        <v>0.01</v>
      </c>
      <c r="AE39" s="82">
        <f>InputT!AG18*AE36</f>
        <v>0.01</v>
      </c>
      <c r="AF39" s="82">
        <f>InputT!AH18*AF36</f>
        <v>0.01</v>
      </c>
      <c r="AG39" s="82">
        <f>InputT!AI18*AG36</f>
        <v>0.01</v>
      </c>
      <c r="AH39" s="82">
        <f>InputT!AJ18*AH36</f>
        <v>0.01</v>
      </c>
      <c r="AI39" s="82">
        <f>InputT!AK18*AI36</f>
        <v>0.01</v>
      </c>
      <c r="AJ39" s="82">
        <f>InputT!AL18*AJ36</f>
        <v>0.01</v>
      </c>
      <c r="AK39" s="82">
        <f>InputT!AM18*AK36</f>
        <v>0.01</v>
      </c>
      <c r="AL39" s="82">
        <f>InputT!AN18*AL36</f>
        <v>0.01</v>
      </c>
      <c r="AM39" s="82">
        <f>InputT!AO18*AM36</f>
        <v>0.01</v>
      </c>
      <c r="AN39" s="82">
        <f>InputT!AP18*AN36</f>
        <v>0.01</v>
      </c>
      <c r="AO39" s="82">
        <f>InputT!AQ18*AO36</f>
        <v>0.01</v>
      </c>
      <c r="AP39" s="82">
        <f>InputT!AR18*AP36</f>
        <v>0.01</v>
      </c>
      <c r="AQ39" s="82">
        <f>InputT!AS18*AQ36</f>
        <v>0.01</v>
      </c>
      <c r="AR39" s="82">
        <f>InputT!AT18*AR36</f>
        <v>0</v>
      </c>
      <c r="AS39" s="82">
        <f>InputT!AU18*AS36</f>
        <v>0</v>
      </c>
      <c r="AT39" s="82">
        <f>InputT!AV18*AT36</f>
        <v>0</v>
      </c>
      <c r="AU39" s="82">
        <f>InputT!AW18*AU36</f>
        <v>0</v>
      </c>
      <c r="AV39" s="82">
        <f>InputT!AX18*AV36</f>
        <v>0</v>
      </c>
      <c r="AW39" s="82">
        <f>InputT!AY18*AW36</f>
        <v>0</v>
      </c>
      <c r="AX39" s="82">
        <f>InputT!AZ18*AX36</f>
        <v>0</v>
      </c>
      <c r="AY39" s="82">
        <f>InputT!BA18*AY36</f>
        <v>0</v>
      </c>
      <c r="AZ39" s="82">
        <f>InputT!BB18*AZ36</f>
        <v>0</v>
      </c>
      <c r="BA39" s="82">
        <f>InputT!BC18*BA36</f>
        <v>0</v>
      </c>
      <c r="BB39" s="82">
        <f>InputT!BD18*BB36</f>
        <v>0</v>
      </c>
      <c r="BC39" s="82">
        <f>InputT!BE18*BC36</f>
        <v>0</v>
      </c>
      <c r="BD39" s="82">
        <f>InputT!BF18*BD36</f>
        <v>0</v>
      </c>
      <c r="BE39" s="82">
        <f>InputT!BG18*BE36</f>
        <v>0</v>
      </c>
      <c r="BF39" s="82">
        <f>InputT!BH18*BF36</f>
        <v>0</v>
      </c>
      <c r="BG39" s="82">
        <f>InputT!BI18*BG36</f>
        <v>0</v>
      </c>
      <c r="BH39" s="82">
        <f>InputT!BJ18*BH36</f>
        <v>0</v>
      </c>
      <c r="BI39" s="82">
        <f>InputT!BK18*BI36</f>
        <v>0</v>
      </c>
      <c r="BJ39" s="82">
        <f>InputT!BL18*BJ36</f>
        <v>0</v>
      </c>
      <c r="BK39" s="82">
        <f>InputT!BM18*BK36</f>
        <v>0</v>
      </c>
      <c r="BL39" s="82">
        <f>InputT!BN18*BL36</f>
        <v>0</v>
      </c>
      <c r="BM39" s="82">
        <f>InputT!BO18*BM36</f>
        <v>0</v>
      </c>
      <c r="BN39" s="82">
        <f>InputT!BP18*BN36</f>
        <v>0</v>
      </c>
      <c r="BO39" s="82">
        <f>InputT!BQ18*BO36</f>
        <v>0</v>
      </c>
      <c r="BP39" s="82">
        <f>InputT!BR18*BP36</f>
        <v>0</v>
      </c>
      <c r="BQ39" s="82">
        <f>InputT!BS18*BQ36</f>
        <v>0</v>
      </c>
      <c r="BR39" s="82">
        <f>InputT!BT18*BR36</f>
        <v>0</v>
      </c>
      <c r="BS39" s="82">
        <f>InputT!BU18*BS36</f>
        <v>0</v>
      </c>
      <c r="BT39" s="82">
        <f>InputT!BV18*BT36</f>
        <v>0</v>
      </c>
      <c r="BU39" s="82">
        <f>InputT!BW18*BU36</f>
        <v>0</v>
      </c>
      <c r="BV39" s="82">
        <f>InputT!BX18*BV36</f>
        <v>0</v>
      </c>
      <c r="BW39" s="82">
        <f>InputT!BY18*BW36</f>
        <v>0</v>
      </c>
      <c r="BX39" s="82">
        <f>InputT!BZ18*BX36</f>
        <v>0</v>
      </c>
      <c r="BY39" s="82">
        <f>InputT!CA18*BY36</f>
        <v>0</v>
      </c>
      <c r="BZ39" s="82">
        <f>InputT!CB18*BZ36</f>
        <v>0</v>
      </c>
      <c r="CA39" s="82">
        <f>InputT!CC18*CA36</f>
        <v>0</v>
      </c>
      <c r="CB39" s="82">
        <f>InputT!CD18*CB36</f>
        <v>0</v>
      </c>
      <c r="CC39" s="82">
        <f>InputT!CE18*CC36</f>
        <v>0</v>
      </c>
      <c r="CD39" s="82">
        <f>InputT!CF18*CD36</f>
        <v>0</v>
      </c>
      <c r="CE39" s="82">
        <f>InputT!CG18*CE36</f>
        <v>0</v>
      </c>
      <c r="CF39" s="82">
        <f>InputT!CH18*CF36</f>
        <v>0</v>
      </c>
      <c r="CG39" s="82">
        <f>InputT!CI18*CG36</f>
        <v>0</v>
      </c>
      <c r="CH39" s="82">
        <f>InputT!CJ18*CH36</f>
        <v>0</v>
      </c>
      <c r="CI39" s="82">
        <f>InputT!CK18*CI36</f>
        <v>0</v>
      </c>
      <c r="CJ39" s="82">
        <f>InputT!CL18*CJ36</f>
        <v>0</v>
      </c>
      <c r="CK39" s="82">
        <f>InputT!CM18*CK36</f>
        <v>0</v>
      </c>
      <c r="CL39" s="82">
        <f>InputT!CN18*CL36</f>
        <v>0</v>
      </c>
      <c r="CM39" s="82">
        <f>InputT!CO18*CM36</f>
        <v>0</v>
      </c>
      <c r="CN39" s="82">
        <f>InputT!CP18*CN36</f>
        <v>0</v>
      </c>
      <c r="CO39" s="82">
        <f>InputT!CQ18*CO36</f>
        <v>0</v>
      </c>
      <c r="CP39" s="82">
        <f>InputT!CR18*CP36</f>
        <v>0</v>
      </c>
      <c r="CQ39" s="82">
        <f>InputT!CS18*CQ36</f>
        <v>0</v>
      </c>
      <c r="CR39" s="82">
        <f>InputT!CT18*CR36</f>
        <v>0</v>
      </c>
      <c r="CS39" s="82">
        <f>InputT!CU18*CS36</f>
        <v>0</v>
      </c>
      <c r="CT39" s="82">
        <f>InputT!CV18*CT36</f>
        <v>0</v>
      </c>
      <c r="CU39" s="82"/>
      <c r="CV39" s="82"/>
      <c r="CW39" s="82"/>
      <c r="CX39" s="82"/>
      <c r="CY39" s="82"/>
      <c r="CZ39" s="82"/>
      <c r="DA39" s="82"/>
      <c r="DB39" s="82"/>
      <c r="DC39" s="82"/>
      <c r="DD39" s="82"/>
    </row>
    <row r="40" spans="2:239" ht="12.75" customHeight="1" x14ac:dyDescent="0.25">
      <c r="C40" t="s">
        <v>219</v>
      </c>
      <c r="H40" s="54" t="s">
        <v>6</v>
      </c>
      <c r="J40" s="24"/>
      <c r="N40" s="19"/>
      <c r="P40" s="82">
        <f>INDEX(InputC!$K$107:$K$118,MATCH(Financing!P5,InputC!$C$107:$C$118,1))*P36</f>
        <v>0</v>
      </c>
      <c r="Q40" s="82">
        <f>INDEX(InputC!$K$107:$K$118,MATCH(Financing!Q5,InputC!$C$107:$C$118,1))*Q36</f>
        <v>0</v>
      </c>
      <c r="R40" s="82">
        <f>INDEX(InputC!$K$107:$K$118,MATCH(Financing!R5,InputC!$C$107:$C$118,1))*R36</f>
        <v>0</v>
      </c>
      <c r="S40" s="82">
        <f>INDEX(InputC!$K$107:$K$118,MATCH(Financing!S5,InputC!$C$107:$C$118,1))*S36</f>
        <v>1.2999999999999999E-2</v>
      </c>
      <c r="T40" s="82">
        <f>INDEX(InputC!$K$107:$K$118,MATCH(Financing!T5,InputC!$C$107:$C$118,1))*T36</f>
        <v>1.2999999999999999E-2</v>
      </c>
      <c r="U40" s="82">
        <f>INDEX(InputC!$K$107:$K$118,MATCH(Financing!U5,InputC!$C$107:$C$118,1))*U36</f>
        <v>1.4E-2</v>
      </c>
      <c r="V40" s="82">
        <f>INDEX(InputC!$K$107:$K$118,MATCH(Financing!V5,InputC!$C$107:$C$118,1))*V36</f>
        <v>1.4E-2</v>
      </c>
      <c r="W40" s="82">
        <f>INDEX(InputC!$K$107:$K$118,MATCH(Financing!W5,InputC!$C$107:$C$118,1))*W36</f>
        <v>1.4E-2</v>
      </c>
      <c r="X40" s="82">
        <f>INDEX(InputC!$K$107:$K$118,MATCH(Financing!X5,InputC!$C$107:$C$118,1))*X36</f>
        <v>1.4E-2</v>
      </c>
      <c r="Y40" s="82">
        <f>INDEX(InputC!$K$107:$K$118,MATCH(Financing!Y5,InputC!$C$107:$C$118,1))*Y36</f>
        <v>1.4E-2</v>
      </c>
      <c r="Z40" s="82">
        <f>INDEX(InputC!$K$107:$K$118,MATCH(Financing!Z5,InputC!$C$107:$C$118,1))*Z36</f>
        <v>1.5000000000000001E-2</v>
      </c>
      <c r="AA40" s="82">
        <f>INDEX(InputC!$K$107:$K$118,MATCH(Financing!AA5,InputC!$C$107:$C$118,1))*AA36</f>
        <v>1.5000000000000001E-2</v>
      </c>
      <c r="AB40" s="82">
        <f>INDEX(InputC!$K$107:$K$118,MATCH(Financing!AB5,InputC!$C$107:$C$118,1))*AB36</f>
        <v>1.5000000000000001E-2</v>
      </c>
      <c r="AC40" s="82">
        <f>INDEX(InputC!$K$107:$K$118,MATCH(Financing!AC5,InputC!$C$107:$C$118,1))*AC36</f>
        <v>1.5000000000000001E-2</v>
      </c>
      <c r="AD40" s="82">
        <f>INDEX(InputC!$K$107:$K$118,MATCH(Financing!AD5,InputC!$C$107:$C$118,1))*AD36</f>
        <v>1.5000000000000001E-2</v>
      </c>
      <c r="AE40" s="82">
        <f>INDEX(InputC!$K$107:$K$118,MATCH(Financing!AE5,InputC!$C$107:$C$118,1))*AE36</f>
        <v>1.6E-2</v>
      </c>
      <c r="AF40" s="82">
        <f>INDEX(InputC!$K$107:$K$118,MATCH(Financing!AF5,InputC!$C$107:$C$118,1))*AF36</f>
        <v>1.6E-2</v>
      </c>
      <c r="AG40" s="82">
        <f>INDEX(InputC!$K$107:$K$118,MATCH(Financing!AG5,InputC!$C$107:$C$118,1))*AG36</f>
        <v>1.6E-2</v>
      </c>
      <c r="AH40" s="82">
        <f>INDEX(InputC!$K$107:$K$118,MATCH(Financing!AH5,InputC!$C$107:$C$118,1))*AH36</f>
        <v>1.6E-2</v>
      </c>
      <c r="AI40" s="82">
        <f>INDEX(InputC!$K$107:$K$118,MATCH(Financing!AI5,InputC!$C$107:$C$118,1))*AI36</f>
        <v>1.6E-2</v>
      </c>
      <c r="AJ40" s="82">
        <f>INDEX(InputC!$K$107:$K$118,MATCH(Financing!AJ5,InputC!$C$107:$C$118,1))*AJ36</f>
        <v>1.7000000000000001E-2</v>
      </c>
      <c r="AK40" s="82">
        <f>INDEX(InputC!$K$107:$K$118,MATCH(Financing!AK5,InputC!$C$107:$C$118,1))*AK36</f>
        <v>1.7000000000000001E-2</v>
      </c>
      <c r="AL40" s="82">
        <f>INDEX(InputC!$K$107:$K$118,MATCH(Financing!AL5,InputC!$C$107:$C$118,1))*AL36</f>
        <v>1.7000000000000001E-2</v>
      </c>
      <c r="AM40" s="82">
        <f>INDEX(InputC!$K$107:$K$118,MATCH(Financing!AM5,InputC!$C$107:$C$118,1))*AM36</f>
        <v>1.7000000000000001E-2</v>
      </c>
      <c r="AN40" s="82">
        <f>INDEX(InputC!$K$107:$K$118,MATCH(Financing!AN5,InputC!$C$107:$C$118,1))*AN36</f>
        <v>1.7000000000000001E-2</v>
      </c>
      <c r="AO40" s="82">
        <f>INDEX(InputC!$K$107:$K$118,MATCH(Financing!AO5,InputC!$C$107:$C$118,1))*AO36</f>
        <v>1.8000000000000002E-2</v>
      </c>
      <c r="AP40" s="82">
        <f>INDEX(InputC!$K$107:$K$118,MATCH(Financing!AP5,InputC!$C$107:$C$118,1))*AP36</f>
        <v>1.8000000000000002E-2</v>
      </c>
      <c r="AQ40" s="82">
        <f>INDEX(InputC!$K$107:$K$118,MATCH(Financing!AQ5,InputC!$C$107:$C$118,1))*AQ36</f>
        <v>1.8000000000000002E-2</v>
      </c>
      <c r="AR40" s="82">
        <f>INDEX(InputC!$K$107:$K$118,MATCH(Financing!AR5,InputC!$C$107:$C$118,1))*AR36</f>
        <v>0</v>
      </c>
      <c r="AS40" s="82">
        <f>INDEX(InputC!$K$107:$K$118,MATCH(Financing!AS5,InputC!$C$107:$C$118,1))*AS36</f>
        <v>0</v>
      </c>
      <c r="AT40" s="82">
        <f>INDEX(InputC!$K$107:$K$118,MATCH(Financing!AT5,InputC!$C$107:$C$118,1))*AT36</f>
        <v>0</v>
      </c>
      <c r="AU40" s="82">
        <f>INDEX(InputC!$K$107:$K$118,MATCH(Financing!AU5,InputC!$C$107:$C$118,1))*AU36</f>
        <v>0</v>
      </c>
      <c r="AV40" s="82">
        <f>INDEX(InputC!$K$107:$K$118,MATCH(Financing!AV5,InputC!$C$107:$C$118,1))*AV36</f>
        <v>0</v>
      </c>
      <c r="AW40" s="82">
        <f>INDEX(InputC!$K$107:$K$118,MATCH(Financing!AW5,InputC!$C$107:$C$118,1))*AW36</f>
        <v>0</v>
      </c>
      <c r="AX40" s="82">
        <f>INDEX(InputC!$K$107:$K$118,MATCH(Financing!AX5,InputC!$C$107:$C$118,1))*AX36</f>
        <v>0</v>
      </c>
      <c r="AY40" s="82">
        <f>INDEX(InputC!$K$107:$K$118,MATCH(Financing!AY5,InputC!$C$107:$C$118,1))*AY36</f>
        <v>0</v>
      </c>
      <c r="AZ40" s="82">
        <f>INDEX(InputC!$K$107:$K$118,MATCH(Financing!AZ5,InputC!$C$107:$C$118,1))*AZ36</f>
        <v>0</v>
      </c>
      <c r="BA40" s="82">
        <f>INDEX(InputC!$K$107:$K$118,MATCH(Financing!BA5,InputC!$C$107:$C$118,1))*BA36</f>
        <v>0</v>
      </c>
      <c r="BB40" s="82">
        <f>INDEX(InputC!$K$107:$K$118,MATCH(Financing!BB5,InputC!$C$107:$C$118,1))*BB36</f>
        <v>0</v>
      </c>
      <c r="BC40" s="82">
        <f>INDEX(InputC!$K$107:$K$118,MATCH(Financing!BC5,InputC!$C$107:$C$118,1))*BC36</f>
        <v>0</v>
      </c>
      <c r="BD40" s="82">
        <f>INDEX(InputC!$K$107:$K$118,MATCH(Financing!BD5,InputC!$C$107:$C$118,1))*BD36</f>
        <v>0</v>
      </c>
      <c r="BE40" s="82">
        <f>INDEX(InputC!$K$107:$K$118,MATCH(Financing!BE5,InputC!$C$107:$C$118,1))*BE36</f>
        <v>0</v>
      </c>
      <c r="BF40" s="82">
        <f>INDEX(InputC!$K$107:$K$118,MATCH(Financing!BF5,InputC!$C$107:$C$118,1))*BF36</f>
        <v>0</v>
      </c>
      <c r="BG40" s="82">
        <f>INDEX(InputC!$K$107:$K$118,MATCH(Financing!BG5,InputC!$C$107:$C$118,1))*BG36</f>
        <v>0</v>
      </c>
      <c r="BH40" s="82">
        <f>INDEX(InputC!$K$107:$K$118,MATCH(Financing!BH5,InputC!$C$107:$C$118,1))*BH36</f>
        <v>0</v>
      </c>
      <c r="BI40" s="82">
        <f>INDEX(InputC!$K$107:$K$118,MATCH(Financing!BI5,InputC!$C$107:$C$118,1))*BI36</f>
        <v>0</v>
      </c>
      <c r="BJ40" s="82">
        <f>INDEX(InputC!$K$107:$K$118,MATCH(Financing!BJ5,InputC!$C$107:$C$118,1))*BJ36</f>
        <v>0</v>
      </c>
      <c r="BK40" s="82">
        <f>INDEX(InputC!$K$107:$K$118,MATCH(Financing!BK5,InputC!$C$107:$C$118,1))*BK36</f>
        <v>0</v>
      </c>
      <c r="BL40" s="82">
        <f>INDEX(InputC!$K$107:$K$118,MATCH(Financing!BL5,InputC!$C$107:$C$118,1))*BL36</f>
        <v>0</v>
      </c>
      <c r="BM40" s="82">
        <f>INDEX(InputC!$K$107:$K$118,MATCH(Financing!BM5,InputC!$C$107:$C$118,1))*BM36</f>
        <v>0</v>
      </c>
      <c r="BN40" s="82">
        <f>INDEX(InputC!$K$107:$K$118,MATCH(Financing!BN5,InputC!$C$107:$C$118,1))*BN36</f>
        <v>0</v>
      </c>
      <c r="BO40" s="82">
        <f>INDEX(InputC!$K$107:$K$118,MATCH(Financing!BO5,InputC!$C$107:$C$118,1))*BO36</f>
        <v>0</v>
      </c>
      <c r="BP40" s="82">
        <f>INDEX(InputC!$K$107:$K$118,MATCH(Financing!BP5,InputC!$C$107:$C$118,1))*BP36</f>
        <v>0</v>
      </c>
      <c r="BQ40" s="82">
        <f>INDEX(InputC!$K$107:$K$118,MATCH(Financing!BQ5,InputC!$C$107:$C$118,1))*BQ36</f>
        <v>0</v>
      </c>
      <c r="BR40" s="82">
        <f>INDEX(InputC!$K$107:$K$118,MATCH(Financing!BR5,InputC!$C$107:$C$118,1))*BR36</f>
        <v>0</v>
      </c>
      <c r="BS40" s="82">
        <f>INDEX(InputC!$K$107:$K$118,MATCH(Financing!BS5,InputC!$C$107:$C$118,1))*BS36</f>
        <v>0</v>
      </c>
      <c r="BT40" s="82">
        <f>INDEX(InputC!$K$107:$K$118,MATCH(Financing!BT5,InputC!$C$107:$C$118,1))*BT36</f>
        <v>0</v>
      </c>
      <c r="BU40" s="82">
        <f>INDEX(InputC!$K$107:$K$118,MATCH(Financing!BU5,InputC!$C$107:$C$118,1))*BU36</f>
        <v>0</v>
      </c>
      <c r="BV40" s="82">
        <f>INDEX(InputC!$K$107:$K$118,MATCH(Financing!BV5,InputC!$C$107:$C$118,1))*BV36</f>
        <v>0</v>
      </c>
      <c r="BW40" s="82">
        <f>INDEX(InputC!$K$107:$K$118,MATCH(Financing!BW5,InputC!$C$107:$C$118,1))*BW36</f>
        <v>0</v>
      </c>
      <c r="BX40" s="82">
        <f>INDEX(InputC!$K$107:$K$118,MATCH(Financing!BX5,InputC!$C$107:$C$118,1))*BX36</f>
        <v>0</v>
      </c>
      <c r="BY40" s="82">
        <f>INDEX(InputC!$K$107:$K$118,MATCH(Financing!BY5,InputC!$C$107:$C$118,1))*BY36</f>
        <v>0</v>
      </c>
      <c r="BZ40" s="82">
        <f>INDEX(InputC!$K$107:$K$118,MATCH(Financing!BZ5,InputC!$C$107:$C$118,1))*BZ36</f>
        <v>0</v>
      </c>
      <c r="CA40" s="82">
        <f>INDEX(InputC!$K$107:$K$118,MATCH(Financing!CA5,InputC!$C$107:$C$118,1))*CA36</f>
        <v>0</v>
      </c>
      <c r="CB40" s="82">
        <f>INDEX(InputC!$K$107:$K$118,MATCH(Financing!CB5,InputC!$C$107:$C$118,1))*CB36</f>
        <v>0</v>
      </c>
      <c r="CC40" s="82">
        <f>INDEX(InputC!$K$107:$K$118,MATCH(Financing!CC5,InputC!$C$107:$C$118,1))*CC36</f>
        <v>0</v>
      </c>
      <c r="CD40" s="82">
        <f>INDEX(InputC!$K$107:$K$118,MATCH(Financing!CD5,InputC!$C$107:$C$118,1))*CD36</f>
        <v>0</v>
      </c>
      <c r="CE40" s="82">
        <f>INDEX(InputC!$K$107:$K$118,MATCH(Financing!CE5,InputC!$C$107:$C$118,1))*CE36</f>
        <v>0</v>
      </c>
      <c r="CF40" s="82">
        <f>INDEX(InputC!$K$107:$K$118,MATCH(Financing!CF5,InputC!$C$107:$C$118,1))*CF36</f>
        <v>0</v>
      </c>
      <c r="CG40" s="82">
        <f>INDEX(InputC!$K$107:$K$118,MATCH(Financing!CG5,InputC!$C$107:$C$118,1))*CG36</f>
        <v>0</v>
      </c>
      <c r="CH40" s="82">
        <f>INDEX(InputC!$K$107:$K$118,MATCH(Financing!CH5,InputC!$C$107:$C$118,1))*CH36</f>
        <v>0</v>
      </c>
      <c r="CI40" s="82">
        <f>INDEX(InputC!$K$107:$K$118,MATCH(Financing!CI5,InputC!$C$107:$C$118,1))*CI36</f>
        <v>0</v>
      </c>
      <c r="CJ40" s="82">
        <f>INDEX(InputC!$K$107:$K$118,MATCH(Financing!CJ5,InputC!$C$107:$C$118,1))*CJ36</f>
        <v>0</v>
      </c>
      <c r="CK40" s="82">
        <f>INDEX(InputC!$K$107:$K$118,MATCH(Financing!CK5,InputC!$C$107:$C$118,1))*CK36</f>
        <v>0</v>
      </c>
      <c r="CL40" s="82">
        <f>INDEX(InputC!$K$107:$K$118,MATCH(Financing!CL5,InputC!$C$107:$C$118,1))*CL36</f>
        <v>0</v>
      </c>
      <c r="CM40" s="82">
        <f>INDEX(InputC!$K$107:$K$118,MATCH(Financing!CM5,InputC!$C$107:$C$118,1))*CM36</f>
        <v>0</v>
      </c>
      <c r="CN40" s="82">
        <f>INDEX(InputC!$K$107:$K$118,MATCH(Financing!CN5,InputC!$C$107:$C$118,1))*CN36</f>
        <v>0</v>
      </c>
      <c r="CO40" s="82">
        <f>INDEX(InputC!$K$107:$K$118,MATCH(Financing!CO5,InputC!$C$107:$C$118,1))*CO36</f>
        <v>0</v>
      </c>
      <c r="CP40" s="82">
        <f>INDEX(InputC!$K$107:$K$118,MATCH(Financing!CP5,InputC!$C$107:$C$118,1))*CP36</f>
        <v>0</v>
      </c>
      <c r="CQ40" s="82">
        <f>INDEX(InputC!$K$107:$K$118,MATCH(Financing!CQ5,InputC!$C$107:$C$118,1))*CQ36</f>
        <v>0</v>
      </c>
      <c r="CR40" s="82">
        <f>INDEX(InputC!$K$107:$K$118,MATCH(Financing!CR5,InputC!$C$107:$C$118,1))*CR36</f>
        <v>0</v>
      </c>
      <c r="CS40" s="82">
        <f>INDEX(InputC!$K$107:$K$118,MATCH(Financing!CS5,InputC!$C$107:$C$118,1))*CS36</f>
        <v>0</v>
      </c>
      <c r="CT40" s="82">
        <f>INDEX(InputC!$K$107:$K$118,MATCH(Financing!CT5,InputC!$C$107:$C$118,1))*CT36</f>
        <v>0</v>
      </c>
      <c r="CU40" s="82"/>
      <c r="CV40" s="82"/>
      <c r="CW40" s="82"/>
      <c r="CX40" s="82"/>
      <c r="CY40" s="82"/>
      <c r="CZ40" s="82"/>
      <c r="DA40" s="82"/>
      <c r="DB40" s="82"/>
      <c r="DC40" s="82"/>
      <c r="DD40" s="82"/>
    </row>
    <row r="41" spans="2:239" ht="12.75" customHeight="1" x14ac:dyDescent="0.25">
      <c r="C41" t="s">
        <v>220</v>
      </c>
      <c r="H41" s="54" t="s">
        <v>6</v>
      </c>
      <c r="P41" s="191">
        <f>SUM(P39:P40)*P36</f>
        <v>0</v>
      </c>
      <c r="Q41" s="191">
        <f t="shared" ref="Q41:CB41" si="14">SUM(Q39:Q40)*Q36</f>
        <v>0</v>
      </c>
      <c r="R41" s="191">
        <f t="shared" si="14"/>
        <v>0</v>
      </c>
      <c r="S41" s="191">
        <f t="shared" si="14"/>
        <v>2.3E-2</v>
      </c>
      <c r="T41" s="191">
        <f t="shared" si="14"/>
        <v>2.3E-2</v>
      </c>
      <c r="U41" s="191">
        <f t="shared" si="14"/>
        <v>2.4E-2</v>
      </c>
      <c r="V41" s="191">
        <f t="shared" si="14"/>
        <v>2.4E-2</v>
      </c>
      <c r="W41" s="191">
        <f t="shared" si="14"/>
        <v>2.4E-2</v>
      </c>
      <c r="X41" s="191">
        <f t="shared" si="14"/>
        <v>2.4E-2</v>
      </c>
      <c r="Y41" s="191">
        <f t="shared" si="14"/>
        <v>2.4E-2</v>
      </c>
      <c r="Z41" s="191">
        <f t="shared" si="14"/>
        <v>2.5000000000000001E-2</v>
      </c>
      <c r="AA41" s="191">
        <f t="shared" si="14"/>
        <v>2.5000000000000001E-2</v>
      </c>
      <c r="AB41" s="191">
        <f t="shared" si="14"/>
        <v>2.5000000000000001E-2</v>
      </c>
      <c r="AC41" s="191">
        <f t="shared" si="14"/>
        <v>2.5000000000000001E-2</v>
      </c>
      <c r="AD41" s="191">
        <f t="shared" si="14"/>
        <v>2.5000000000000001E-2</v>
      </c>
      <c r="AE41" s="191">
        <f t="shared" si="14"/>
        <v>2.6000000000000002E-2</v>
      </c>
      <c r="AF41" s="191">
        <f t="shared" si="14"/>
        <v>2.6000000000000002E-2</v>
      </c>
      <c r="AG41" s="191">
        <f t="shared" si="14"/>
        <v>2.6000000000000002E-2</v>
      </c>
      <c r="AH41" s="191">
        <f t="shared" si="14"/>
        <v>2.6000000000000002E-2</v>
      </c>
      <c r="AI41" s="191">
        <f t="shared" si="14"/>
        <v>2.6000000000000002E-2</v>
      </c>
      <c r="AJ41" s="191">
        <f t="shared" si="14"/>
        <v>2.7000000000000003E-2</v>
      </c>
      <c r="AK41" s="191">
        <f t="shared" si="14"/>
        <v>2.7000000000000003E-2</v>
      </c>
      <c r="AL41" s="191">
        <f t="shared" si="14"/>
        <v>2.7000000000000003E-2</v>
      </c>
      <c r="AM41" s="191">
        <f t="shared" si="14"/>
        <v>2.7000000000000003E-2</v>
      </c>
      <c r="AN41" s="191">
        <f t="shared" si="14"/>
        <v>2.7000000000000003E-2</v>
      </c>
      <c r="AO41" s="191">
        <f t="shared" si="14"/>
        <v>2.8000000000000004E-2</v>
      </c>
      <c r="AP41" s="191">
        <f t="shared" si="14"/>
        <v>2.8000000000000004E-2</v>
      </c>
      <c r="AQ41" s="191">
        <f t="shared" si="14"/>
        <v>2.8000000000000004E-2</v>
      </c>
      <c r="AR41" s="191">
        <f t="shared" si="14"/>
        <v>0</v>
      </c>
      <c r="AS41" s="191">
        <f t="shared" si="14"/>
        <v>0</v>
      </c>
      <c r="AT41" s="191">
        <f t="shared" si="14"/>
        <v>0</v>
      </c>
      <c r="AU41" s="191">
        <f t="shared" si="14"/>
        <v>0</v>
      </c>
      <c r="AV41" s="191">
        <f t="shared" si="14"/>
        <v>0</v>
      </c>
      <c r="AW41" s="191">
        <f t="shared" si="14"/>
        <v>0</v>
      </c>
      <c r="AX41" s="191">
        <f t="shared" si="14"/>
        <v>0</v>
      </c>
      <c r="AY41" s="191">
        <f t="shared" si="14"/>
        <v>0</v>
      </c>
      <c r="AZ41" s="191">
        <f t="shared" si="14"/>
        <v>0</v>
      </c>
      <c r="BA41" s="191">
        <f t="shared" si="14"/>
        <v>0</v>
      </c>
      <c r="BB41" s="191">
        <f t="shared" si="14"/>
        <v>0</v>
      </c>
      <c r="BC41" s="191">
        <f t="shared" si="14"/>
        <v>0</v>
      </c>
      <c r="BD41" s="191">
        <f t="shared" si="14"/>
        <v>0</v>
      </c>
      <c r="BE41" s="191">
        <f t="shared" si="14"/>
        <v>0</v>
      </c>
      <c r="BF41" s="191">
        <f t="shared" si="14"/>
        <v>0</v>
      </c>
      <c r="BG41" s="191">
        <f t="shared" si="14"/>
        <v>0</v>
      </c>
      <c r="BH41" s="191">
        <f t="shared" si="14"/>
        <v>0</v>
      </c>
      <c r="BI41" s="191">
        <f t="shared" si="14"/>
        <v>0</v>
      </c>
      <c r="BJ41" s="191">
        <f t="shared" si="14"/>
        <v>0</v>
      </c>
      <c r="BK41" s="191">
        <f t="shared" si="14"/>
        <v>0</v>
      </c>
      <c r="BL41" s="191">
        <f t="shared" si="14"/>
        <v>0</v>
      </c>
      <c r="BM41" s="191">
        <f t="shared" si="14"/>
        <v>0</v>
      </c>
      <c r="BN41" s="191">
        <f t="shared" si="14"/>
        <v>0</v>
      </c>
      <c r="BO41" s="191">
        <f t="shared" si="14"/>
        <v>0</v>
      </c>
      <c r="BP41" s="191">
        <f t="shared" si="14"/>
        <v>0</v>
      </c>
      <c r="BQ41" s="191">
        <f t="shared" si="14"/>
        <v>0</v>
      </c>
      <c r="BR41" s="191">
        <f t="shared" si="14"/>
        <v>0</v>
      </c>
      <c r="BS41" s="191">
        <f t="shared" si="14"/>
        <v>0</v>
      </c>
      <c r="BT41" s="191">
        <f t="shared" si="14"/>
        <v>0</v>
      </c>
      <c r="BU41" s="191">
        <f t="shared" si="14"/>
        <v>0</v>
      </c>
      <c r="BV41" s="191">
        <f t="shared" si="14"/>
        <v>0</v>
      </c>
      <c r="BW41" s="191">
        <f t="shared" si="14"/>
        <v>0</v>
      </c>
      <c r="BX41" s="191">
        <f t="shared" si="14"/>
        <v>0</v>
      </c>
      <c r="BY41" s="191">
        <f t="shared" si="14"/>
        <v>0</v>
      </c>
      <c r="BZ41" s="191">
        <f t="shared" si="14"/>
        <v>0</v>
      </c>
      <c r="CA41" s="191">
        <f t="shared" si="14"/>
        <v>0</v>
      </c>
      <c r="CB41" s="191">
        <f t="shared" si="14"/>
        <v>0</v>
      </c>
      <c r="CC41" s="191">
        <f t="shared" ref="CC41:CQ41" si="15">SUM(CC39:CC40)*CC36</f>
        <v>0</v>
      </c>
      <c r="CD41" s="191">
        <f t="shared" si="15"/>
        <v>0</v>
      </c>
      <c r="CE41" s="191">
        <f t="shared" si="15"/>
        <v>0</v>
      </c>
      <c r="CF41" s="191">
        <f t="shared" si="15"/>
        <v>0</v>
      </c>
      <c r="CG41" s="191">
        <f t="shared" si="15"/>
        <v>0</v>
      </c>
      <c r="CH41" s="191">
        <f t="shared" si="15"/>
        <v>0</v>
      </c>
      <c r="CI41" s="191">
        <f t="shared" si="15"/>
        <v>0</v>
      </c>
      <c r="CJ41" s="191">
        <f t="shared" si="15"/>
        <v>0</v>
      </c>
      <c r="CK41" s="191">
        <f t="shared" si="15"/>
        <v>0</v>
      </c>
      <c r="CL41" s="191">
        <f t="shared" si="15"/>
        <v>0</v>
      </c>
      <c r="CM41" s="191">
        <f t="shared" si="15"/>
        <v>0</v>
      </c>
      <c r="CN41" s="191">
        <f t="shared" si="15"/>
        <v>0</v>
      </c>
      <c r="CO41" s="191">
        <f t="shared" si="15"/>
        <v>0</v>
      </c>
      <c r="CP41" s="191">
        <f t="shared" si="15"/>
        <v>0</v>
      </c>
      <c r="CQ41" s="191">
        <f t="shared" si="15"/>
        <v>0</v>
      </c>
      <c r="CR41" s="191">
        <f t="shared" ref="CR41:CT41" si="16">SUM(CR39:CR40)*CR36</f>
        <v>0</v>
      </c>
      <c r="CS41" s="191">
        <f t="shared" si="16"/>
        <v>0</v>
      </c>
      <c r="CT41" s="191">
        <f t="shared" si="16"/>
        <v>0</v>
      </c>
      <c r="CU41" s="191"/>
      <c r="CV41" s="191"/>
      <c r="CW41" s="191"/>
      <c r="CX41" s="191"/>
      <c r="CY41" s="191"/>
      <c r="CZ41" s="191"/>
      <c r="DA41" s="191"/>
      <c r="DB41" s="191"/>
      <c r="DE41" s="82"/>
      <c r="DF41" s="82"/>
      <c r="DG41" s="82"/>
      <c r="DH41" s="82"/>
      <c r="DI41" s="82"/>
      <c r="DJ41" s="82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2"/>
      <c r="DZ41" s="82"/>
      <c r="EA41" s="82"/>
      <c r="EB41" s="82"/>
      <c r="EC41" s="82"/>
      <c r="ED41" s="82"/>
      <c r="EE41" s="82"/>
      <c r="EF41" s="82"/>
      <c r="EG41" s="82"/>
      <c r="EH41" s="82"/>
      <c r="EI41" s="82"/>
      <c r="EJ41" s="82"/>
      <c r="EK41" s="82"/>
      <c r="EL41" s="82"/>
      <c r="EM41" s="82"/>
      <c r="EN41" s="82"/>
      <c r="EO41" s="82"/>
      <c r="EP41" s="82"/>
      <c r="EQ41" s="82"/>
      <c r="ER41" s="82"/>
      <c r="ES41" s="82"/>
      <c r="ET41" s="82"/>
      <c r="EU41" s="82"/>
      <c r="EV41" s="82"/>
      <c r="EW41" s="82"/>
      <c r="EX41" s="82"/>
      <c r="EY41" s="82"/>
      <c r="EZ41" s="82"/>
      <c r="FA41" s="82"/>
      <c r="FB41" s="82"/>
      <c r="FC41" s="82"/>
      <c r="FD41" s="82"/>
      <c r="FE41" s="82"/>
      <c r="FF41" s="82"/>
      <c r="FG41" s="82"/>
      <c r="FH41" s="82"/>
      <c r="FI41" s="82"/>
      <c r="FJ41" s="82"/>
      <c r="FK41" s="82"/>
      <c r="FL41" s="82"/>
      <c r="FM41" s="82"/>
      <c r="FN41" s="82"/>
      <c r="FO41" s="82"/>
      <c r="FP41" s="82"/>
      <c r="FQ41" s="82"/>
      <c r="FR41" s="82"/>
      <c r="FS41" s="82"/>
      <c r="FT41" s="82"/>
      <c r="FU41" s="82"/>
      <c r="FV41" s="82"/>
      <c r="FW41" s="82"/>
      <c r="FX41" s="82"/>
      <c r="FY41" s="82"/>
      <c r="FZ41" s="82"/>
      <c r="GA41" s="82"/>
      <c r="GB41" s="82"/>
      <c r="GC41" s="82"/>
      <c r="GD41" s="82"/>
      <c r="GE41" s="82"/>
      <c r="GF41" s="82"/>
      <c r="GG41" s="82"/>
      <c r="GH41" s="82"/>
      <c r="GI41" s="82"/>
      <c r="GJ41" s="82"/>
      <c r="GK41" s="82"/>
      <c r="GL41" s="82"/>
      <c r="GM41" s="82"/>
      <c r="GN41" s="82"/>
      <c r="GO41" s="82"/>
      <c r="GP41" s="82"/>
      <c r="GQ41" s="82"/>
      <c r="GR41" s="82"/>
      <c r="GS41" s="82"/>
      <c r="GT41" s="82"/>
      <c r="GU41" s="82"/>
      <c r="GV41" s="82"/>
      <c r="GW41" s="82"/>
      <c r="GX41" s="82"/>
      <c r="GY41" s="82"/>
      <c r="GZ41" s="82"/>
      <c r="HA41" s="82"/>
      <c r="HB41" s="82"/>
      <c r="HC41" s="82"/>
      <c r="HD41" s="82"/>
      <c r="HE41" s="82"/>
      <c r="HF41" s="82"/>
      <c r="HG41" s="82"/>
      <c r="HH41" s="82"/>
      <c r="HI41" s="82"/>
      <c r="HJ41" s="82"/>
      <c r="HK41" s="82"/>
      <c r="HL41" s="82"/>
      <c r="HM41" s="82"/>
      <c r="HN41" s="82"/>
      <c r="HO41" s="82"/>
      <c r="HP41" s="82"/>
      <c r="HQ41" s="82"/>
      <c r="HR41" s="82"/>
      <c r="HS41" s="82"/>
      <c r="HT41" s="82"/>
      <c r="HU41" s="82"/>
      <c r="HV41" s="82"/>
      <c r="HW41" s="82"/>
      <c r="HX41" s="82"/>
      <c r="HY41" s="82"/>
      <c r="HZ41" s="82"/>
      <c r="IA41" s="82"/>
      <c r="IB41" s="82"/>
      <c r="IC41" s="82"/>
      <c r="ID41" s="82"/>
      <c r="IE41" s="82"/>
    </row>
    <row r="42" spans="2:239" ht="12.75" customHeight="1" x14ac:dyDescent="0.25">
      <c r="H42" s="54"/>
    </row>
    <row r="43" spans="2:239" ht="12.75" customHeight="1" x14ac:dyDescent="0.25">
      <c r="C43" t="s">
        <v>221</v>
      </c>
      <c r="H43" s="54" t="s">
        <v>58</v>
      </c>
      <c r="J43" s="192">
        <v>1</v>
      </c>
      <c r="P43" s="10">
        <f>J43*(1+P41)</f>
        <v>1</v>
      </c>
      <c r="Q43" s="10">
        <f t="shared" ref="Q43:CB43" si="17">P43*(1+Q41)</f>
        <v>1</v>
      </c>
      <c r="R43" s="10">
        <f t="shared" si="17"/>
        <v>1</v>
      </c>
      <c r="S43" s="10">
        <f t="shared" si="17"/>
        <v>1.0229999999999999</v>
      </c>
      <c r="T43" s="10">
        <f t="shared" si="17"/>
        <v>1.0465289999999998</v>
      </c>
      <c r="U43" s="10">
        <f t="shared" si="17"/>
        <v>1.0716456959999998</v>
      </c>
      <c r="V43" s="10">
        <f t="shared" si="17"/>
        <v>1.0973651927039998</v>
      </c>
      <c r="W43" s="10">
        <f t="shared" si="17"/>
        <v>1.1237019573288958</v>
      </c>
      <c r="X43" s="10">
        <f t="shared" si="17"/>
        <v>1.1506708043047893</v>
      </c>
      <c r="Y43" s="10">
        <f t="shared" si="17"/>
        <v>1.1782869036081043</v>
      </c>
      <c r="Z43" s="10">
        <f t="shared" si="17"/>
        <v>1.2077440761983067</v>
      </c>
      <c r="AA43" s="10">
        <f t="shared" si="17"/>
        <v>1.2379376781032643</v>
      </c>
      <c r="AB43" s="10">
        <f t="shared" si="17"/>
        <v>1.2688861200558457</v>
      </c>
      <c r="AC43" s="10">
        <f t="shared" si="17"/>
        <v>1.3006082730572417</v>
      </c>
      <c r="AD43" s="10">
        <f t="shared" si="17"/>
        <v>1.3331234798836726</v>
      </c>
      <c r="AE43" s="10">
        <f t="shared" si="17"/>
        <v>1.3677846903606481</v>
      </c>
      <c r="AF43" s="10">
        <f t="shared" si="17"/>
        <v>1.4033470923100251</v>
      </c>
      <c r="AG43" s="10">
        <f t="shared" si="17"/>
        <v>1.4398341167100857</v>
      </c>
      <c r="AH43" s="10">
        <f t="shared" si="17"/>
        <v>1.477269803744548</v>
      </c>
      <c r="AI43" s="10">
        <f t="shared" si="17"/>
        <v>1.5156788186419063</v>
      </c>
      <c r="AJ43" s="10">
        <f t="shared" si="17"/>
        <v>1.5566021467452378</v>
      </c>
      <c r="AK43" s="10">
        <f t="shared" si="17"/>
        <v>1.598630404707359</v>
      </c>
      <c r="AL43" s="10">
        <f t="shared" si="17"/>
        <v>1.6417934256344575</v>
      </c>
      <c r="AM43" s="10">
        <f t="shared" si="17"/>
        <v>1.6861218481265878</v>
      </c>
      <c r="AN43" s="10">
        <f t="shared" si="17"/>
        <v>1.7316471380260055</v>
      </c>
      <c r="AO43" s="10">
        <f t="shared" si="17"/>
        <v>1.7801332578907336</v>
      </c>
      <c r="AP43" s="10">
        <f t="shared" si="17"/>
        <v>1.8299769891116742</v>
      </c>
      <c r="AQ43" s="10">
        <f t="shared" si="17"/>
        <v>1.8812163448068011</v>
      </c>
      <c r="AR43" s="10">
        <f t="shared" si="17"/>
        <v>1.8812163448068011</v>
      </c>
      <c r="AS43" s="10">
        <f t="shared" si="17"/>
        <v>1.8812163448068011</v>
      </c>
      <c r="AT43" s="10">
        <f t="shared" si="17"/>
        <v>1.8812163448068011</v>
      </c>
      <c r="AU43" s="10">
        <f t="shared" si="17"/>
        <v>1.8812163448068011</v>
      </c>
      <c r="AV43" s="10">
        <f t="shared" si="17"/>
        <v>1.8812163448068011</v>
      </c>
      <c r="AW43" s="10">
        <f t="shared" si="17"/>
        <v>1.8812163448068011</v>
      </c>
      <c r="AX43" s="10">
        <f t="shared" si="17"/>
        <v>1.8812163448068011</v>
      </c>
      <c r="AY43" s="10">
        <f t="shared" si="17"/>
        <v>1.8812163448068011</v>
      </c>
      <c r="AZ43" s="10">
        <f t="shared" si="17"/>
        <v>1.8812163448068011</v>
      </c>
      <c r="BA43" s="10">
        <f t="shared" si="17"/>
        <v>1.8812163448068011</v>
      </c>
      <c r="BB43" s="10">
        <f t="shared" si="17"/>
        <v>1.8812163448068011</v>
      </c>
      <c r="BC43" s="10">
        <f t="shared" si="17"/>
        <v>1.8812163448068011</v>
      </c>
      <c r="BD43" s="10">
        <f t="shared" si="17"/>
        <v>1.8812163448068011</v>
      </c>
      <c r="BE43" s="10">
        <f t="shared" si="17"/>
        <v>1.8812163448068011</v>
      </c>
      <c r="BF43" s="10">
        <f t="shared" si="17"/>
        <v>1.8812163448068011</v>
      </c>
      <c r="BG43" s="10">
        <f t="shared" si="17"/>
        <v>1.8812163448068011</v>
      </c>
      <c r="BH43" s="10">
        <f t="shared" si="17"/>
        <v>1.8812163448068011</v>
      </c>
      <c r="BI43" s="10">
        <f t="shared" si="17"/>
        <v>1.8812163448068011</v>
      </c>
      <c r="BJ43" s="10">
        <f t="shared" si="17"/>
        <v>1.8812163448068011</v>
      </c>
      <c r="BK43" s="10">
        <f t="shared" si="17"/>
        <v>1.8812163448068011</v>
      </c>
      <c r="BL43" s="10">
        <f t="shared" si="17"/>
        <v>1.8812163448068011</v>
      </c>
      <c r="BM43" s="10">
        <f t="shared" si="17"/>
        <v>1.8812163448068011</v>
      </c>
      <c r="BN43" s="10">
        <f t="shared" si="17"/>
        <v>1.8812163448068011</v>
      </c>
      <c r="BO43" s="10">
        <f t="shared" si="17"/>
        <v>1.8812163448068011</v>
      </c>
      <c r="BP43" s="10">
        <f t="shared" si="17"/>
        <v>1.8812163448068011</v>
      </c>
      <c r="BQ43" s="10">
        <f t="shared" si="17"/>
        <v>1.8812163448068011</v>
      </c>
      <c r="BR43" s="10">
        <f t="shared" si="17"/>
        <v>1.8812163448068011</v>
      </c>
      <c r="BS43" s="10">
        <f t="shared" si="17"/>
        <v>1.8812163448068011</v>
      </c>
      <c r="BT43" s="10">
        <f t="shared" si="17"/>
        <v>1.8812163448068011</v>
      </c>
      <c r="BU43" s="10">
        <f t="shared" si="17"/>
        <v>1.8812163448068011</v>
      </c>
      <c r="BV43" s="10">
        <f t="shared" si="17"/>
        <v>1.8812163448068011</v>
      </c>
      <c r="BW43" s="10">
        <f t="shared" si="17"/>
        <v>1.8812163448068011</v>
      </c>
      <c r="BX43" s="10">
        <f t="shared" si="17"/>
        <v>1.8812163448068011</v>
      </c>
      <c r="BY43" s="10">
        <f t="shared" si="17"/>
        <v>1.8812163448068011</v>
      </c>
      <c r="BZ43" s="10">
        <f t="shared" si="17"/>
        <v>1.8812163448068011</v>
      </c>
      <c r="CA43" s="10">
        <f t="shared" si="17"/>
        <v>1.8812163448068011</v>
      </c>
      <c r="CB43" s="10">
        <f t="shared" si="17"/>
        <v>1.8812163448068011</v>
      </c>
      <c r="CC43" s="10">
        <f t="shared" ref="CC43:CQ43" si="18">CB43*(1+CC41)</f>
        <v>1.8812163448068011</v>
      </c>
      <c r="CD43" s="10">
        <f t="shared" si="18"/>
        <v>1.8812163448068011</v>
      </c>
      <c r="CE43" s="10">
        <f t="shared" si="18"/>
        <v>1.8812163448068011</v>
      </c>
      <c r="CF43" s="10">
        <f t="shared" si="18"/>
        <v>1.8812163448068011</v>
      </c>
      <c r="CG43" s="10">
        <f t="shared" si="18"/>
        <v>1.8812163448068011</v>
      </c>
      <c r="CH43" s="10">
        <f t="shared" si="18"/>
        <v>1.8812163448068011</v>
      </c>
      <c r="CI43" s="10">
        <f t="shared" si="18"/>
        <v>1.8812163448068011</v>
      </c>
      <c r="CJ43" s="10">
        <f t="shared" si="18"/>
        <v>1.8812163448068011</v>
      </c>
      <c r="CK43" s="10">
        <f t="shared" si="18"/>
        <v>1.8812163448068011</v>
      </c>
      <c r="CL43" s="10">
        <f t="shared" si="18"/>
        <v>1.8812163448068011</v>
      </c>
      <c r="CM43" s="10">
        <f t="shared" si="18"/>
        <v>1.8812163448068011</v>
      </c>
      <c r="CN43" s="10">
        <f t="shared" si="18"/>
        <v>1.8812163448068011</v>
      </c>
      <c r="CO43" s="10">
        <f t="shared" si="18"/>
        <v>1.8812163448068011</v>
      </c>
      <c r="CP43" s="10">
        <f t="shared" si="18"/>
        <v>1.8812163448068011</v>
      </c>
      <c r="CQ43" s="10">
        <f t="shared" si="18"/>
        <v>1.8812163448068011</v>
      </c>
      <c r="CR43" s="10">
        <f t="shared" ref="CR43" si="19">CQ43*(1+CR41)</f>
        <v>1.8812163448068011</v>
      </c>
      <c r="CS43" s="10">
        <f t="shared" ref="CS43" si="20">CR43*(1+CS41)</f>
        <v>1.8812163448068011</v>
      </c>
      <c r="CT43" s="10">
        <f t="shared" ref="CT43" si="21">CS43*(1+CT41)</f>
        <v>1.8812163448068011</v>
      </c>
      <c r="CU43" s="10"/>
      <c r="CV43" s="10"/>
      <c r="CW43" s="10"/>
      <c r="CX43" s="10"/>
      <c r="CY43" s="10"/>
      <c r="CZ43" s="10"/>
      <c r="DA43" s="10"/>
      <c r="DB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</row>
    <row r="44" spans="2:239" ht="12.75" customHeight="1" x14ac:dyDescent="0.25">
      <c r="C44" t="s">
        <v>222</v>
      </c>
      <c r="H44" s="54" t="s">
        <v>50</v>
      </c>
      <c r="P44" s="73">
        <f>IFERROR(1/P43,1)*P36</f>
        <v>0</v>
      </c>
      <c r="Q44" s="73">
        <f t="shared" ref="Q44:CB44" si="22">IFERROR(1/Q43,1)*Q36</f>
        <v>0</v>
      </c>
      <c r="R44" s="73">
        <f t="shared" si="22"/>
        <v>0</v>
      </c>
      <c r="S44" s="73">
        <f t="shared" si="22"/>
        <v>0.97751710654936474</v>
      </c>
      <c r="T44" s="73">
        <f t="shared" si="22"/>
        <v>0.95553969359664204</v>
      </c>
      <c r="U44" s="73">
        <f t="shared" si="22"/>
        <v>0.9331442320279707</v>
      </c>
      <c r="V44" s="73">
        <f t="shared" si="22"/>
        <v>0.91127366408981514</v>
      </c>
      <c r="W44" s="73">
        <f t="shared" si="22"/>
        <v>0.88991568758771011</v>
      </c>
      <c r="X44" s="73">
        <f t="shared" si="22"/>
        <v>0.86905828865987311</v>
      </c>
      <c r="Y44" s="73">
        <f t="shared" si="22"/>
        <v>0.84868973501940737</v>
      </c>
      <c r="Z44" s="73">
        <f t="shared" si="22"/>
        <v>0.82798998538478774</v>
      </c>
      <c r="AA44" s="73">
        <f t="shared" si="22"/>
        <v>0.80779510769247598</v>
      </c>
      <c r="AB44" s="73">
        <f t="shared" si="22"/>
        <v>0.78809278799265958</v>
      </c>
      <c r="AC44" s="73">
        <f t="shared" si="22"/>
        <v>0.76887101267576552</v>
      </c>
      <c r="AD44" s="73">
        <f t="shared" si="22"/>
        <v>0.75011806114708834</v>
      </c>
      <c r="AE44" s="73">
        <f t="shared" si="22"/>
        <v>0.73110922139092438</v>
      </c>
      <c r="AF44" s="73">
        <f t="shared" si="22"/>
        <v>0.71258208712565718</v>
      </c>
      <c r="AG44" s="73">
        <f t="shared" si="22"/>
        <v>0.69452445138952945</v>
      </c>
      <c r="AH44" s="73">
        <f t="shared" si="22"/>
        <v>0.6769244165589956</v>
      </c>
      <c r="AI44" s="73">
        <f t="shared" si="22"/>
        <v>0.65977038650974218</v>
      </c>
      <c r="AJ44" s="73">
        <f t="shared" si="22"/>
        <v>0.64242491383616573</v>
      </c>
      <c r="AK44" s="73">
        <f t="shared" si="22"/>
        <v>0.62553545651038545</v>
      </c>
      <c r="AL44" s="73">
        <f t="shared" si="22"/>
        <v>0.60909002581342309</v>
      </c>
      <c r="AM44" s="73">
        <f t="shared" si="22"/>
        <v>0.59307694821170698</v>
      </c>
      <c r="AN44" s="73">
        <f t="shared" si="22"/>
        <v>0.57748485707079555</v>
      </c>
      <c r="AO44" s="73">
        <f t="shared" si="22"/>
        <v>0.56175569753968446</v>
      </c>
      <c r="AP44" s="73">
        <f t="shared" si="22"/>
        <v>0.5464549586961911</v>
      </c>
      <c r="AQ44" s="73">
        <f t="shared" si="22"/>
        <v>0.53157097149434929</v>
      </c>
      <c r="AR44" s="73">
        <f t="shared" si="22"/>
        <v>0</v>
      </c>
      <c r="AS44" s="73">
        <f t="shared" si="22"/>
        <v>0</v>
      </c>
      <c r="AT44" s="73">
        <f t="shared" si="22"/>
        <v>0</v>
      </c>
      <c r="AU44" s="73">
        <f t="shared" si="22"/>
        <v>0</v>
      </c>
      <c r="AV44" s="73">
        <f t="shared" si="22"/>
        <v>0</v>
      </c>
      <c r="AW44" s="73">
        <f t="shared" si="22"/>
        <v>0</v>
      </c>
      <c r="AX44" s="73">
        <f t="shared" si="22"/>
        <v>0</v>
      </c>
      <c r="AY44" s="73">
        <f t="shared" si="22"/>
        <v>0</v>
      </c>
      <c r="AZ44" s="73">
        <f t="shared" si="22"/>
        <v>0</v>
      </c>
      <c r="BA44" s="73">
        <f t="shared" si="22"/>
        <v>0</v>
      </c>
      <c r="BB44" s="73">
        <f t="shared" si="22"/>
        <v>0</v>
      </c>
      <c r="BC44" s="73">
        <f t="shared" si="22"/>
        <v>0</v>
      </c>
      <c r="BD44" s="73">
        <f t="shared" si="22"/>
        <v>0</v>
      </c>
      <c r="BE44" s="73">
        <f t="shared" si="22"/>
        <v>0</v>
      </c>
      <c r="BF44" s="73">
        <f t="shared" si="22"/>
        <v>0</v>
      </c>
      <c r="BG44" s="73">
        <f t="shared" si="22"/>
        <v>0</v>
      </c>
      <c r="BH44" s="73">
        <f t="shared" si="22"/>
        <v>0</v>
      </c>
      <c r="BI44" s="73">
        <f t="shared" si="22"/>
        <v>0</v>
      </c>
      <c r="BJ44" s="73">
        <f t="shared" si="22"/>
        <v>0</v>
      </c>
      <c r="BK44" s="73">
        <f t="shared" si="22"/>
        <v>0</v>
      </c>
      <c r="BL44" s="73">
        <f t="shared" si="22"/>
        <v>0</v>
      </c>
      <c r="BM44" s="73">
        <f t="shared" si="22"/>
        <v>0</v>
      </c>
      <c r="BN44" s="73">
        <f t="shared" si="22"/>
        <v>0</v>
      </c>
      <c r="BO44" s="73">
        <f t="shared" si="22"/>
        <v>0</v>
      </c>
      <c r="BP44" s="73">
        <f t="shared" si="22"/>
        <v>0</v>
      </c>
      <c r="BQ44" s="73">
        <f t="shared" si="22"/>
        <v>0</v>
      </c>
      <c r="BR44" s="73">
        <f t="shared" si="22"/>
        <v>0</v>
      </c>
      <c r="BS44" s="73">
        <f t="shared" si="22"/>
        <v>0</v>
      </c>
      <c r="BT44" s="73">
        <f t="shared" si="22"/>
        <v>0</v>
      </c>
      <c r="BU44" s="73">
        <f t="shared" si="22"/>
        <v>0</v>
      </c>
      <c r="BV44" s="73">
        <f t="shared" si="22"/>
        <v>0</v>
      </c>
      <c r="BW44" s="73">
        <f t="shared" si="22"/>
        <v>0</v>
      </c>
      <c r="BX44" s="73">
        <f t="shared" si="22"/>
        <v>0</v>
      </c>
      <c r="BY44" s="73">
        <f t="shared" si="22"/>
        <v>0</v>
      </c>
      <c r="BZ44" s="73">
        <f t="shared" si="22"/>
        <v>0</v>
      </c>
      <c r="CA44" s="73">
        <f t="shared" si="22"/>
        <v>0</v>
      </c>
      <c r="CB44" s="73">
        <f t="shared" si="22"/>
        <v>0</v>
      </c>
      <c r="CC44" s="73">
        <f t="shared" ref="CC44:CQ44" si="23">IFERROR(1/CC43,1)*CC36</f>
        <v>0</v>
      </c>
      <c r="CD44" s="73">
        <f t="shared" si="23"/>
        <v>0</v>
      </c>
      <c r="CE44" s="73">
        <f t="shared" si="23"/>
        <v>0</v>
      </c>
      <c r="CF44" s="73">
        <f t="shared" si="23"/>
        <v>0</v>
      </c>
      <c r="CG44" s="73">
        <f t="shared" si="23"/>
        <v>0</v>
      </c>
      <c r="CH44" s="73">
        <f t="shared" si="23"/>
        <v>0</v>
      </c>
      <c r="CI44" s="73">
        <f t="shared" si="23"/>
        <v>0</v>
      </c>
      <c r="CJ44" s="73">
        <f t="shared" si="23"/>
        <v>0</v>
      </c>
      <c r="CK44" s="73">
        <f t="shared" si="23"/>
        <v>0</v>
      </c>
      <c r="CL44" s="73">
        <f t="shared" si="23"/>
        <v>0</v>
      </c>
      <c r="CM44" s="73">
        <f t="shared" si="23"/>
        <v>0</v>
      </c>
      <c r="CN44" s="73">
        <f t="shared" si="23"/>
        <v>0</v>
      </c>
      <c r="CO44" s="73">
        <f t="shared" si="23"/>
        <v>0</v>
      </c>
      <c r="CP44" s="73">
        <f t="shared" si="23"/>
        <v>0</v>
      </c>
      <c r="CQ44" s="73">
        <f t="shared" si="23"/>
        <v>0</v>
      </c>
      <c r="CR44" s="73">
        <f t="shared" ref="CR44:CT44" si="24">IFERROR(1/CR43,1)*CR36</f>
        <v>0</v>
      </c>
      <c r="CS44" s="73">
        <f t="shared" si="24"/>
        <v>0</v>
      </c>
      <c r="CT44" s="73">
        <f t="shared" si="24"/>
        <v>0</v>
      </c>
      <c r="CU44" s="73"/>
      <c r="CV44" s="73"/>
      <c r="CW44" s="73"/>
      <c r="CX44" s="73"/>
      <c r="CY44" s="73"/>
      <c r="CZ44" s="73"/>
      <c r="DA44" s="73"/>
      <c r="DB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</row>
    <row r="45" spans="2:239" ht="12.75" customHeight="1" x14ac:dyDescent="0.25">
      <c r="H45" s="54"/>
      <c r="J45" s="38" t="s">
        <v>24</v>
      </c>
    </row>
    <row r="46" spans="2:239" ht="12.75" customHeight="1" x14ac:dyDescent="0.25">
      <c r="C46" t="s">
        <v>223</v>
      </c>
      <c r="H46" s="54" t="s">
        <v>3</v>
      </c>
      <c r="J46" s="40" t="e">
        <f>Macro_Check</f>
        <v>#REF!</v>
      </c>
      <c r="N46" s="25">
        <f t="shared" ref="N46:N48" si="25">SUM(P46:DB46)</f>
        <v>33308.240118642425</v>
      </c>
      <c r="P46" s="10">
        <f>Macro!P18</f>
        <v>0</v>
      </c>
      <c r="Q46" s="10">
        <f>Macro!Q18</f>
        <v>0</v>
      </c>
      <c r="R46" s="10">
        <f>Macro!R18</f>
        <v>0</v>
      </c>
      <c r="S46" s="10">
        <f>Macro!S18</f>
        <v>689.23646455462131</v>
      </c>
      <c r="T46" s="10">
        <f>Macro!T18</f>
        <v>726.07617346983329</v>
      </c>
      <c r="U46" s="10">
        <f>Macro!U18</f>
        <v>724.84726961310537</v>
      </c>
      <c r="V46" s="10">
        <f>Macro!V18</f>
        <v>721.96016533128272</v>
      </c>
      <c r="W46" s="10">
        <f>Macro!W18</f>
        <v>695.31556848982996</v>
      </c>
      <c r="X46" s="10">
        <f>Macro!X18</f>
        <v>715.36459821689311</v>
      </c>
      <c r="Y46" s="10">
        <f>Macro!Y18</f>
        <v>713.20072603653944</v>
      </c>
      <c r="Z46" s="10">
        <f>Macro!Z18</f>
        <v>711.44951405903475</v>
      </c>
      <c r="AA46" s="10">
        <f>Macro!AA18</f>
        <v>708.32579318035619</v>
      </c>
      <c r="AB46" s="10">
        <f>Macro!AB18</f>
        <v>680.98730996863117</v>
      </c>
      <c r="AC46" s="10">
        <f>Macro!AC18</f>
        <v>701.27340845456899</v>
      </c>
      <c r="AD46" s="10">
        <f>Macro!AD18</f>
        <v>698.84138998335129</v>
      </c>
      <c r="AE46" s="10">
        <f>Macro!AE18</f>
        <v>696.51199800159645</v>
      </c>
      <c r="AF46" s="10">
        <f>Macro!AF18</f>
        <v>693.11467781459464</v>
      </c>
      <c r="AG46" s="10">
        <f>Macro!AG18</f>
        <v>665.02373588888156</v>
      </c>
      <c r="AH46" s="10">
        <f>Macro!AH18</f>
        <v>685.5324636195769</v>
      </c>
      <c r="AI46" s="10">
        <f>Macro!AI18</f>
        <v>682.79129418916682</v>
      </c>
      <c r="AJ46" s="10">
        <f>Macro!AJ18</f>
        <v>679.81559859515005</v>
      </c>
      <c r="AK46" s="10">
        <f>Macro!AK18</f>
        <v>676.09994621196131</v>
      </c>
      <c r="AL46" s="10">
        <f>Macro!AL18</f>
        <v>647.19019686492595</v>
      </c>
      <c r="AM46" s="10">
        <f>Macro!AM18</f>
        <v>667.90008451344318</v>
      </c>
      <c r="AN46" s="10">
        <f>Macro!AN18</f>
        <v>664.80014662273754</v>
      </c>
      <c r="AO46" s="10">
        <f>Macro!AO18</f>
        <v>661.09514885070848</v>
      </c>
      <c r="AP46" s="10">
        <f>Macro!AP18</f>
        <v>657.00684880437257</v>
      </c>
      <c r="AQ46" s="10">
        <f>Macro!AQ18</f>
        <v>627.20327059094939</v>
      </c>
      <c r="AR46" s="10">
        <f>Macro!AR18</f>
        <v>648.08390300336418</v>
      </c>
      <c r="AS46" s="10">
        <f>Macro!AS18</f>
        <v>646.98601261377337</v>
      </c>
      <c r="AT46" s="10">
        <f>Macro!AT18</f>
        <v>645.10118881380924</v>
      </c>
      <c r="AU46" s="10">
        <f>Macro!AU18</f>
        <v>643.19751677584543</v>
      </c>
      <c r="AV46" s="10">
        <f>Macro!AV18</f>
        <v>615.09828022476381</v>
      </c>
      <c r="AW46" s="10">
        <f>Macro!AW18</f>
        <v>638.74858850222404</v>
      </c>
      <c r="AX46" s="10">
        <f>Macro!AX18</f>
        <v>637.53557238905933</v>
      </c>
      <c r="AY46" s="10">
        <f>Macro!AY18</f>
        <v>635.5546036326291</v>
      </c>
      <c r="AZ46" s="10">
        <f>Macro!AZ18</f>
        <v>633.55382518863485</v>
      </c>
      <c r="BA46" s="10">
        <f>Macro!BA18</f>
        <v>604.82207200916059</v>
      </c>
      <c r="BB46" s="10">
        <f>Macro!BB18</f>
        <v>628.98779205161054</v>
      </c>
      <c r="BC46" s="10">
        <f>Macro!BC18</f>
        <v>627.65377764594439</v>
      </c>
      <c r="BD46" s="10">
        <f>Macro!BD18</f>
        <v>625.57175957400227</v>
      </c>
      <c r="BE46" s="10">
        <f>Macro!BE18</f>
        <v>623.46892132134087</v>
      </c>
      <c r="BF46" s="10">
        <f>Macro!BF18</f>
        <v>594.11939015924486</v>
      </c>
      <c r="BG46" s="10">
        <f>Macro!BG18</f>
        <v>618.82681314663853</v>
      </c>
      <c r="BH46" s="10">
        <f>Macro!BH18</f>
        <v>617.36562831950846</v>
      </c>
      <c r="BI46" s="10">
        <f>Macro!BI18</f>
        <v>615.17740640140755</v>
      </c>
      <c r="BJ46" s="10">
        <f>Macro!BJ18</f>
        <v>612.96730226412569</v>
      </c>
      <c r="BK46" s="10">
        <f>Macro!BK18</f>
        <v>583.120180134968</v>
      </c>
      <c r="BL46" s="10">
        <f>Macro!BL18</f>
        <v>608.3969383616668</v>
      </c>
      <c r="BM46" s="10">
        <f>Macro!BM18</f>
        <v>606.80209614350269</v>
      </c>
      <c r="BN46" s="10">
        <f>Macro!BN18</f>
        <v>604.50225291572963</v>
      </c>
      <c r="BO46" s="10">
        <f>Macro!BO18</f>
        <v>602.17941125567859</v>
      </c>
      <c r="BP46" s="10">
        <f>Macro!BP18</f>
        <v>573.13273322016414</v>
      </c>
      <c r="BQ46" s="10">
        <f>Macro!BQ18</f>
        <v>599.00786850524833</v>
      </c>
      <c r="BR46" s="10">
        <f>Macro!BR18</f>
        <v>27.314492142264442</v>
      </c>
      <c r="BS46" s="10">
        <f>Macro!BS18</f>
        <v>0</v>
      </c>
      <c r="BT46" s="10">
        <f>Macro!BT18</f>
        <v>0</v>
      </c>
      <c r="BU46" s="10">
        <f>Macro!BU18</f>
        <v>0</v>
      </c>
      <c r="BV46" s="10">
        <f>Macro!BV18</f>
        <v>0</v>
      </c>
      <c r="BW46" s="10">
        <f>Macro!BW18</f>
        <v>0</v>
      </c>
      <c r="BX46" s="10">
        <f>Macro!BX18</f>
        <v>0</v>
      </c>
      <c r="BY46" s="10">
        <f>Macro!BY18</f>
        <v>0</v>
      </c>
      <c r="BZ46" s="10">
        <f>Macro!BZ18</f>
        <v>0</v>
      </c>
      <c r="CA46" s="10">
        <f>Macro!CA18</f>
        <v>0</v>
      </c>
      <c r="CB46" s="10">
        <f>Macro!CB18</f>
        <v>0</v>
      </c>
      <c r="CC46" s="10">
        <f>Macro!CC18</f>
        <v>0</v>
      </c>
      <c r="CD46" s="10">
        <f>Macro!CD18</f>
        <v>0</v>
      </c>
      <c r="CE46" s="10">
        <f>Macro!CE18</f>
        <v>0</v>
      </c>
      <c r="CF46" s="10">
        <f>Macro!CF18</f>
        <v>0</v>
      </c>
      <c r="CG46" s="10">
        <f>Macro!CG18</f>
        <v>0</v>
      </c>
      <c r="CH46" s="10">
        <f>Macro!CH18</f>
        <v>0</v>
      </c>
      <c r="CI46" s="10">
        <f>Macro!CI18</f>
        <v>0</v>
      </c>
      <c r="CJ46" s="10">
        <f>Macro!CJ18</f>
        <v>0</v>
      </c>
      <c r="CK46" s="10">
        <f>Macro!CK18</f>
        <v>0</v>
      </c>
      <c r="CL46" s="10">
        <f>Macro!CL18</f>
        <v>0</v>
      </c>
      <c r="CM46" s="10">
        <f>Macro!CM18</f>
        <v>0</v>
      </c>
      <c r="CN46" s="10">
        <f>Macro!CN18</f>
        <v>0</v>
      </c>
      <c r="CO46" s="10">
        <f>Macro!CO18</f>
        <v>0</v>
      </c>
      <c r="CP46" s="10">
        <f>Macro!CP18</f>
        <v>0</v>
      </c>
      <c r="CQ46" s="10">
        <f>Macro!CQ18</f>
        <v>0</v>
      </c>
      <c r="CR46" s="10">
        <f>Macro!CR18</f>
        <v>0</v>
      </c>
      <c r="CS46" s="10">
        <f>Macro!CS18</f>
        <v>0</v>
      </c>
      <c r="CT46" s="10">
        <f>Macro!CT18</f>
        <v>0</v>
      </c>
      <c r="CU46" s="10"/>
      <c r="CV46" s="10"/>
      <c r="CW46" s="10"/>
      <c r="CX46" s="10"/>
      <c r="CY46" s="10"/>
      <c r="CZ46" s="10"/>
      <c r="DA46" s="10"/>
      <c r="DB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</row>
    <row r="47" spans="2:239" ht="12.75" customHeight="1" x14ac:dyDescent="0.25">
      <c r="H47" s="54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</row>
    <row r="48" spans="2:239" ht="12.75" customHeight="1" x14ac:dyDescent="0.25">
      <c r="C48" t="s">
        <v>224</v>
      </c>
      <c r="H48" s="54" t="s">
        <v>3</v>
      </c>
      <c r="N48" s="25">
        <f t="shared" si="25"/>
        <v>12786.139711271697</v>
      </c>
      <c r="P48" s="10">
        <f t="shared" ref="P48:CA48" si="26">P46*P44</f>
        <v>0</v>
      </c>
      <c r="Q48" s="10">
        <f t="shared" si="26"/>
        <v>0</v>
      </c>
      <c r="R48" s="10">
        <f t="shared" si="26"/>
        <v>0</v>
      </c>
      <c r="S48" s="10">
        <f t="shared" si="26"/>
        <v>673.7404345597472</v>
      </c>
      <c r="T48" s="10">
        <f t="shared" si="26"/>
        <v>693.79460432518681</v>
      </c>
      <c r="U48" s="10">
        <f t="shared" si="26"/>
        <v>676.38704874069265</v>
      </c>
      <c r="V48" s="10">
        <f t="shared" si="26"/>
        <v>657.90328518832678</v>
      </c>
      <c r="W48" s="10">
        <f t="shared" si="26"/>
        <v>618.77223222306657</v>
      </c>
      <c r="X48" s="10">
        <f t="shared" si="26"/>
        <v>621.69353349423079</v>
      </c>
      <c r="Y48" s="10">
        <f t="shared" si="26"/>
        <v>605.28613519559963</v>
      </c>
      <c r="Z48" s="10">
        <f t="shared" si="26"/>
        <v>589.07307274775451</v>
      </c>
      <c r="AA48" s="10">
        <f t="shared" si="26"/>
        <v>572.18211038348431</v>
      </c>
      <c r="AB48" s="10">
        <f t="shared" si="26"/>
        <v>536.68118770080002</v>
      </c>
      <c r="AC48" s="10">
        <f t="shared" si="26"/>
        <v>539.18879572105016</v>
      </c>
      <c r="AD48" s="10">
        <f t="shared" si="26"/>
        <v>524.21354850364776</v>
      </c>
      <c r="AE48" s="10">
        <f t="shared" si="26"/>
        <v>509.22634454838425</v>
      </c>
      <c r="AF48" s="10">
        <f t="shared" si="26"/>
        <v>493.90110373455127</v>
      </c>
      <c r="AG48" s="10">
        <f t="shared" si="26"/>
        <v>461.87524532924078</v>
      </c>
      <c r="AH48" s="10">
        <f t="shared" si="26"/>
        <v>464.05366296793295</v>
      </c>
      <c r="AI48" s="10">
        <f t="shared" si="26"/>
        <v>450.48547607267369</v>
      </c>
      <c r="AJ48" s="10">
        <f t="shared" si="26"/>
        <v>436.73047735197071</v>
      </c>
      <c r="AK48" s="10">
        <f t="shared" si="26"/>
        <v>422.92448850034629</v>
      </c>
      <c r="AL48" s="10">
        <f t="shared" si="26"/>
        <v>394.19709371465211</v>
      </c>
      <c r="AM48" s="10">
        <f t="shared" si="26"/>
        <v>396.11614383357403</v>
      </c>
      <c r="AN48" s="10">
        <f t="shared" si="26"/>
        <v>383.91201765307551</v>
      </c>
      <c r="AO48" s="10">
        <f t="shared" si="26"/>
        <v>371.37396648273125</v>
      </c>
      <c r="AP48" s="10">
        <f t="shared" si="26"/>
        <v>359.02465042650806</v>
      </c>
      <c r="AQ48" s="10">
        <f t="shared" si="26"/>
        <v>333.40305187246418</v>
      </c>
      <c r="AR48" s="10">
        <f t="shared" si="26"/>
        <v>0</v>
      </c>
      <c r="AS48" s="10">
        <f t="shared" si="26"/>
        <v>0</v>
      </c>
      <c r="AT48" s="10">
        <f t="shared" si="26"/>
        <v>0</v>
      </c>
      <c r="AU48" s="10">
        <f t="shared" si="26"/>
        <v>0</v>
      </c>
      <c r="AV48" s="10">
        <f t="shared" si="26"/>
        <v>0</v>
      </c>
      <c r="AW48" s="10">
        <f t="shared" si="26"/>
        <v>0</v>
      </c>
      <c r="AX48" s="10">
        <f t="shared" si="26"/>
        <v>0</v>
      </c>
      <c r="AY48" s="10">
        <f t="shared" si="26"/>
        <v>0</v>
      </c>
      <c r="AZ48" s="10">
        <f t="shared" si="26"/>
        <v>0</v>
      </c>
      <c r="BA48" s="10">
        <f t="shared" si="26"/>
        <v>0</v>
      </c>
      <c r="BB48" s="10">
        <f t="shared" si="26"/>
        <v>0</v>
      </c>
      <c r="BC48" s="10">
        <f t="shared" si="26"/>
        <v>0</v>
      </c>
      <c r="BD48" s="10">
        <f t="shared" si="26"/>
        <v>0</v>
      </c>
      <c r="BE48" s="10">
        <f t="shared" si="26"/>
        <v>0</v>
      </c>
      <c r="BF48" s="10">
        <f t="shared" si="26"/>
        <v>0</v>
      </c>
      <c r="BG48" s="10">
        <f t="shared" si="26"/>
        <v>0</v>
      </c>
      <c r="BH48" s="10">
        <f t="shared" si="26"/>
        <v>0</v>
      </c>
      <c r="BI48" s="10">
        <f t="shared" si="26"/>
        <v>0</v>
      </c>
      <c r="BJ48" s="10">
        <f t="shared" si="26"/>
        <v>0</v>
      </c>
      <c r="BK48" s="10">
        <f t="shared" si="26"/>
        <v>0</v>
      </c>
      <c r="BL48" s="10">
        <f t="shared" si="26"/>
        <v>0</v>
      </c>
      <c r="BM48" s="10">
        <f t="shared" si="26"/>
        <v>0</v>
      </c>
      <c r="BN48" s="10">
        <f t="shared" si="26"/>
        <v>0</v>
      </c>
      <c r="BO48" s="10">
        <f t="shared" si="26"/>
        <v>0</v>
      </c>
      <c r="BP48" s="10">
        <f t="shared" si="26"/>
        <v>0</v>
      </c>
      <c r="BQ48" s="10">
        <f t="shared" si="26"/>
        <v>0</v>
      </c>
      <c r="BR48" s="10">
        <f t="shared" si="26"/>
        <v>0</v>
      </c>
      <c r="BS48" s="10">
        <f t="shared" si="26"/>
        <v>0</v>
      </c>
      <c r="BT48" s="10">
        <f t="shared" si="26"/>
        <v>0</v>
      </c>
      <c r="BU48" s="10">
        <f t="shared" si="26"/>
        <v>0</v>
      </c>
      <c r="BV48" s="10">
        <f t="shared" si="26"/>
        <v>0</v>
      </c>
      <c r="BW48" s="10">
        <f t="shared" si="26"/>
        <v>0</v>
      </c>
      <c r="BX48" s="10">
        <f t="shared" si="26"/>
        <v>0</v>
      </c>
      <c r="BY48" s="10">
        <f t="shared" si="26"/>
        <v>0</v>
      </c>
      <c r="BZ48" s="10">
        <f t="shared" si="26"/>
        <v>0</v>
      </c>
      <c r="CA48" s="10">
        <f t="shared" si="26"/>
        <v>0</v>
      </c>
      <c r="CB48" s="10">
        <f t="shared" ref="CB48:CQ48" si="27">CB46*CB44</f>
        <v>0</v>
      </c>
      <c r="CC48" s="10">
        <f t="shared" si="27"/>
        <v>0</v>
      </c>
      <c r="CD48" s="10">
        <f t="shared" si="27"/>
        <v>0</v>
      </c>
      <c r="CE48" s="10">
        <f t="shared" si="27"/>
        <v>0</v>
      </c>
      <c r="CF48" s="10">
        <f t="shared" si="27"/>
        <v>0</v>
      </c>
      <c r="CG48" s="10">
        <f t="shared" si="27"/>
        <v>0</v>
      </c>
      <c r="CH48" s="10">
        <f t="shared" si="27"/>
        <v>0</v>
      </c>
      <c r="CI48" s="10">
        <f t="shared" si="27"/>
        <v>0</v>
      </c>
      <c r="CJ48" s="10">
        <f t="shared" si="27"/>
        <v>0</v>
      </c>
      <c r="CK48" s="10">
        <f t="shared" si="27"/>
        <v>0</v>
      </c>
      <c r="CL48" s="10">
        <f t="shared" si="27"/>
        <v>0</v>
      </c>
      <c r="CM48" s="10">
        <f t="shared" si="27"/>
        <v>0</v>
      </c>
      <c r="CN48" s="10">
        <f t="shared" si="27"/>
        <v>0</v>
      </c>
      <c r="CO48" s="10">
        <f t="shared" si="27"/>
        <v>0</v>
      </c>
      <c r="CP48" s="10">
        <f t="shared" si="27"/>
        <v>0</v>
      </c>
      <c r="CQ48" s="10">
        <f t="shared" si="27"/>
        <v>0</v>
      </c>
      <c r="CR48" s="10">
        <f t="shared" ref="CR48:CT48" si="28">CR46*CR44</f>
        <v>0</v>
      </c>
      <c r="CS48" s="10">
        <f t="shared" si="28"/>
        <v>0</v>
      </c>
      <c r="CT48" s="10">
        <f t="shared" si="28"/>
        <v>0</v>
      </c>
      <c r="CU48" s="10"/>
      <c r="CV48" s="10"/>
      <c r="CW48" s="10"/>
      <c r="CX48" s="10"/>
      <c r="CY48" s="10"/>
      <c r="CZ48" s="10"/>
      <c r="DA48" s="10"/>
      <c r="DB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</row>
    <row r="49" spans="2:239" ht="12.75" customHeight="1" x14ac:dyDescent="0.25">
      <c r="H49" s="54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</row>
    <row r="50" spans="2:239" ht="12.75" customHeight="1" x14ac:dyDescent="0.25">
      <c r="B50" s="21" t="s">
        <v>225</v>
      </c>
      <c r="H50" s="54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</row>
    <row r="51" spans="2:239" ht="12.75" customHeight="1" x14ac:dyDescent="0.25">
      <c r="H51" s="54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</row>
    <row r="52" spans="2:239" ht="12.75" customHeight="1" x14ac:dyDescent="0.25">
      <c r="C52" t="s">
        <v>226</v>
      </c>
      <c r="H52" s="54" t="s">
        <v>3</v>
      </c>
      <c r="J52" s="193" t="e">
        <f>N18</f>
        <v>#REF!</v>
      </c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</row>
    <row r="53" spans="2:239" ht="12.75" customHeight="1" x14ac:dyDescent="0.25">
      <c r="H53" s="54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</row>
    <row r="54" spans="2:239" ht="12.75" customHeight="1" x14ac:dyDescent="0.25">
      <c r="C54" s="23" t="s">
        <v>227</v>
      </c>
      <c r="H54" s="54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</row>
    <row r="55" spans="2:239" ht="12.75" customHeight="1" x14ac:dyDescent="0.25">
      <c r="C55" t="s">
        <v>228</v>
      </c>
      <c r="H55" s="54" t="s">
        <v>6</v>
      </c>
      <c r="J55" s="194">
        <f>InputC!K72</f>
        <v>0.8</v>
      </c>
      <c r="P55" s="195">
        <f t="shared" ref="P55:AE56" si="29">$J55*P$36</f>
        <v>0</v>
      </c>
      <c r="Q55" s="195">
        <f t="shared" si="29"/>
        <v>0</v>
      </c>
      <c r="R55" s="195">
        <f t="shared" si="29"/>
        <v>0</v>
      </c>
      <c r="S55" s="195">
        <f t="shared" si="29"/>
        <v>0.8</v>
      </c>
      <c r="T55" s="195">
        <f t="shared" si="29"/>
        <v>0.8</v>
      </c>
      <c r="U55" s="195">
        <f t="shared" si="29"/>
        <v>0.8</v>
      </c>
      <c r="V55" s="195">
        <f t="shared" si="29"/>
        <v>0.8</v>
      </c>
      <c r="W55" s="195">
        <f t="shared" si="29"/>
        <v>0.8</v>
      </c>
      <c r="X55" s="195">
        <f t="shared" si="29"/>
        <v>0.8</v>
      </c>
      <c r="Y55" s="195">
        <f t="shared" si="29"/>
        <v>0.8</v>
      </c>
      <c r="Z55" s="195">
        <f t="shared" si="29"/>
        <v>0.8</v>
      </c>
      <c r="AA55" s="195">
        <f t="shared" si="29"/>
        <v>0.8</v>
      </c>
      <c r="AB55" s="195">
        <f t="shared" si="29"/>
        <v>0.8</v>
      </c>
      <c r="AC55" s="195">
        <f t="shared" si="29"/>
        <v>0.8</v>
      </c>
      <c r="AD55" s="195">
        <f t="shared" si="29"/>
        <v>0.8</v>
      </c>
      <c r="AE55" s="195">
        <f t="shared" si="29"/>
        <v>0.8</v>
      </c>
      <c r="AF55" s="195">
        <f t="shared" ref="AF55:AU56" si="30">$J55*AF$36</f>
        <v>0.8</v>
      </c>
      <c r="AG55" s="195">
        <f t="shared" si="30"/>
        <v>0.8</v>
      </c>
      <c r="AH55" s="195">
        <f t="shared" si="30"/>
        <v>0.8</v>
      </c>
      <c r="AI55" s="195">
        <f t="shared" si="30"/>
        <v>0.8</v>
      </c>
      <c r="AJ55" s="195">
        <f t="shared" si="30"/>
        <v>0.8</v>
      </c>
      <c r="AK55" s="195">
        <f t="shared" si="30"/>
        <v>0.8</v>
      </c>
      <c r="AL55" s="195">
        <f t="shared" si="30"/>
        <v>0.8</v>
      </c>
      <c r="AM55" s="195">
        <f t="shared" si="30"/>
        <v>0.8</v>
      </c>
      <c r="AN55" s="195">
        <f t="shared" si="30"/>
        <v>0.8</v>
      </c>
      <c r="AO55" s="195">
        <f t="shared" si="30"/>
        <v>0.8</v>
      </c>
      <c r="AP55" s="195">
        <f t="shared" si="30"/>
        <v>0.8</v>
      </c>
      <c r="AQ55" s="195">
        <f t="shared" si="30"/>
        <v>0.8</v>
      </c>
      <c r="AR55" s="195">
        <f t="shared" si="30"/>
        <v>0</v>
      </c>
      <c r="AS55" s="195">
        <f t="shared" si="30"/>
        <v>0</v>
      </c>
      <c r="AT55" s="195">
        <f t="shared" si="30"/>
        <v>0</v>
      </c>
      <c r="AU55" s="195">
        <f t="shared" si="30"/>
        <v>0</v>
      </c>
      <c r="AV55" s="195">
        <f t="shared" ref="AV55:BK56" si="31">$J55*AV$36</f>
        <v>0</v>
      </c>
      <c r="AW55" s="195">
        <f t="shared" si="31"/>
        <v>0</v>
      </c>
      <c r="AX55" s="195">
        <f t="shared" si="31"/>
        <v>0</v>
      </c>
      <c r="AY55" s="195">
        <f t="shared" si="31"/>
        <v>0</v>
      </c>
      <c r="AZ55" s="195">
        <f t="shared" si="31"/>
        <v>0</v>
      </c>
      <c r="BA55" s="195">
        <f t="shared" si="31"/>
        <v>0</v>
      </c>
      <c r="BB55" s="195">
        <f t="shared" si="31"/>
        <v>0</v>
      </c>
      <c r="BC55" s="195">
        <f t="shared" si="31"/>
        <v>0</v>
      </c>
      <c r="BD55" s="195">
        <f t="shared" si="31"/>
        <v>0</v>
      </c>
      <c r="BE55" s="195">
        <f t="shared" si="31"/>
        <v>0</v>
      </c>
      <c r="BF55" s="195">
        <f t="shared" si="31"/>
        <v>0</v>
      </c>
      <c r="BG55" s="195">
        <f t="shared" si="31"/>
        <v>0</v>
      </c>
      <c r="BH55" s="195">
        <f t="shared" si="31"/>
        <v>0</v>
      </c>
      <c r="BI55" s="195">
        <f t="shared" si="31"/>
        <v>0</v>
      </c>
      <c r="BJ55" s="195">
        <f t="shared" si="31"/>
        <v>0</v>
      </c>
      <c r="BK55" s="195">
        <f t="shared" si="31"/>
        <v>0</v>
      </c>
      <c r="BL55" s="195">
        <f t="shared" ref="BL55:CA56" si="32">$J55*BL$36</f>
        <v>0</v>
      </c>
      <c r="BM55" s="195">
        <f t="shared" si="32"/>
        <v>0</v>
      </c>
      <c r="BN55" s="195">
        <f t="shared" si="32"/>
        <v>0</v>
      </c>
      <c r="BO55" s="195">
        <f t="shared" si="32"/>
        <v>0</v>
      </c>
      <c r="BP55" s="195">
        <f t="shared" si="32"/>
        <v>0</v>
      </c>
      <c r="BQ55" s="195">
        <f t="shared" si="32"/>
        <v>0</v>
      </c>
      <c r="BR55" s="195">
        <f t="shared" si="32"/>
        <v>0</v>
      </c>
      <c r="BS55" s="195">
        <f t="shared" si="32"/>
        <v>0</v>
      </c>
      <c r="BT55" s="195">
        <f t="shared" si="32"/>
        <v>0</v>
      </c>
      <c r="BU55" s="195">
        <f t="shared" si="32"/>
        <v>0</v>
      </c>
      <c r="BV55" s="195">
        <f t="shared" si="32"/>
        <v>0</v>
      </c>
      <c r="BW55" s="195">
        <f t="shared" si="32"/>
        <v>0</v>
      </c>
      <c r="BX55" s="195">
        <f t="shared" si="32"/>
        <v>0</v>
      </c>
      <c r="BY55" s="195">
        <f t="shared" si="32"/>
        <v>0</v>
      </c>
      <c r="BZ55" s="195">
        <f t="shared" si="32"/>
        <v>0</v>
      </c>
      <c r="CA55" s="195">
        <f t="shared" si="32"/>
        <v>0</v>
      </c>
      <c r="CB55" s="195">
        <f t="shared" ref="CB55:CR56" si="33">$J55*CB$36</f>
        <v>0</v>
      </c>
      <c r="CC55" s="195">
        <f t="shared" si="33"/>
        <v>0</v>
      </c>
      <c r="CD55" s="195">
        <f t="shared" si="33"/>
        <v>0</v>
      </c>
      <c r="CE55" s="195">
        <f t="shared" si="33"/>
        <v>0</v>
      </c>
      <c r="CF55" s="195">
        <f t="shared" si="33"/>
        <v>0</v>
      </c>
      <c r="CG55" s="195">
        <f t="shared" si="33"/>
        <v>0</v>
      </c>
      <c r="CH55" s="195">
        <f t="shared" si="33"/>
        <v>0</v>
      </c>
      <c r="CI55" s="195">
        <f t="shared" si="33"/>
        <v>0</v>
      </c>
      <c r="CJ55" s="195">
        <f t="shared" si="33"/>
        <v>0</v>
      </c>
      <c r="CK55" s="195">
        <f t="shared" si="33"/>
        <v>0</v>
      </c>
      <c r="CL55" s="195">
        <f t="shared" si="33"/>
        <v>0</v>
      </c>
      <c r="CM55" s="195">
        <f t="shared" si="33"/>
        <v>0</v>
      </c>
      <c r="CN55" s="195">
        <f t="shared" si="33"/>
        <v>0</v>
      </c>
      <c r="CO55" s="195">
        <f t="shared" si="33"/>
        <v>0</v>
      </c>
      <c r="CP55" s="195">
        <f t="shared" si="33"/>
        <v>0</v>
      </c>
      <c r="CQ55" s="195">
        <f t="shared" si="33"/>
        <v>0</v>
      </c>
      <c r="CR55" s="195">
        <f t="shared" si="33"/>
        <v>0</v>
      </c>
      <c r="CS55" s="195">
        <f t="shared" ref="CR55:CT56" si="34">$J55*CS$36</f>
        <v>0</v>
      </c>
      <c r="CT55" s="195">
        <f t="shared" si="34"/>
        <v>0</v>
      </c>
      <c r="CU55" s="195"/>
      <c r="CV55" s="195"/>
      <c r="CW55" s="195"/>
      <c r="CX55" s="195"/>
      <c r="CY55" s="195"/>
      <c r="CZ55" s="195"/>
      <c r="DA55" s="195"/>
      <c r="DB55" s="195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</row>
    <row r="56" spans="2:239" ht="12.75" customHeight="1" x14ac:dyDescent="0.25">
      <c r="C56" t="s">
        <v>229</v>
      </c>
      <c r="H56" s="54" t="s">
        <v>50</v>
      </c>
      <c r="J56" s="140">
        <f>InputC!K77</f>
        <v>1.2</v>
      </c>
      <c r="P56" s="73">
        <f t="shared" si="29"/>
        <v>0</v>
      </c>
      <c r="Q56" s="73">
        <f t="shared" si="29"/>
        <v>0</v>
      </c>
      <c r="R56" s="73">
        <f t="shared" si="29"/>
        <v>0</v>
      </c>
      <c r="S56" s="73">
        <f t="shared" si="29"/>
        <v>1.2</v>
      </c>
      <c r="T56" s="73">
        <f t="shared" si="29"/>
        <v>1.2</v>
      </c>
      <c r="U56" s="73">
        <f t="shared" si="29"/>
        <v>1.2</v>
      </c>
      <c r="V56" s="73">
        <f t="shared" si="29"/>
        <v>1.2</v>
      </c>
      <c r="W56" s="73">
        <f t="shared" si="29"/>
        <v>1.2</v>
      </c>
      <c r="X56" s="73">
        <f t="shared" si="29"/>
        <v>1.2</v>
      </c>
      <c r="Y56" s="73">
        <f t="shared" si="29"/>
        <v>1.2</v>
      </c>
      <c r="Z56" s="73">
        <f t="shared" si="29"/>
        <v>1.2</v>
      </c>
      <c r="AA56" s="73">
        <f t="shared" si="29"/>
        <v>1.2</v>
      </c>
      <c r="AB56" s="73">
        <f t="shared" si="29"/>
        <v>1.2</v>
      </c>
      <c r="AC56" s="73">
        <f t="shared" si="29"/>
        <v>1.2</v>
      </c>
      <c r="AD56" s="73">
        <f t="shared" si="29"/>
        <v>1.2</v>
      </c>
      <c r="AE56" s="73">
        <f t="shared" si="29"/>
        <v>1.2</v>
      </c>
      <c r="AF56" s="73">
        <f t="shared" si="30"/>
        <v>1.2</v>
      </c>
      <c r="AG56" s="73">
        <f t="shared" si="30"/>
        <v>1.2</v>
      </c>
      <c r="AH56" s="73">
        <f t="shared" si="30"/>
        <v>1.2</v>
      </c>
      <c r="AI56" s="73">
        <f t="shared" si="30"/>
        <v>1.2</v>
      </c>
      <c r="AJ56" s="73">
        <f t="shared" si="30"/>
        <v>1.2</v>
      </c>
      <c r="AK56" s="73">
        <f t="shared" si="30"/>
        <v>1.2</v>
      </c>
      <c r="AL56" s="73">
        <f t="shared" si="30"/>
        <v>1.2</v>
      </c>
      <c r="AM56" s="73">
        <f t="shared" si="30"/>
        <v>1.2</v>
      </c>
      <c r="AN56" s="73">
        <f t="shared" si="30"/>
        <v>1.2</v>
      </c>
      <c r="AO56" s="73">
        <f t="shared" si="30"/>
        <v>1.2</v>
      </c>
      <c r="AP56" s="73">
        <f t="shared" si="30"/>
        <v>1.2</v>
      </c>
      <c r="AQ56" s="73">
        <f t="shared" si="30"/>
        <v>1.2</v>
      </c>
      <c r="AR56" s="73">
        <f t="shared" si="30"/>
        <v>0</v>
      </c>
      <c r="AS56" s="73">
        <f t="shared" si="30"/>
        <v>0</v>
      </c>
      <c r="AT56" s="73">
        <f t="shared" si="30"/>
        <v>0</v>
      </c>
      <c r="AU56" s="73">
        <f t="shared" si="30"/>
        <v>0</v>
      </c>
      <c r="AV56" s="73">
        <f t="shared" si="31"/>
        <v>0</v>
      </c>
      <c r="AW56" s="73">
        <f t="shared" si="31"/>
        <v>0</v>
      </c>
      <c r="AX56" s="73">
        <f t="shared" si="31"/>
        <v>0</v>
      </c>
      <c r="AY56" s="73">
        <f t="shared" si="31"/>
        <v>0</v>
      </c>
      <c r="AZ56" s="73">
        <f t="shared" si="31"/>
        <v>0</v>
      </c>
      <c r="BA56" s="73">
        <f t="shared" si="31"/>
        <v>0</v>
      </c>
      <c r="BB56" s="73">
        <f t="shared" si="31"/>
        <v>0</v>
      </c>
      <c r="BC56" s="73">
        <f t="shared" si="31"/>
        <v>0</v>
      </c>
      <c r="BD56" s="73">
        <f t="shared" si="31"/>
        <v>0</v>
      </c>
      <c r="BE56" s="73">
        <f t="shared" si="31"/>
        <v>0</v>
      </c>
      <c r="BF56" s="73">
        <f t="shared" si="31"/>
        <v>0</v>
      </c>
      <c r="BG56" s="73">
        <f t="shared" si="31"/>
        <v>0</v>
      </c>
      <c r="BH56" s="73">
        <f t="shared" si="31"/>
        <v>0</v>
      </c>
      <c r="BI56" s="73">
        <f t="shared" si="31"/>
        <v>0</v>
      </c>
      <c r="BJ56" s="73">
        <f t="shared" si="31"/>
        <v>0</v>
      </c>
      <c r="BK56" s="73">
        <f t="shared" si="31"/>
        <v>0</v>
      </c>
      <c r="BL56" s="73">
        <f t="shared" si="32"/>
        <v>0</v>
      </c>
      <c r="BM56" s="73">
        <f t="shared" si="32"/>
        <v>0</v>
      </c>
      <c r="BN56" s="73">
        <f t="shared" si="32"/>
        <v>0</v>
      </c>
      <c r="BO56" s="73">
        <f t="shared" si="32"/>
        <v>0</v>
      </c>
      <c r="BP56" s="73">
        <f t="shared" si="32"/>
        <v>0</v>
      </c>
      <c r="BQ56" s="73">
        <f t="shared" si="32"/>
        <v>0</v>
      </c>
      <c r="BR56" s="73">
        <f t="shared" si="32"/>
        <v>0</v>
      </c>
      <c r="BS56" s="73">
        <f t="shared" si="32"/>
        <v>0</v>
      </c>
      <c r="BT56" s="73">
        <f t="shared" si="32"/>
        <v>0</v>
      </c>
      <c r="BU56" s="73">
        <f t="shared" si="32"/>
        <v>0</v>
      </c>
      <c r="BV56" s="73">
        <f t="shared" si="32"/>
        <v>0</v>
      </c>
      <c r="BW56" s="73">
        <f t="shared" si="32"/>
        <v>0</v>
      </c>
      <c r="BX56" s="73">
        <f t="shared" si="32"/>
        <v>0</v>
      </c>
      <c r="BY56" s="73">
        <f t="shared" si="32"/>
        <v>0</v>
      </c>
      <c r="BZ56" s="73">
        <f t="shared" si="32"/>
        <v>0</v>
      </c>
      <c r="CA56" s="73">
        <f t="shared" si="32"/>
        <v>0</v>
      </c>
      <c r="CB56" s="73">
        <f t="shared" si="33"/>
        <v>0</v>
      </c>
      <c r="CC56" s="73">
        <f t="shared" si="33"/>
        <v>0</v>
      </c>
      <c r="CD56" s="73">
        <f t="shared" si="33"/>
        <v>0</v>
      </c>
      <c r="CE56" s="73">
        <f t="shared" si="33"/>
        <v>0</v>
      </c>
      <c r="CF56" s="73">
        <f t="shared" si="33"/>
        <v>0</v>
      </c>
      <c r="CG56" s="73">
        <f t="shared" si="33"/>
        <v>0</v>
      </c>
      <c r="CH56" s="73">
        <f t="shared" si="33"/>
        <v>0</v>
      </c>
      <c r="CI56" s="73">
        <f t="shared" si="33"/>
        <v>0</v>
      </c>
      <c r="CJ56" s="73">
        <f t="shared" si="33"/>
        <v>0</v>
      </c>
      <c r="CK56" s="73">
        <f t="shared" si="33"/>
        <v>0</v>
      </c>
      <c r="CL56" s="73">
        <f t="shared" si="33"/>
        <v>0</v>
      </c>
      <c r="CM56" s="73">
        <f t="shared" si="33"/>
        <v>0</v>
      </c>
      <c r="CN56" s="73">
        <f t="shared" si="33"/>
        <v>0</v>
      </c>
      <c r="CO56" s="73">
        <f t="shared" si="33"/>
        <v>0</v>
      </c>
      <c r="CP56" s="73">
        <f t="shared" si="33"/>
        <v>0</v>
      </c>
      <c r="CQ56" s="73">
        <f t="shared" si="33"/>
        <v>0</v>
      </c>
      <c r="CR56" s="73">
        <f t="shared" si="34"/>
        <v>0</v>
      </c>
      <c r="CS56" s="73">
        <f t="shared" si="34"/>
        <v>0</v>
      </c>
      <c r="CT56" s="73">
        <f t="shared" si="34"/>
        <v>0</v>
      </c>
      <c r="CU56" s="73"/>
      <c r="CV56" s="73"/>
      <c r="CW56" s="73"/>
      <c r="CX56" s="73"/>
      <c r="CY56" s="73"/>
      <c r="CZ56" s="73"/>
      <c r="DA56" s="73"/>
      <c r="DB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</row>
    <row r="57" spans="2:239" ht="12.75" customHeight="1" x14ac:dyDescent="0.25">
      <c r="H57" s="54"/>
      <c r="N57" s="19"/>
    </row>
    <row r="58" spans="2:239" ht="12.75" customHeight="1" x14ac:dyDescent="0.25">
      <c r="C58" t="s">
        <v>230</v>
      </c>
      <c r="H58" s="54" t="s">
        <v>3</v>
      </c>
      <c r="N58" s="25">
        <f>SUM(P58:DB58)</f>
        <v>14325.803159938425</v>
      </c>
      <c r="P58" s="10">
        <f t="shared" ref="P58:CA58" si="35">IFERROR(P46/P56,0)</f>
        <v>0</v>
      </c>
      <c r="Q58" s="10">
        <f t="shared" si="35"/>
        <v>0</v>
      </c>
      <c r="R58" s="10">
        <f t="shared" si="35"/>
        <v>0</v>
      </c>
      <c r="S58" s="10">
        <f t="shared" si="35"/>
        <v>574.36372046218446</v>
      </c>
      <c r="T58" s="10">
        <f t="shared" si="35"/>
        <v>605.06347789152778</v>
      </c>
      <c r="U58" s="10">
        <f t="shared" si="35"/>
        <v>604.03939134425445</v>
      </c>
      <c r="V58" s="10">
        <f t="shared" si="35"/>
        <v>601.63347110940231</v>
      </c>
      <c r="W58" s="10">
        <f t="shared" si="35"/>
        <v>579.42964040819163</v>
      </c>
      <c r="X58" s="10">
        <f t="shared" si="35"/>
        <v>596.13716518074432</v>
      </c>
      <c r="Y58" s="10">
        <f t="shared" si="35"/>
        <v>594.33393836378286</v>
      </c>
      <c r="Z58" s="10">
        <f t="shared" si="35"/>
        <v>592.8745950491957</v>
      </c>
      <c r="AA58" s="10">
        <f t="shared" si="35"/>
        <v>590.27149431696353</v>
      </c>
      <c r="AB58" s="10">
        <f t="shared" si="35"/>
        <v>567.48942497385929</v>
      </c>
      <c r="AC58" s="10">
        <f t="shared" si="35"/>
        <v>584.39450704547414</v>
      </c>
      <c r="AD58" s="10">
        <f t="shared" si="35"/>
        <v>582.36782498612615</v>
      </c>
      <c r="AE58" s="10">
        <f t="shared" si="35"/>
        <v>580.42666500133043</v>
      </c>
      <c r="AF58" s="10">
        <f t="shared" si="35"/>
        <v>577.59556484549557</v>
      </c>
      <c r="AG58" s="10">
        <f t="shared" si="35"/>
        <v>554.18644657406799</v>
      </c>
      <c r="AH58" s="10">
        <f t="shared" si="35"/>
        <v>571.27705301631408</v>
      </c>
      <c r="AI58" s="10">
        <f t="shared" si="35"/>
        <v>568.99274515763909</v>
      </c>
      <c r="AJ58" s="10">
        <f t="shared" si="35"/>
        <v>566.51299882929175</v>
      </c>
      <c r="AK58" s="10">
        <f t="shared" si="35"/>
        <v>563.41662184330107</v>
      </c>
      <c r="AL58" s="10">
        <f t="shared" si="35"/>
        <v>539.32516405410502</v>
      </c>
      <c r="AM58" s="10">
        <f t="shared" si="35"/>
        <v>556.5834037612027</v>
      </c>
      <c r="AN58" s="10">
        <f t="shared" si="35"/>
        <v>554.0001221856146</v>
      </c>
      <c r="AO58" s="10">
        <f t="shared" si="35"/>
        <v>550.91262404225711</v>
      </c>
      <c r="AP58" s="10">
        <f t="shared" si="35"/>
        <v>547.50570733697714</v>
      </c>
      <c r="AQ58" s="10">
        <f t="shared" si="35"/>
        <v>522.66939215912453</v>
      </c>
      <c r="AR58" s="10">
        <f t="shared" si="35"/>
        <v>0</v>
      </c>
      <c r="AS58" s="10">
        <f t="shared" si="35"/>
        <v>0</v>
      </c>
      <c r="AT58" s="10">
        <f t="shared" si="35"/>
        <v>0</v>
      </c>
      <c r="AU58" s="10">
        <f t="shared" si="35"/>
        <v>0</v>
      </c>
      <c r="AV58" s="10">
        <f t="shared" si="35"/>
        <v>0</v>
      </c>
      <c r="AW58" s="10">
        <f t="shared" si="35"/>
        <v>0</v>
      </c>
      <c r="AX58" s="10">
        <f t="shared" si="35"/>
        <v>0</v>
      </c>
      <c r="AY58" s="10">
        <f t="shared" si="35"/>
        <v>0</v>
      </c>
      <c r="AZ58" s="10">
        <f t="shared" si="35"/>
        <v>0</v>
      </c>
      <c r="BA58" s="10">
        <f t="shared" si="35"/>
        <v>0</v>
      </c>
      <c r="BB58" s="10">
        <f t="shared" si="35"/>
        <v>0</v>
      </c>
      <c r="BC58" s="10">
        <f t="shared" si="35"/>
        <v>0</v>
      </c>
      <c r="BD58" s="10">
        <f t="shared" si="35"/>
        <v>0</v>
      </c>
      <c r="BE58" s="10">
        <f t="shared" si="35"/>
        <v>0</v>
      </c>
      <c r="BF58" s="10">
        <f t="shared" si="35"/>
        <v>0</v>
      </c>
      <c r="BG58" s="10">
        <f t="shared" si="35"/>
        <v>0</v>
      </c>
      <c r="BH58" s="10">
        <f t="shared" si="35"/>
        <v>0</v>
      </c>
      <c r="BI58" s="10">
        <f t="shared" si="35"/>
        <v>0</v>
      </c>
      <c r="BJ58" s="10">
        <f t="shared" si="35"/>
        <v>0</v>
      </c>
      <c r="BK58" s="10">
        <f t="shared" si="35"/>
        <v>0</v>
      </c>
      <c r="BL58" s="10">
        <f t="shared" si="35"/>
        <v>0</v>
      </c>
      <c r="BM58" s="10">
        <f t="shared" si="35"/>
        <v>0</v>
      </c>
      <c r="BN58" s="10">
        <f t="shared" si="35"/>
        <v>0</v>
      </c>
      <c r="BO58" s="10">
        <f t="shared" si="35"/>
        <v>0</v>
      </c>
      <c r="BP58" s="10">
        <f t="shared" si="35"/>
        <v>0</v>
      </c>
      <c r="BQ58" s="10">
        <f t="shared" si="35"/>
        <v>0</v>
      </c>
      <c r="BR58" s="10">
        <f t="shared" si="35"/>
        <v>0</v>
      </c>
      <c r="BS58" s="10">
        <f t="shared" si="35"/>
        <v>0</v>
      </c>
      <c r="BT58" s="10">
        <f t="shared" si="35"/>
        <v>0</v>
      </c>
      <c r="BU58" s="10">
        <f t="shared" si="35"/>
        <v>0</v>
      </c>
      <c r="BV58" s="10">
        <f t="shared" si="35"/>
        <v>0</v>
      </c>
      <c r="BW58" s="10">
        <f t="shared" si="35"/>
        <v>0</v>
      </c>
      <c r="BX58" s="10">
        <f t="shared" si="35"/>
        <v>0</v>
      </c>
      <c r="BY58" s="10">
        <f t="shared" si="35"/>
        <v>0</v>
      </c>
      <c r="BZ58" s="10">
        <f t="shared" si="35"/>
        <v>0</v>
      </c>
      <c r="CA58" s="10">
        <f t="shared" si="35"/>
        <v>0</v>
      </c>
      <c r="CB58" s="10">
        <f t="shared" ref="CB58:CQ58" si="36">IFERROR(CB46/CB56,0)</f>
        <v>0</v>
      </c>
      <c r="CC58" s="10">
        <f t="shared" si="36"/>
        <v>0</v>
      </c>
      <c r="CD58" s="10">
        <f t="shared" si="36"/>
        <v>0</v>
      </c>
      <c r="CE58" s="10">
        <f t="shared" si="36"/>
        <v>0</v>
      </c>
      <c r="CF58" s="10">
        <f t="shared" si="36"/>
        <v>0</v>
      </c>
      <c r="CG58" s="10">
        <f t="shared" si="36"/>
        <v>0</v>
      </c>
      <c r="CH58" s="10">
        <f t="shared" si="36"/>
        <v>0</v>
      </c>
      <c r="CI58" s="10">
        <f t="shared" si="36"/>
        <v>0</v>
      </c>
      <c r="CJ58" s="10">
        <f t="shared" si="36"/>
        <v>0</v>
      </c>
      <c r="CK58" s="10">
        <f t="shared" si="36"/>
        <v>0</v>
      </c>
      <c r="CL58" s="10">
        <f t="shared" si="36"/>
        <v>0</v>
      </c>
      <c r="CM58" s="10">
        <f t="shared" si="36"/>
        <v>0</v>
      </c>
      <c r="CN58" s="10">
        <f t="shared" si="36"/>
        <v>0</v>
      </c>
      <c r="CO58" s="10">
        <f t="shared" si="36"/>
        <v>0</v>
      </c>
      <c r="CP58" s="10">
        <f t="shared" si="36"/>
        <v>0</v>
      </c>
      <c r="CQ58" s="10">
        <f t="shared" si="36"/>
        <v>0</v>
      </c>
      <c r="CR58" s="10">
        <f t="shared" ref="CR58:CT58" si="37">IFERROR(CR46/CR56,0)</f>
        <v>0</v>
      </c>
      <c r="CS58" s="10">
        <f t="shared" si="37"/>
        <v>0</v>
      </c>
      <c r="CT58" s="10">
        <f t="shared" si="37"/>
        <v>0</v>
      </c>
      <c r="CU58" s="10"/>
      <c r="CV58" s="10"/>
      <c r="CW58" s="10"/>
      <c r="CX58" s="10"/>
      <c r="CY58" s="10"/>
      <c r="CZ58" s="10"/>
      <c r="DA58" s="10"/>
      <c r="DB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</row>
    <row r="59" spans="2:239" ht="12.75" customHeight="1" x14ac:dyDescent="0.25">
      <c r="H59" s="54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</row>
    <row r="60" spans="2:239" ht="12.75" customHeight="1" x14ac:dyDescent="0.25">
      <c r="C60" t="s">
        <v>231</v>
      </c>
      <c r="H60" s="54" t="s">
        <v>3</v>
      </c>
      <c r="J60" s="193">
        <f>SUMPRODUCT(P58:DB58,P44:DB44)</f>
        <v>10655.11642605974</v>
      </c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</row>
    <row r="61" spans="2:239" ht="12.75" customHeight="1" x14ac:dyDescent="0.25">
      <c r="H61" s="54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</row>
    <row r="62" spans="2:239" ht="12.75" customHeight="1" x14ac:dyDescent="0.25">
      <c r="C62" s="23" t="s">
        <v>232</v>
      </c>
      <c r="H62" s="54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</row>
    <row r="63" spans="2:239" ht="12.75" customHeight="1" x14ac:dyDescent="0.25">
      <c r="C63" t="s">
        <v>233</v>
      </c>
      <c r="H63" s="54" t="s">
        <v>6</v>
      </c>
      <c r="J63" s="194" t="e">
        <f>J60/J52</f>
        <v>#REF!</v>
      </c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</row>
    <row r="64" spans="2:239" ht="12.75" customHeight="1" x14ac:dyDescent="0.25">
      <c r="C64" t="s">
        <v>232</v>
      </c>
      <c r="H64" s="54" t="s">
        <v>6</v>
      </c>
      <c r="J64" s="194">
        <f>IFERROR(MIN(1,J55/J63),1)</f>
        <v>1</v>
      </c>
    </row>
    <row r="65" spans="2:239" ht="12.75" customHeight="1" x14ac:dyDescent="0.25">
      <c r="H65" s="54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</row>
    <row r="66" spans="2:239" ht="12.75" customHeight="1" x14ac:dyDescent="0.25">
      <c r="C66" t="s">
        <v>234</v>
      </c>
      <c r="H66" s="54" t="s">
        <v>3</v>
      </c>
      <c r="N66" s="25">
        <f>SUM(P66:DB66)</f>
        <v>14325.803159938425</v>
      </c>
      <c r="P66" s="10">
        <f t="shared" ref="P66:CA66" si="38">$J64*P58</f>
        <v>0</v>
      </c>
      <c r="Q66" s="10">
        <f t="shared" si="38"/>
        <v>0</v>
      </c>
      <c r="R66" s="10">
        <f t="shared" si="38"/>
        <v>0</v>
      </c>
      <c r="S66" s="10">
        <f t="shared" si="38"/>
        <v>574.36372046218446</v>
      </c>
      <c r="T66" s="10">
        <f t="shared" si="38"/>
        <v>605.06347789152778</v>
      </c>
      <c r="U66" s="10">
        <f t="shared" si="38"/>
        <v>604.03939134425445</v>
      </c>
      <c r="V66" s="10">
        <f t="shared" si="38"/>
        <v>601.63347110940231</v>
      </c>
      <c r="W66" s="10">
        <f t="shared" si="38"/>
        <v>579.42964040819163</v>
      </c>
      <c r="X66" s="10">
        <f t="shared" si="38"/>
        <v>596.13716518074432</v>
      </c>
      <c r="Y66" s="10">
        <f t="shared" si="38"/>
        <v>594.33393836378286</v>
      </c>
      <c r="Z66" s="10">
        <f t="shared" si="38"/>
        <v>592.8745950491957</v>
      </c>
      <c r="AA66" s="10">
        <f t="shared" si="38"/>
        <v>590.27149431696353</v>
      </c>
      <c r="AB66" s="10">
        <f t="shared" si="38"/>
        <v>567.48942497385929</v>
      </c>
      <c r="AC66" s="10">
        <f t="shared" si="38"/>
        <v>584.39450704547414</v>
      </c>
      <c r="AD66" s="10">
        <f t="shared" si="38"/>
        <v>582.36782498612615</v>
      </c>
      <c r="AE66" s="10">
        <f t="shared" si="38"/>
        <v>580.42666500133043</v>
      </c>
      <c r="AF66" s="10">
        <f t="shared" si="38"/>
        <v>577.59556484549557</v>
      </c>
      <c r="AG66" s="10">
        <f t="shared" si="38"/>
        <v>554.18644657406799</v>
      </c>
      <c r="AH66" s="10">
        <f t="shared" si="38"/>
        <v>571.27705301631408</v>
      </c>
      <c r="AI66" s="10">
        <f t="shared" si="38"/>
        <v>568.99274515763909</v>
      </c>
      <c r="AJ66" s="10">
        <f t="shared" si="38"/>
        <v>566.51299882929175</v>
      </c>
      <c r="AK66" s="10">
        <f t="shared" si="38"/>
        <v>563.41662184330107</v>
      </c>
      <c r="AL66" s="10">
        <f t="shared" si="38"/>
        <v>539.32516405410502</v>
      </c>
      <c r="AM66" s="10">
        <f t="shared" si="38"/>
        <v>556.5834037612027</v>
      </c>
      <c r="AN66" s="10">
        <f t="shared" si="38"/>
        <v>554.0001221856146</v>
      </c>
      <c r="AO66" s="10">
        <f t="shared" si="38"/>
        <v>550.91262404225711</v>
      </c>
      <c r="AP66" s="10">
        <f t="shared" si="38"/>
        <v>547.50570733697714</v>
      </c>
      <c r="AQ66" s="10">
        <f t="shared" si="38"/>
        <v>522.66939215912453</v>
      </c>
      <c r="AR66" s="10">
        <f t="shared" si="38"/>
        <v>0</v>
      </c>
      <c r="AS66" s="10">
        <f t="shared" si="38"/>
        <v>0</v>
      </c>
      <c r="AT66" s="10">
        <f t="shared" si="38"/>
        <v>0</v>
      </c>
      <c r="AU66" s="10">
        <f t="shared" si="38"/>
        <v>0</v>
      </c>
      <c r="AV66" s="10">
        <f t="shared" si="38"/>
        <v>0</v>
      </c>
      <c r="AW66" s="10">
        <f t="shared" si="38"/>
        <v>0</v>
      </c>
      <c r="AX66" s="10">
        <f t="shared" si="38"/>
        <v>0</v>
      </c>
      <c r="AY66" s="10">
        <f t="shared" si="38"/>
        <v>0</v>
      </c>
      <c r="AZ66" s="10">
        <f t="shared" si="38"/>
        <v>0</v>
      </c>
      <c r="BA66" s="10">
        <f t="shared" si="38"/>
        <v>0</v>
      </c>
      <c r="BB66" s="10">
        <f t="shared" si="38"/>
        <v>0</v>
      </c>
      <c r="BC66" s="10">
        <f t="shared" si="38"/>
        <v>0</v>
      </c>
      <c r="BD66" s="10">
        <f t="shared" si="38"/>
        <v>0</v>
      </c>
      <c r="BE66" s="10">
        <f t="shared" si="38"/>
        <v>0</v>
      </c>
      <c r="BF66" s="10">
        <f t="shared" si="38"/>
        <v>0</v>
      </c>
      <c r="BG66" s="10">
        <f t="shared" si="38"/>
        <v>0</v>
      </c>
      <c r="BH66" s="10">
        <f t="shared" si="38"/>
        <v>0</v>
      </c>
      <c r="BI66" s="10">
        <f t="shared" si="38"/>
        <v>0</v>
      </c>
      <c r="BJ66" s="10">
        <f t="shared" si="38"/>
        <v>0</v>
      </c>
      <c r="BK66" s="10">
        <f t="shared" si="38"/>
        <v>0</v>
      </c>
      <c r="BL66" s="10">
        <f t="shared" si="38"/>
        <v>0</v>
      </c>
      <c r="BM66" s="10">
        <f t="shared" si="38"/>
        <v>0</v>
      </c>
      <c r="BN66" s="10">
        <f t="shared" si="38"/>
        <v>0</v>
      </c>
      <c r="BO66" s="10">
        <f t="shared" si="38"/>
        <v>0</v>
      </c>
      <c r="BP66" s="10">
        <f t="shared" si="38"/>
        <v>0</v>
      </c>
      <c r="BQ66" s="10">
        <f t="shared" si="38"/>
        <v>0</v>
      </c>
      <c r="BR66" s="10">
        <f t="shared" si="38"/>
        <v>0</v>
      </c>
      <c r="BS66" s="10">
        <f t="shared" si="38"/>
        <v>0</v>
      </c>
      <c r="BT66" s="10">
        <f t="shared" si="38"/>
        <v>0</v>
      </c>
      <c r="BU66" s="10">
        <f t="shared" si="38"/>
        <v>0</v>
      </c>
      <c r="BV66" s="10">
        <f t="shared" si="38"/>
        <v>0</v>
      </c>
      <c r="BW66" s="10">
        <f t="shared" si="38"/>
        <v>0</v>
      </c>
      <c r="BX66" s="10">
        <f t="shared" si="38"/>
        <v>0</v>
      </c>
      <c r="BY66" s="10">
        <f t="shared" si="38"/>
        <v>0</v>
      </c>
      <c r="BZ66" s="10">
        <f t="shared" si="38"/>
        <v>0</v>
      </c>
      <c r="CA66" s="10">
        <f t="shared" si="38"/>
        <v>0</v>
      </c>
      <c r="CB66" s="10">
        <f t="shared" ref="CB66:CQ66" si="39">$J64*CB58</f>
        <v>0</v>
      </c>
      <c r="CC66" s="10">
        <f t="shared" si="39"/>
        <v>0</v>
      </c>
      <c r="CD66" s="10">
        <f t="shared" si="39"/>
        <v>0</v>
      </c>
      <c r="CE66" s="10">
        <f t="shared" si="39"/>
        <v>0</v>
      </c>
      <c r="CF66" s="10">
        <f t="shared" si="39"/>
        <v>0</v>
      </c>
      <c r="CG66" s="10">
        <f t="shared" si="39"/>
        <v>0</v>
      </c>
      <c r="CH66" s="10">
        <f t="shared" si="39"/>
        <v>0</v>
      </c>
      <c r="CI66" s="10">
        <f t="shared" si="39"/>
        <v>0</v>
      </c>
      <c r="CJ66" s="10">
        <f t="shared" si="39"/>
        <v>0</v>
      </c>
      <c r="CK66" s="10">
        <f t="shared" si="39"/>
        <v>0</v>
      </c>
      <c r="CL66" s="10">
        <f t="shared" si="39"/>
        <v>0</v>
      </c>
      <c r="CM66" s="10">
        <f t="shared" si="39"/>
        <v>0</v>
      </c>
      <c r="CN66" s="10">
        <f t="shared" si="39"/>
        <v>0</v>
      </c>
      <c r="CO66" s="10">
        <f t="shared" si="39"/>
        <v>0</v>
      </c>
      <c r="CP66" s="10">
        <f t="shared" si="39"/>
        <v>0</v>
      </c>
      <c r="CQ66" s="10">
        <f t="shared" si="39"/>
        <v>0</v>
      </c>
      <c r="CR66" s="10">
        <f t="shared" ref="CR66:CT66" si="40">$J64*CR58</f>
        <v>0</v>
      </c>
      <c r="CS66" s="10">
        <f t="shared" si="40"/>
        <v>0</v>
      </c>
      <c r="CT66" s="10">
        <f t="shared" si="40"/>
        <v>0</v>
      </c>
      <c r="CU66" s="10"/>
      <c r="CV66" s="10"/>
      <c r="CW66" s="10"/>
      <c r="CX66" s="10"/>
      <c r="CY66" s="10"/>
      <c r="CZ66" s="10"/>
      <c r="DA66" s="10"/>
      <c r="DB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</row>
    <row r="67" spans="2:239" ht="12.75" customHeight="1" x14ac:dyDescent="0.25">
      <c r="H67" s="54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</row>
    <row r="68" spans="2:239" ht="12.75" customHeight="1" x14ac:dyDescent="0.25">
      <c r="C68" t="s">
        <v>235</v>
      </c>
      <c r="H68" s="54" t="s">
        <v>50</v>
      </c>
      <c r="J68" s="140">
        <f>AVERAGEIF(P68:IE68,"&gt;0")</f>
        <v>1.1999999999999995</v>
      </c>
      <c r="P68" s="73">
        <f t="shared" ref="P68:CA68" si="41">IFERROR(P46/P66,0)</f>
        <v>0</v>
      </c>
      <c r="Q68" s="73">
        <f t="shared" si="41"/>
        <v>0</v>
      </c>
      <c r="R68" s="73">
        <f t="shared" si="41"/>
        <v>0</v>
      </c>
      <c r="S68" s="73">
        <f t="shared" si="41"/>
        <v>1.2</v>
      </c>
      <c r="T68" s="73">
        <f t="shared" si="41"/>
        <v>1.2</v>
      </c>
      <c r="U68" s="73">
        <f t="shared" si="41"/>
        <v>1.2</v>
      </c>
      <c r="V68" s="73">
        <f t="shared" si="41"/>
        <v>1.2</v>
      </c>
      <c r="W68" s="73">
        <f t="shared" si="41"/>
        <v>1.2</v>
      </c>
      <c r="X68" s="73">
        <f t="shared" si="41"/>
        <v>1.2</v>
      </c>
      <c r="Y68" s="73">
        <f t="shared" si="41"/>
        <v>1.2</v>
      </c>
      <c r="Z68" s="73">
        <f t="shared" si="41"/>
        <v>1.2</v>
      </c>
      <c r="AA68" s="73">
        <f t="shared" si="41"/>
        <v>1.2</v>
      </c>
      <c r="AB68" s="73">
        <f t="shared" si="41"/>
        <v>1.2</v>
      </c>
      <c r="AC68" s="73">
        <f t="shared" si="41"/>
        <v>1.2</v>
      </c>
      <c r="AD68" s="73">
        <f t="shared" si="41"/>
        <v>1.1999999999999997</v>
      </c>
      <c r="AE68" s="73">
        <f t="shared" si="41"/>
        <v>1.2</v>
      </c>
      <c r="AF68" s="73">
        <f t="shared" si="41"/>
        <v>1.2</v>
      </c>
      <c r="AG68" s="73">
        <f t="shared" si="41"/>
        <v>1.2</v>
      </c>
      <c r="AH68" s="73">
        <f t="shared" si="41"/>
        <v>1.2</v>
      </c>
      <c r="AI68" s="73">
        <f t="shared" si="41"/>
        <v>1.1999999999999997</v>
      </c>
      <c r="AJ68" s="73">
        <f t="shared" si="41"/>
        <v>1.2</v>
      </c>
      <c r="AK68" s="73">
        <f t="shared" si="41"/>
        <v>1.2</v>
      </c>
      <c r="AL68" s="73">
        <f t="shared" si="41"/>
        <v>1.2</v>
      </c>
      <c r="AM68" s="73">
        <f t="shared" si="41"/>
        <v>1.2</v>
      </c>
      <c r="AN68" s="73">
        <f t="shared" si="41"/>
        <v>1.2</v>
      </c>
      <c r="AO68" s="73">
        <f t="shared" si="41"/>
        <v>1.2</v>
      </c>
      <c r="AP68" s="73">
        <f t="shared" si="41"/>
        <v>1.2</v>
      </c>
      <c r="AQ68" s="73">
        <f t="shared" si="41"/>
        <v>1.2</v>
      </c>
      <c r="AR68" s="73">
        <f t="shared" si="41"/>
        <v>0</v>
      </c>
      <c r="AS68" s="73">
        <f t="shared" si="41"/>
        <v>0</v>
      </c>
      <c r="AT68" s="73">
        <f t="shared" si="41"/>
        <v>0</v>
      </c>
      <c r="AU68" s="73">
        <f t="shared" si="41"/>
        <v>0</v>
      </c>
      <c r="AV68" s="73">
        <f t="shared" si="41"/>
        <v>0</v>
      </c>
      <c r="AW68" s="73">
        <f t="shared" si="41"/>
        <v>0</v>
      </c>
      <c r="AX68" s="73">
        <f t="shared" si="41"/>
        <v>0</v>
      </c>
      <c r="AY68" s="73">
        <f t="shared" si="41"/>
        <v>0</v>
      </c>
      <c r="AZ68" s="73">
        <f t="shared" si="41"/>
        <v>0</v>
      </c>
      <c r="BA68" s="73">
        <f t="shared" si="41"/>
        <v>0</v>
      </c>
      <c r="BB68" s="73">
        <f t="shared" si="41"/>
        <v>0</v>
      </c>
      <c r="BC68" s="73">
        <f t="shared" si="41"/>
        <v>0</v>
      </c>
      <c r="BD68" s="73">
        <f t="shared" si="41"/>
        <v>0</v>
      </c>
      <c r="BE68" s="73">
        <f t="shared" si="41"/>
        <v>0</v>
      </c>
      <c r="BF68" s="73">
        <f t="shared" si="41"/>
        <v>0</v>
      </c>
      <c r="BG68" s="73">
        <f t="shared" si="41"/>
        <v>0</v>
      </c>
      <c r="BH68" s="73">
        <f t="shared" si="41"/>
        <v>0</v>
      </c>
      <c r="BI68" s="73">
        <f t="shared" si="41"/>
        <v>0</v>
      </c>
      <c r="BJ68" s="73">
        <f t="shared" si="41"/>
        <v>0</v>
      </c>
      <c r="BK68" s="73">
        <f t="shared" si="41"/>
        <v>0</v>
      </c>
      <c r="BL68" s="73">
        <f t="shared" si="41"/>
        <v>0</v>
      </c>
      <c r="BM68" s="73">
        <f t="shared" si="41"/>
        <v>0</v>
      </c>
      <c r="BN68" s="73">
        <f t="shared" si="41"/>
        <v>0</v>
      </c>
      <c r="BO68" s="73">
        <f t="shared" si="41"/>
        <v>0</v>
      </c>
      <c r="BP68" s="73">
        <f t="shared" si="41"/>
        <v>0</v>
      </c>
      <c r="BQ68" s="73">
        <f t="shared" si="41"/>
        <v>0</v>
      </c>
      <c r="BR68" s="73">
        <f t="shared" si="41"/>
        <v>0</v>
      </c>
      <c r="BS68" s="73">
        <f t="shared" si="41"/>
        <v>0</v>
      </c>
      <c r="BT68" s="73">
        <f t="shared" si="41"/>
        <v>0</v>
      </c>
      <c r="BU68" s="73">
        <f t="shared" si="41"/>
        <v>0</v>
      </c>
      <c r="BV68" s="73">
        <f t="shared" si="41"/>
        <v>0</v>
      </c>
      <c r="BW68" s="73">
        <f t="shared" si="41"/>
        <v>0</v>
      </c>
      <c r="BX68" s="73">
        <f t="shared" si="41"/>
        <v>0</v>
      </c>
      <c r="BY68" s="73">
        <f t="shared" si="41"/>
        <v>0</v>
      </c>
      <c r="BZ68" s="73">
        <f t="shared" si="41"/>
        <v>0</v>
      </c>
      <c r="CA68" s="73">
        <f t="shared" si="41"/>
        <v>0</v>
      </c>
      <c r="CB68" s="73">
        <f t="shared" ref="CB68:CQ68" si="42">IFERROR(CB46/CB66,0)</f>
        <v>0</v>
      </c>
      <c r="CC68" s="73">
        <f t="shared" si="42"/>
        <v>0</v>
      </c>
      <c r="CD68" s="73">
        <f t="shared" si="42"/>
        <v>0</v>
      </c>
      <c r="CE68" s="73">
        <f t="shared" si="42"/>
        <v>0</v>
      </c>
      <c r="CF68" s="73">
        <f t="shared" si="42"/>
        <v>0</v>
      </c>
      <c r="CG68" s="73">
        <f t="shared" si="42"/>
        <v>0</v>
      </c>
      <c r="CH68" s="73">
        <f t="shared" si="42"/>
        <v>0</v>
      </c>
      <c r="CI68" s="73">
        <f t="shared" si="42"/>
        <v>0</v>
      </c>
      <c r="CJ68" s="73">
        <f t="shared" si="42"/>
        <v>0</v>
      </c>
      <c r="CK68" s="73">
        <f t="shared" si="42"/>
        <v>0</v>
      </c>
      <c r="CL68" s="73">
        <f t="shared" si="42"/>
        <v>0</v>
      </c>
      <c r="CM68" s="73">
        <f t="shared" si="42"/>
        <v>0</v>
      </c>
      <c r="CN68" s="73">
        <f t="shared" si="42"/>
        <v>0</v>
      </c>
      <c r="CO68" s="73">
        <f t="shared" si="42"/>
        <v>0</v>
      </c>
      <c r="CP68" s="73">
        <f t="shared" si="42"/>
        <v>0</v>
      </c>
      <c r="CQ68" s="73">
        <f t="shared" si="42"/>
        <v>0</v>
      </c>
      <c r="CR68" s="73">
        <f t="shared" ref="CR68:CT68" si="43">IFERROR(CR46/CR66,0)</f>
        <v>0</v>
      </c>
      <c r="CS68" s="73">
        <f t="shared" si="43"/>
        <v>0</v>
      </c>
      <c r="CT68" s="73">
        <f t="shared" si="43"/>
        <v>0</v>
      </c>
      <c r="CU68" s="73"/>
      <c r="CV68" s="73"/>
      <c r="CW68" s="73"/>
      <c r="CX68" s="73"/>
      <c r="CY68" s="73"/>
      <c r="CZ68" s="73"/>
      <c r="DA68" s="73"/>
      <c r="DB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</row>
    <row r="69" spans="2:239" ht="12.75" customHeight="1" x14ac:dyDescent="0.25">
      <c r="H69" s="54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</row>
    <row r="70" spans="2:239" ht="12.75" customHeight="1" x14ac:dyDescent="0.25">
      <c r="H70" s="54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</row>
    <row r="71" spans="2:239" ht="12.75" customHeight="1" x14ac:dyDescent="0.25">
      <c r="B71" s="21" t="s">
        <v>236</v>
      </c>
      <c r="H71" s="54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</row>
    <row r="72" spans="2:239" ht="12.75" customHeight="1" x14ac:dyDescent="0.25">
      <c r="H72" s="54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</row>
    <row r="73" spans="2:239" ht="12.75" customHeight="1" x14ac:dyDescent="0.25">
      <c r="C73" t="s">
        <v>237</v>
      </c>
      <c r="H73" s="54" t="s">
        <v>3</v>
      </c>
      <c r="N73" s="25">
        <f>SUM(P73:DB73)</f>
        <v>10655.11642605974</v>
      </c>
      <c r="P73" s="10">
        <f t="shared" ref="P73:CA73" si="44">P66*P44</f>
        <v>0</v>
      </c>
      <c r="Q73" s="10">
        <f t="shared" si="44"/>
        <v>0</v>
      </c>
      <c r="R73" s="10">
        <f t="shared" si="44"/>
        <v>0</v>
      </c>
      <c r="S73" s="10">
        <f t="shared" si="44"/>
        <v>561.45036213312267</v>
      </c>
      <c r="T73" s="10">
        <f t="shared" si="44"/>
        <v>578.16217027098901</v>
      </c>
      <c r="U73" s="10">
        <f t="shared" si="44"/>
        <v>563.65587395057719</v>
      </c>
      <c r="V73" s="10">
        <f t="shared" si="44"/>
        <v>548.25273765693896</v>
      </c>
      <c r="W73" s="10">
        <f t="shared" si="44"/>
        <v>515.64352685255551</v>
      </c>
      <c r="X73" s="10">
        <f t="shared" si="44"/>
        <v>518.07794457852572</v>
      </c>
      <c r="Y73" s="10">
        <f t="shared" si="44"/>
        <v>504.40511266299967</v>
      </c>
      <c r="Z73" s="10">
        <f t="shared" si="44"/>
        <v>490.89422728979548</v>
      </c>
      <c r="AA73" s="10">
        <f t="shared" si="44"/>
        <v>476.81842531957028</v>
      </c>
      <c r="AB73" s="10">
        <f t="shared" si="44"/>
        <v>447.23432308399998</v>
      </c>
      <c r="AC73" s="10">
        <f t="shared" si="44"/>
        <v>449.32399643420848</v>
      </c>
      <c r="AD73" s="10">
        <f t="shared" si="44"/>
        <v>436.8446237530398</v>
      </c>
      <c r="AE73" s="10">
        <f t="shared" si="44"/>
        <v>424.35528712365357</v>
      </c>
      <c r="AF73" s="10">
        <f t="shared" si="44"/>
        <v>411.58425311212608</v>
      </c>
      <c r="AG73" s="10">
        <f t="shared" si="44"/>
        <v>384.89603777436736</v>
      </c>
      <c r="AH73" s="10">
        <f t="shared" si="44"/>
        <v>386.71138580661079</v>
      </c>
      <c r="AI73" s="10">
        <f t="shared" si="44"/>
        <v>375.40456339389476</v>
      </c>
      <c r="AJ73" s="10">
        <f t="shared" si="44"/>
        <v>363.9420644599756</v>
      </c>
      <c r="AK73" s="10">
        <f t="shared" si="44"/>
        <v>352.43707375028856</v>
      </c>
      <c r="AL73" s="10">
        <f t="shared" si="44"/>
        <v>328.49757809554347</v>
      </c>
      <c r="AM73" s="10">
        <f t="shared" si="44"/>
        <v>330.0967865279784</v>
      </c>
      <c r="AN73" s="10">
        <f t="shared" si="44"/>
        <v>319.92668137756294</v>
      </c>
      <c r="AO73" s="10">
        <f t="shared" si="44"/>
        <v>309.47830540227608</v>
      </c>
      <c r="AP73" s="10">
        <f t="shared" si="44"/>
        <v>299.18720868875675</v>
      </c>
      <c r="AQ73" s="10">
        <f t="shared" si="44"/>
        <v>277.83587656038685</v>
      </c>
      <c r="AR73" s="10">
        <f t="shared" si="44"/>
        <v>0</v>
      </c>
      <c r="AS73" s="10">
        <f t="shared" si="44"/>
        <v>0</v>
      </c>
      <c r="AT73" s="10">
        <f t="shared" si="44"/>
        <v>0</v>
      </c>
      <c r="AU73" s="10">
        <f t="shared" si="44"/>
        <v>0</v>
      </c>
      <c r="AV73" s="10">
        <f t="shared" si="44"/>
        <v>0</v>
      </c>
      <c r="AW73" s="10">
        <f t="shared" si="44"/>
        <v>0</v>
      </c>
      <c r="AX73" s="10">
        <f t="shared" si="44"/>
        <v>0</v>
      </c>
      <c r="AY73" s="10">
        <f t="shared" si="44"/>
        <v>0</v>
      </c>
      <c r="AZ73" s="10">
        <f t="shared" si="44"/>
        <v>0</v>
      </c>
      <c r="BA73" s="10">
        <f t="shared" si="44"/>
        <v>0</v>
      </c>
      <c r="BB73" s="10">
        <f t="shared" si="44"/>
        <v>0</v>
      </c>
      <c r="BC73" s="10">
        <f t="shared" si="44"/>
        <v>0</v>
      </c>
      <c r="BD73" s="10">
        <f t="shared" si="44"/>
        <v>0</v>
      </c>
      <c r="BE73" s="10">
        <f t="shared" si="44"/>
        <v>0</v>
      </c>
      <c r="BF73" s="10">
        <f t="shared" si="44"/>
        <v>0</v>
      </c>
      <c r="BG73" s="10">
        <f t="shared" si="44"/>
        <v>0</v>
      </c>
      <c r="BH73" s="10">
        <f t="shared" si="44"/>
        <v>0</v>
      </c>
      <c r="BI73" s="10">
        <f t="shared" si="44"/>
        <v>0</v>
      </c>
      <c r="BJ73" s="10">
        <f t="shared" si="44"/>
        <v>0</v>
      </c>
      <c r="BK73" s="10">
        <f t="shared" si="44"/>
        <v>0</v>
      </c>
      <c r="BL73" s="10">
        <f t="shared" si="44"/>
        <v>0</v>
      </c>
      <c r="BM73" s="10">
        <f t="shared" si="44"/>
        <v>0</v>
      </c>
      <c r="BN73" s="10">
        <f t="shared" si="44"/>
        <v>0</v>
      </c>
      <c r="BO73" s="10">
        <f t="shared" si="44"/>
        <v>0</v>
      </c>
      <c r="BP73" s="10">
        <f t="shared" si="44"/>
        <v>0</v>
      </c>
      <c r="BQ73" s="10">
        <f t="shared" si="44"/>
        <v>0</v>
      </c>
      <c r="BR73" s="10">
        <f t="shared" si="44"/>
        <v>0</v>
      </c>
      <c r="BS73" s="10">
        <f t="shared" si="44"/>
        <v>0</v>
      </c>
      <c r="BT73" s="10">
        <f t="shared" si="44"/>
        <v>0</v>
      </c>
      <c r="BU73" s="10">
        <f t="shared" si="44"/>
        <v>0</v>
      </c>
      <c r="BV73" s="10">
        <f t="shared" si="44"/>
        <v>0</v>
      </c>
      <c r="BW73" s="10">
        <f t="shared" si="44"/>
        <v>0</v>
      </c>
      <c r="BX73" s="10">
        <f t="shared" si="44"/>
        <v>0</v>
      </c>
      <c r="BY73" s="10">
        <f t="shared" si="44"/>
        <v>0</v>
      </c>
      <c r="BZ73" s="10">
        <f t="shared" si="44"/>
        <v>0</v>
      </c>
      <c r="CA73" s="10">
        <f t="shared" si="44"/>
        <v>0</v>
      </c>
      <c r="CB73" s="10">
        <f t="shared" ref="CB73:CQ73" si="45">CB66*CB44</f>
        <v>0</v>
      </c>
      <c r="CC73" s="10">
        <f t="shared" si="45"/>
        <v>0</v>
      </c>
      <c r="CD73" s="10">
        <f t="shared" si="45"/>
        <v>0</v>
      </c>
      <c r="CE73" s="10">
        <f t="shared" si="45"/>
        <v>0</v>
      </c>
      <c r="CF73" s="10">
        <f t="shared" si="45"/>
        <v>0</v>
      </c>
      <c r="CG73" s="10">
        <f t="shared" si="45"/>
        <v>0</v>
      </c>
      <c r="CH73" s="10">
        <f t="shared" si="45"/>
        <v>0</v>
      </c>
      <c r="CI73" s="10">
        <f t="shared" si="45"/>
        <v>0</v>
      </c>
      <c r="CJ73" s="10">
        <f t="shared" si="45"/>
        <v>0</v>
      </c>
      <c r="CK73" s="10">
        <f t="shared" si="45"/>
        <v>0</v>
      </c>
      <c r="CL73" s="10">
        <f t="shared" si="45"/>
        <v>0</v>
      </c>
      <c r="CM73" s="10">
        <f t="shared" si="45"/>
        <v>0</v>
      </c>
      <c r="CN73" s="10">
        <f t="shared" si="45"/>
        <v>0</v>
      </c>
      <c r="CO73" s="10">
        <f t="shared" si="45"/>
        <v>0</v>
      </c>
      <c r="CP73" s="10">
        <f t="shared" si="45"/>
        <v>0</v>
      </c>
      <c r="CQ73" s="10">
        <f t="shared" si="45"/>
        <v>0</v>
      </c>
      <c r="CR73" s="10">
        <f t="shared" ref="CR73:CT73" si="46">CR66*CR44</f>
        <v>0</v>
      </c>
      <c r="CS73" s="10">
        <f t="shared" si="46"/>
        <v>0</v>
      </c>
      <c r="CT73" s="10">
        <f t="shared" si="46"/>
        <v>0</v>
      </c>
      <c r="CU73" s="10"/>
      <c r="CV73" s="10"/>
      <c r="CW73" s="10"/>
      <c r="CX73" s="10"/>
      <c r="CY73" s="10"/>
      <c r="CZ73" s="10"/>
      <c r="DA73" s="10"/>
      <c r="DB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</row>
    <row r="74" spans="2:239" ht="12.75" customHeight="1" x14ac:dyDescent="0.25">
      <c r="H74" s="54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</row>
    <row r="75" spans="2:239" ht="12.75" customHeight="1" x14ac:dyDescent="0.25">
      <c r="C75" t="s">
        <v>179</v>
      </c>
      <c r="H75" s="54" t="s">
        <v>3</v>
      </c>
      <c r="J75" s="193">
        <f>N73</f>
        <v>10655.11642605974</v>
      </c>
      <c r="P75" s="10">
        <f t="shared" ref="P75:CA75" si="47">IF(P35=1,$J$75,O77)</f>
        <v>0</v>
      </c>
      <c r="Q75" s="10">
        <f t="shared" si="47"/>
        <v>0</v>
      </c>
      <c r="R75" s="10">
        <f t="shared" si="47"/>
        <v>0</v>
      </c>
      <c r="S75" s="10">
        <f t="shared" si="47"/>
        <v>10655.11642605974</v>
      </c>
      <c r="T75" s="10">
        <f t="shared" si="47"/>
        <v>10325.820383396929</v>
      </c>
      <c r="U75" s="10">
        <f t="shared" si="47"/>
        <v>9958.250774323531</v>
      </c>
      <c r="V75" s="10">
        <f t="shared" si="47"/>
        <v>9593.209401563041</v>
      </c>
      <c r="W75" s="10">
        <f t="shared" si="47"/>
        <v>9221.8129560911511</v>
      </c>
      <c r="X75" s="10">
        <f t="shared" si="47"/>
        <v>8863.7068266291462</v>
      </c>
      <c r="Y75" s="10">
        <f t="shared" si="47"/>
        <v>8480.2986252875016</v>
      </c>
      <c r="Z75" s="10">
        <f t="shared" si="47"/>
        <v>8089.4918539306191</v>
      </c>
      <c r="AA75" s="10">
        <f t="shared" si="47"/>
        <v>7698.8545552296891</v>
      </c>
      <c r="AB75" s="10">
        <f t="shared" si="47"/>
        <v>7301.0544247934677</v>
      </c>
      <c r="AC75" s="10">
        <f t="shared" si="47"/>
        <v>6916.0913604394455</v>
      </c>
      <c r="AD75" s="10">
        <f t="shared" si="47"/>
        <v>6504.5991374049572</v>
      </c>
      <c r="AE75" s="10">
        <f t="shared" si="47"/>
        <v>6084.846290853955</v>
      </c>
      <c r="AF75" s="10">
        <f t="shared" si="47"/>
        <v>5662.625629414827</v>
      </c>
      <c r="AG75" s="10">
        <f t="shared" si="47"/>
        <v>5232.2583309341171</v>
      </c>
      <c r="AH75" s="10">
        <f t="shared" si="47"/>
        <v>4814.1106009643363</v>
      </c>
      <c r="AI75" s="10">
        <f t="shared" si="47"/>
        <v>4368.0004235730948</v>
      </c>
      <c r="AJ75" s="10">
        <f t="shared" si="47"/>
        <v>3912.5756894283563</v>
      </c>
      <c r="AK75" s="10">
        <f t="shared" si="47"/>
        <v>3451.7022342136302</v>
      </c>
      <c r="AL75" s="10">
        <f t="shared" si="47"/>
        <v>2981.4815726940969</v>
      </c>
      <c r="AM75" s="10">
        <f t="shared" si="47"/>
        <v>2522.6564111027324</v>
      </c>
      <c r="AN75" s="10">
        <f t="shared" si="47"/>
        <v>2034.1847304413034</v>
      </c>
      <c r="AO75" s="10">
        <f t="shared" si="47"/>
        <v>1535.107595977604</v>
      </c>
      <c r="AP75" s="10">
        <f t="shared" si="47"/>
        <v>1027.1779846227198</v>
      </c>
      <c r="AQ75" s="10">
        <f t="shared" si="47"/>
        <v>508.43326085517879</v>
      </c>
      <c r="AR75" s="10">
        <f t="shared" si="47"/>
        <v>-7.3896444519050419E-13</v>
      </c>
      <c r="AS75" s="10">
        <f t="shared" si="47"/>
        <v>-7.3896444519050419E-13</v>
      </c>
      <c r="AT75" s="10">
        <f t="shared" si="47"/>
        <v>-7.3896444519050419E-13</v>
      </c>
      <c r="AU75" s="10">
        <f t="shared" si="47"/>
        <v>-7.3896444519050419E-13</v>
      </c>
      <c r="AV75" s="10">
        <f t="shared" si="47"/>
        <v>-7.3896444519050419E-13</v>
      </c>
      <c r="AW75" s="10">
        <f t="shared" si="47"/>
        <v>-7.3896444519050419E-13</v>
      </c>
      <c r="AX75" s="10">
        <f t="shared" si="47"/>
        <v>-7.3896444519050419E-13</v>
      </c>
      <c r="AY75" s="10">
        <f t="shared" si="47"/>
        <v>-7.3896444519050419E-13</v>
      </c>
      <c r="AZ75" s="10">
        <f t="shared" si="47"/>
        <v>-7.3896444519050419E-13</v>
      </c>
      <c r="BA75" s="10">
        <f t="shared" si="47"/>
        <v>-7.3896444519050419E-13</v>
      </c>
      <c r="BB75" s="10">
        <f t="shared" si="47"/>
        <v>-7.3896444519050419E-13</v>
      </c>
      <c r="BC75" s="10">
        <f t="shared" si="47"/>
        <v>-7.3896444519050419E-13</v>
      </c>
      <c r="BD75" s="10">
        <f t="shared" si="47"/>
        <v>-7.3896444519050419E-13</v>
      </c>
      <c r="BE75" s="10">
        <f t="shared" si="47"/>
        <v>-7.3896444519050419E-13</v>
      </c>
      <c r="BF75" s="10">
        <f t="shared" si="47"/>
        <v>-7.3896444519050419E-13</v>
      </c>
      <c r="BG75" s="10">
        <f t="shared" si="47"/>
        <v>-7.3896444519050419E-13</v>
      </c>
      <c r="BH75" s="10">
        <f t="shared" si="47"/>
        <v>-7.3896444519050419E-13</v>
      </c>
      <c r="BI75" s="10">
        <f t="shared" si="47"/>
        <v>-7.3896444519050419E-13</v>
      </c>
      <c r="BJ75" s="10">
        <f t="shared" si="47"/>
        <v>-7.3896444519050419E-13</v>
      </c>
      <c r="BK75" s="10">
        <f t="shared" si="47"/>
        <v>-7.3896444519050419E-13</v>
      </c>
      <c r="BL75" s="10">
        <f t="shared" si="47"/>
        <v>-7.3896444519050419E-13</v>
      </c>
      <c r="BM75" s="10">
        <f t="shared" si="47"/>
        <v>-7.3896444519050419E-13</v>
      </c>
      <c r="BN75" s="10">
        <f t="shared" si="47"/>
        <v>-7.3896444519050419E-13</v>
      </c>
      <c r="BO75" s="10">
        <f t="shared" si="47"/>
        <v>-7.3896444519050419E-13</v>
      </c>
      <c r="BP75" s="10">
        <f t="shared" si="47"/>
        <v>-7.3896444519050419E-13</v>
      </c>
      <c r="BQ75" s="10">
        <f t="shared" si="47"/>
        <v>-7.3896444519050419E-13</v>
      </c>
      <c r="BR75" s="10">
        <f t="shared" si="47"/>
        <v>-7.3896444519050419E-13</v>
      </c>
      <c r="BS75" s="10">
        <f t="shared" si="47"/>
        <v>-7.3896444519050419E-13</v>
      </c>
      <c r="BT75" s="10">
        <f t="shared" si="47"/>
        <v>-7.3896444519050419E-13</v>
      </c>
      <c r="BU75" s="10">
        <f t="shared" si="47"/>
        <v>-7.3896444519050419E-13</v>
      </c>
      <c r="BV75" s="10">
        <f t="shared" si="47"/>
        <v>-7.3896444519050419E-13</v>
      </c>
      <c r="BW75" s="10">
        <f t="shared" si="47"/>
        <v>-7.3896444519050419E-13</v>
      </c>
      <c r="BX75" s="10">
        <f t="shared" si="47"/>
        <v>-7.3896444519050419E-13</v>
      </c>
      <c r="BY75" s="10">
        <f t="shared" si="47"/>
        <v>-7.3896444519050419E-13</v>
      </c>
      <c r="BZ75" s="10">
        <f t="shared" si="47"/>
        <v>-7.3896444519050419E-13</v>
      </c>
      <c r="CA75" s="10">
        <f t="shared" si="47"/>
        <v>-7.3896444519050419E-13</v>
      </c>
      <c r="CB75" s="10">
        <f t="shared" ref="CB75:CQ75" si="48">IF(CB35=1,$J$75,CA77)</f>
        <v>-7.3896444519050419E-13</v>
      </c>
      <c r="CC75" s="10">
        <f t="shared" si="48"/>
        <v>-7.3896444519050419E-13</v>
      </c>
      <c r="CD75" s="10">
        <f t="shared" si="48"/>
        <v>-7.3896444519050419E-13</v>
      </c>
      <c r="CE75" s="10">
        <f t="shared" si="48"/>
        <v>-7.3896444519050419E-13</v>
      </c>
      <c r="CF75" s="10">
        <f t="shared" si="48"/>
        <v>-7.3896444519050419E-13</v>
      </c>
      <c r="CG75" s="10">
        <f t="shared" si="48"/>
        <v>-7.3896444519050419E-13</v>
      </c>
      <c r="CH75" s="10">
        <f t="shared" si="48"/>
        <v>-7.3896444519050419E-13</v>
      </c>
      <c r="CI75" s="10">
        <f t="shared" si="48"/>
        <v>-7.3896444519050419E-13</v>
      </c>
      <c r="CJ75" s="10">
        <f t="shared" si="48"/>
        <v>-7.3896444519050419E-13</v>
      </c>
      <c r="CK75" s="10">
        <f t="shared" si="48"/>
        <v>-7.3896444519050419E-13</v>
      </c>
      <c r="CL75" s="10">
        <f t="shared" si="48"/>
        <v>-7.3896444519050419E-13</v>
      </c>
      <c r="CM75" s="10">
        <f t="shared" si="48"/>
        <v>-7.3896444519050419E-13</v>
      </c>
      <c r="CN75" s="10">
        <f t="shared" si="48"/>
        <v>-7.3896444519050419E-13</v>
      </c>
      <c r="CO75" s="10">
        <f t="shared" si="48"/>
        <v>-7.3896444519050419E-13</v>
      </c>
      <c r="CP75" s="10">
        <f t="shared" si="48"/>
        <v>-7.3896444519050419E-13</v>
      </c>
      <c r="CQ75" s="10">
        <f t="shared" si="48"/>
        <v>-7.3896444519050419E-13</v>
      </c>
      <c r="CR75" s="10">
        <f t="shared" ref="CR75" si="49">IF(CR35=1,$J$75,CQ77)</f>
        <v>-7.3896444519050419E-13</v>
      </c>
      <c r="CS75" s="10">
        <f t="shared" ref="CS75" si="50">IF(CS35=1,$J$75,CR77)</f>
        <v>-7.3896444519050419E-13</v>
      </c>
      <c r="CT75" s="10">
        <f t="shared" ref="CT75" si="51">IF(CT35=1,$J$75,CS77)</f>
        <v>-7.3896444519050419E-13</v>
      </c>
      <c r="CU75" s="10"/>
      <c r="CV75" s="10"/>
      <c r="CW75" s="10"/>
      <c r="CX75" s="10"/>
      <c r="CY75" s="10"/>
      <c r="CZ75" s="10"/>
      <c r="DA75" s="10"/>
      <c r="DB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</row>
    <row r="76" spans="2:239" ht="12.75" customHeight="1" x14ac:dyDescent="0.25">
      <c r="C76" t="s">
        <v>238</v>
      </c>
      <c r="H76" s="54" t="s">
        <v>3</v>
      </c>
      <c r="N76" s="25">
        <f>SUM(P76:DB76)</f>
        <v>10655.11642605974</v>
      </c>
      <c r="P76" s="10">
        <f t="shared" ref="P76:CA76" si="52">P66-P79</f>
        <v>0</v>
      </c>
      <c r="Q76" s="10">
        <f t="shared" si="52"/>
        <v>0</v>
      </c>
      <c r="R76" s="10">
        <f t="shared" si="52"/>
        <v>0</v>
      </c>
      <c r="S76" s="10">
        <f t="shared" si="52"/>
        <v>329.29604266281046</v>
      </c>
      <c r="T76" s="10">
        <f t="shared" si="52"/>
        <v>367.5696090733984</v>
      </c>
      <c r="U76" s="10">
        <f t="shared" si="52"/>
        <v>365.04137276048971</v>
      </c>
      <c r="V76" s="10">
        <f t="shared" si="52"/>
        <v>371.39644547188931</v>
      </c>
      <c r="W76" s="10">
        <f t="shared" si="52"/>
        <v>358.10612946200399</v>
      </c>
      <c r="X76" s="10">
        <f t="shared" si="52"/>
        <v>383.40820134164483</v>
      </c>
      <c r="Y76" s="10">
        <f t="shared" si="52"/>
        <v>390.80677135688279</v>
      </c>
      <c r="Z76" s="10">
        <f t="shared" si="52"/>
        <v>390.63729870093022</v>
      </c>
      <c r="AA76" s="10">
        <f t="shared" si="52"/>
        <v>397.80013043622125</v>
      </c>
      <c r="AB76" s="10">
        <f t="shared" si="52"/>
        <v>384.96306435402255</v>
      </c>
      <c r="AC76" s="10">
        <f t="shared" si="52"/>
        <v>411.49222303448801</v>
      </c>
      <c r="AD76" s="10">
        <f t="shared" si="52"/>
        <v>419.75284655100222</v>
      </c>
      <c r="AE76" s="10">
        <f t="shared" si="52"/>
        <v>422.22066143912758</v>
      </c>
      <c r="AF76" s="10">
        <f t="shared" si="52"/>
        <v>430.36729848071002</v>
      </c>
      <c r="AG76" s="10">
        <f t="shared" si="52"/>
        <v>418.14772996978093</v>
      </c>
      <c r="AH76" s="10">
        <f t="shared" si="52"/>
        <v>446.11017739124134</v>
      </c>
      <c r="AI76" s="10">
        <f t="shared" si="52"/>
        <v>455.42473414473864</v>
      </c>
      <c r="AJ76" s="10">
        <f t="shared" si="52"/>
        <v>460.87345521472611</v>
      </c>
      <c r="AK76" s="10">
        <f t="shared" si="52"/>
        <v>470.22066151953305</v>
      </c>
      <c r="AL76" s="10">
        <f t="shared" si="52"/>
        <v>458.82516159136441</v>
      </c>
      <c r="AM76" s="10">
        <f t="shared" si="52"/>
        <v>488.47168066142893</v>
      </c>
      <c r="AN76" s="10">
        <f t="shared" si="52"/>
        <v>499.07713446369939</v>
      </c>
      <c r="AO76" s="10">
        <f t="shared" si="52"/>
        <v>507.92961135488417</v>
      </c>
      <c r="AP76" s="10">
        <f t="shared" si="52"/>
        <v>518.74472376754102</v>
      </c>
      <c r="AQ76" s="10">
        <f t="shared" si="52"/>
        <v>508.43326085517953</v>
      </c>
      <c r="AR76" s="10">
        <f t="shared" si="52"/>
        <v>0</v>
      </c>
      <c r="AS76" s="10">
        <f t="shared" si="52"/>
        <v>0</v>
      </c>
      <c r="AT76" s="10">
        <f t="shared" si="52"/>
        <v>0</v>
      </c>
      <c r="AU76" s="10">
        <f t="shared" si="52"/>
        <v>0</v>
      </c>
      <c r="AV76" s="10">
        <f t="shared" si="52"/>
        <v>0</v>
      </c>
      <c r="AW76" s="10">
        <f t="shared" si="52"/>
        <v>0</v>
      </c>
      <c r="AX76" s="10">
        <f t="shared" si="52"/>
        <v>0</v>
      </c>
      <c r="AY76" s="10">
        <f t="shared" si="52"/>
        <v>0</v>
      </c>
      <c r="AZ76" s="10">
        <f t="shared" si="52"/>
        <v>0</v>
      </c>
      <c r="BA76" s="10">
        <f t="shared" si="52"/>
        <v>0</v>
      </c>
      <c r="BB76" s="10">
        <f t="shared" si="52"/>
        <v>0</v>
      </c>
      <c r="BC76" s="10">
        <f t="shared" si="52"/>
        <v>0</v>
      </c>
      <c r="BD76" s="10">
        <f t="shared" si="52"/>
        <v>0</v>
      </c>
      <c r="BE76" s="10">
        <f t="shared" si="52"/>
        <v>0</v>
      </c>
      <c r="BF76" s="10">
        <f t="shared" si="52"/>
        <v>0</v>
      </c>
      <c r="BG76" s="10">
        <f t="shared" si="52"/>
        <v>0</v>
      </c>
      <c r="BH76" s="10">
        <f t="shared" si="52"/>
        <v>0</v>
      </c>
      <c r="BI76" s="10">
        <f t="shared" si="52"/>
        <v>0</v>
      </c>
      <c r="BJ76" s="10">
        <f t="shared" si="52"/>
        <v>0</v>
      </c>
      <c r="BK76" s="10">
        <f t="shared" si="52"/>
        <v>0</v>
      </c>
      <c r="BL76" s="10">
        <f t="shared" si="52"/>
        <v>0</v>
      </c>
      <c r="BM76" s="10">
        <f t="shared" si="52"/>
        <v>0</v>
      </c>
      <c r="BN76" s="10">
        <f t="shared" si="52"/>
        <v>0</v>
      </c>
      <c r="BO76" s="10">
        <f t="shared" si="52"/>
        <v>0</v>
      </c>
      <c r="BP76" s="10">
        <f t="shared" si="52"/>
        <v>0</v>
      </c>
      <c r="BQ76" s="10">
        <f t="shared" si="52"/>
        <v>0</v>
      </c>
      <c r="BR76" s="10">
        <f t="shared" si="52"/>
        <v>0</v>
      </c>
      <c r="BS76" s="10">
        <f t="shared" si="52"/>
        <v>0</v>
      </c>
      <c r="BT76" s="10">
        <f t="shared" si="52"/>
        <v>0</v>
      </c>
      <c r="BU76" s="10">
        <f t="shared" si="52"/>
        <v>0</v>
      </c>
      <c r="BV76" s="10">
        <f t="shared" si="52"/>
        <v>0</v>
      </c>
      <c r="BW76" s="10">
        <f t="shared" si="52"/>
        <v>0</v>
      </c>
      <c r="BX76" s="10">
        <f t="shared" si="52"/>
        <v>0</v>
      </c>
      <c r="BY76" s="10">
        <f t="shared" si="52"/>
        <v>0</v>
      </c>
      <c r="BZ76" s="10">
        <f t="shared" si="52"/>
        <v>0</v>
      </c>
      <c r="CA76" s="10">
        <f t="shared" si="52"/>
        <v>0</v>
      </c>
      <c r="CB76" s="10">
        <f t="shared" ref="CB76:CQ76" si="53">CB66-CB79</f>
        <v>0</v>
      </c>
      <c r="CC76" s="10">
        <f t="shared" si="53"/>
        <v>0</v>
      </c>
      <c r="CD76" s="10">
        <f t="shared" si="53"/>
        <v>0</v>
      </c>
      <c r="CE76" s="10">
        <f t="shared" si="53"/>
        <v>0</v>
      </c>
      <c r="CF76" s="10">
        <f t="shared" si="53"/>
        <v>0</v>
      </c>
      <c r="CG76" s="10">
        <f t="shared" si="53"/>
        <v>0</v>
      </c>
      <c r="CH76" s="10">
        <f t="shared" si="53"/>
        <v>0</v>
      </c>
      <c r="CI76" s="10">
        <f t="shared" si="53"/>
        <v>0</v>
      </c>
      <c r="CJ76" s="10">
        <f t="shared" si="53"/>
        <v>0</v>
      </c>
      <c r="CK76" s="10">
        <f t="shared" si="53"/>
        <v>0</v>
      </c>
      <c r="CL76" s="10">
        <f t="shared" si="53"/>
        <v>0</v>
      </c>
      <c r="CM76" s="10">
        <f t="shared" si="53"/>
        <v>0</v>
      </c>
      <c r="CN76" s="10">
        <f t="shared" si="53"/>
        <v>0</v>
      </c>
      <c r="CO76" s="10">
        <f t="shared" si="53"/>
        <v>0</v>
      </c>
      <c r="CP76" s="10">
        <f t="shared" si="53"/>
        <v>0</v>
      </c>
      <c r="CQ76" s="10">
        <f t="shared" si="53"/>
        <v>0</v>
      </c>
      <c r="CR76" s="10">
        <f t="shared" ref="CR76:CT76" si="54">CR66-CR79</f>
        <v>0</v>
      </c>
      <c r="CS76" s="10">
        <f t="shared" si="54"/>
        <v>0</v>
      </c>
      <c r="CT76" s="10">
        <f t="shared" si="54"/>
        <v>0</v>
      </c>
      <c r="CU76" s="10"/>
      <c r="CV76" s="10"/>
      <c r="CW76" s="10"/>
      <c r="CX76" s="10"/>
      <c r="CY76" s="10"/>
      <c r="CZ76" s="10"/>
      <c r="DA76" s="10"/>
      <c r="DB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</row>
    <row r="77" spans="2:239" ht="12.75" customHeight="1" x14ac:dyDescent="0.25">
      <c r="C77" t="s">
        <v>183</v>
      </c>
      <c r="H77" s="54" t="s">
        <v>3</v>
      </c>
      <c r="P77" s="10">
        <f t="shared" ref="P77:CA77" si="55">P75-P76</f>
        <v>0</v>
      </c>
      <c r="Q77" s="10">
        <f t="shared" si="55"/>
        <v>0</v>
      </c>
      <c r="R77" s="10">
        <f t="shared" si="55"/>
        <v>0</v>
      </c>
      <c r="S77" s="10">
        <f t="shared" si="55"/>
        <v>10325.820383396929</v>
      </c>
      <c r="T77" s="10">
        <f t="shared" si="55"/>
        <v>9958.250774323531</v>
      </c>
      <c r="U77" s="10">
        <f t="shared" si="55"/>
        <v>9593.209401563041</v>
      </c>
      <c r="V77" s="10">
        <f t="shared" si="55"/>
        <v>9221.8129560911511</v>
      </c>
      <c r="W77" s="10">
        <f t="shared" si="55"/>
        <v>8863.7068266291462</v>
      </c>
      <c r="X77" s="10">
        <f t="shared" si="55"/>
        <v>8480.2986252875016</v>
      </c>
      <c r="Y77" s="10">
        <f t="shared" si="55"/>
        <v>8089.4918539306191</v>
      </c>
      <c r="Z77" s="10">
        <f t="shared" si="55"/>
        <v>7698.8545552296891</v>
      </c>
      <c r="AA77" s="10">
        <f t="shared" si="55"/>
        <v>7301.0544247934677</v>
      </c>
      <c r="AB77" s="10">
        <f t="shared" si="55"/>
        <v>6916.0913604394455</v>
      </c>
      <c r="AC77" s="10">
        <f t="shared" si="55"/>
        <v>6504.5991374049572</v>
      </c>
      <c r="AD77" s="10">
        <f t="shared" si="55"/>
        <v>6084.846290853955</v>
      </c>
      <c r="AE77" s="10">
        <f t="shared" si="55"/>
        <v>5662.625629414827</v>
      </c>
      <c r="AF77" s="10">
        <f t="shared" si="55"/>
        <v>5232.2583309341171</v>
      </c>
      <c r="AG77" s="10">
        <f t="shared" si="55"/>
        <v>4814.1106009643363</v>
      </c>
      <c r="AH77" s="10">
        <f t="shared" si="55"/>
        <v>4368.0004235730948</v>
      </c>
      <c r="AI77" s="10">
        <f t="shared" si="55"/>
        <v>3912.5756894283563</v>
      </c>
      <c r="AJ77" s="10">
        <f t="shared" si="55"/>
        <v>3451.7022342136302</v>
      </c>
      <c r="AK77" s="10">
        <f t="shared" si="55"/>
        <v>2981.4815726940969</v>
      </c>
      <c r="AL77" s="10">
        <f t="shared" si="55"/>
        <v>2522.6564111027324</v>
      </c>
      <c r="AM77" s="10">
        <f t="shared" si="55"/>
        <v>2034.1847304413034</v>
      </c>
      <c r="AN77" s="10">
        <f t="shared" si="55"/>
        <v>1535.107595977604</v>
      </c>
      <c r="AO77" s="10">
        <f t="shared" si="55"/>
        <v>1027.1779846227198</v>
      </c>
      <c r="AP77" s="10">
        <f t="shared" si="55"/>
        <v>508.43326085517879</v>
      </c>
      <c r="AQ77" s="10">
        <f t="shared" si="55"/>
        <v>-7.3896444519050419E-13</v>
      </c>
      <c r="AR77" s="10">
        <f t="shared" si="55"/>
        <v>-7.3896444519050419E-13</v>
      </c>
      <c r="AS77" s="10">
        <f t="shared" si="55"/>
        <v>-7.3896444519050419E-13</v>
      </c>
      <c r="AT77" s="10">
        <f t="shared" si="55"/>
        <v>-7.3896444519050419E-13</v>
      </c>
      <c r="AU77" s="10">
        <f t="shared" si="55"/>
        <v>-7.3896444519050419E-13</v>
      </c>
      <c r="AV77" s="10">
        <f t="shared" si="55"/>
        <v>-7.3896444519050419E-13</v>
      </c>
      <c r="AW77" s="10">
        <f t="shared" si="55"/>
        <v>-7.3896444519050419E-13</v>
      </c>
      <c r="AX77" s="10">
        <f t="shared" si="55"/>
        <v>-7.3896444519050419E-13</v>
      </c>
      <c r="AY77" s="10">
        <f t="shared" si="55"/>
        <v>-7.3896444519050419E-13</v>
      </c>
      <c r="AZ77" s="10">
        <f t="shared" si="55"/>
        <v>-7.3896444519050419E-13</v>
      </c>
      <c r="BA77" s="10">
        <f t="shared" si="55"/>
        <v>-7.3896444519050419E-13</v>
      </c>
      <c r="BB77" s="10">
        <f t="shared" si="55"/>
        <v>-7.3896444519050419E-13</v>
      </c>
      <c r="BC77" s="10">
        <f t="shared" si="55"/>
        <v>-7.3896444519050419E-13</v>
      </c>
      <c r="BD77" s="10">
        <f t="shared" si="55"/>
        <v>-7.3896444519050419E-13</v>
      </c>
      <c r="BE77" s="10">
        <f t="shared" si="55"/>
        <v>-7.3896444519050419E-13</v>
      </c>
      <c r="BF77" s="10">
        <f t="shared" si="55"/>
        <v>-7.3896444519050419E-13</v>
      </c>
      <c r="BG77" s="10">
        <f t="shared" si="55"/>
        <v>-7.3896444519050419E-13</v>
      </c>
      <c r="BH77" s="10">
        <f t="shared" si="55"/>
        <v>-7.3896444519050419E-13</v>
      </c>
      <c r="BI77" s="10">
        <f t="shared" si="55"/>
        <v>-7.3896444519050419E-13</v>
      </c>
      <c r="BJ77" s="10">
        <f t="shared" si="55"/>
        <v>-7.3896444519050419E-13</v>
      </c>
      <c r="BK77" s="10">
        <f t="shared" si="55"/>
        <v>-7.3896444519050419E-13</v>
      </c>
      <c r="BL77" s="10">
        <f t="shared" si="55"/>
        <v>-7.3896444519050419E-13</v>
      </c>
      <c r="BM77" s="10">
        <f t="shared" si="55"/>
        <v>-7.3896444519050419E-13</v>
      </c>
      <c r="BN77" s="10">
        <f t="shared" si="55"/>
        <v>-7.3896444519050419E-13</v>
      </c>
      <c r="BO77" s="10">
        <f t="shared" si="55"/>
        <v>-7.3896444519050419E-13</v>
      </c>
      <c r="BP77" s="10">
        <f t="shared" si="55"/>
        <v>-7.3896444519050419E-13</v>
      </c>
      <c r="BQ77" s="10">
        <f t="shared" si="55"/>
        <v>-7.3896444519050419E-13</v>
      </c>
      <c r="BR77" s="10">
        <f t="shared" si="55"/>
        <v>-7.3896444519050419E-13</v>
      </c>
      <c r="BS77" s="10">
        <f t="shared" si="55"/>
        <v>-7.3896444519050419E-13</v>
      </c>
      <c r="BT77" s="10">
        <f t="shared" si="55"/>
        <v>-7.3896444519050419E-13</v>
      </c>
      <c r="BU77" s="10">
        <f t="shared" si="55"/>
        <v>-7.3896444519050419E-13</v>
      </c>
      <c r="BV77" s="10">
        <f t="shared" si="55"/>
        <v>-7.3896444519050419E-13</v>
      </c>
      <c r="BW77" s="10">
        <f t="shared" si="55"/>
        <v>-7.3896444519050419E-13</v>
      </c>
      <c r="BX77" s="10">
        <f t="shared" si="55"/>
        <v>-7.3896444519050419E-13</v>
      </c>
      <c r="BY77" s="10">
        <f t="shared" si="55"/>
        <v>-7.3896444519050419E-13</v>
      </c>
      <c r="BZ77" s="10">
        <f t="shared" si="55"/>
        <v>-7.3896444519050419E-13</v>
      </c>
      <c r="CA77" s="10">
        <f t="shared" si="55"/>
        <v>-7.3896444519050419E-13</v>
      </c>
      <c r="CB77" s="10">
        <f t="shared" ref="CB77:CQ77" si="56">CB75-CB76</f>
        <v>-7.3896444519050419E-13</v>
      </c>
      <c r="CC77" s="10">
        <f t="shared" si="56"/>
        <v>-7.3896444519050419E-13</v>
      </c>
      <c r="CD77" s="10">
        <f t="shared" si="56"/>
        <v>-7.3896444519050419E-13</v>
      </c>
      <c r="CE77" s="10">
        <f t="shared" si="56"/>
        <v>-7.3896444519050419E-13</v>
      </c>
      <c r="CF77" s="10">
        <f t="shared" si="56"/>
        <v>-7.3896444519050419E-13</v>
      </c>
      <c r="CG77" s="10">
        <f t="shared" si="56"/>
        <v>-7.3896444519050419E-13</v>
      </c>
      <c r="CH77" s="10">
        <f t="shared" si="56"/>
        <v>-7.3896444519050419E-13</v>
      </c>
      <c r="CI77" s="10">
        <f t="shared" si="56"/>
        <v>-7.3896444519050419E-13</v>
      </c>
      <c r="CJ77" s="10">
        <f t="shared" si="56"/>
        <v>-7.3896444519050419E-13</v>
      </c>
      <c r="CK77" s="10">
        <f t="shared" si="56"/>
        <v>-7.3896444519050419E-13</v>
      </c>
      <c r="CL77" s="10">
        <f t="shared" si="56"/>
        <v>-7.3896444519050419E-13</v>
      </c>
      <c r="CM77" s="10">
        <f t="shared" si="56"/>
        <v>-7.3896444519050419E-13</v>
      </c>
      <c r="CN77" s="10">
        <f t="shared" si="56"/>
        <v>-7.3896444519050419E-13</v>
      </c>
      <c r="CO77" s="10">
        <f t="shared" si="56"/>
        <v>-7.3896444519050419E-13</v>
      </c>
      <c r="CP77" s="10">
        <f t="shared" si="56"/>
        <v>-7.3896444519050419E-13</v>
      </c>
      <c r="CQ77" s="10">
        <f t="shared" si="56"/>
        <v>-7.3896444519050419E-13</v>
      </c>
      <c r="CR77" s="10">
        <f t="shared" ref="CR77:CT77" si="57">CR75-CR76</f>
        <v>-7.3896444519050419E-13</v>
      </c>
      <c r="CS77" s="10">
        <f t="shared" si="57"/>
        <v>-7.3896444519050419E-13</v>
      </c>
      <c r="CT77" s="10">
        <f t="shared" si="57"/>
        <v>-7.3896444519050419E-13</v>
      </c>
      <c r="CU77" s="10"/>
      <c r="CV77" s="10"/>
      <c r="CW77" s="10"/>
      <c r="CX77" s="10"/>
      <c r="CY77" s="10"/>
      <c r="CZ77" s="10"/>
      <c r="DA77" s="10"/>
      <c r="DB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</row>
    <row r="78" spans="2:239" ht="12.75" customHeight="1" x14ac:dyDescent="0.25">
      <c r="H78" s="54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</row>
    <row r="79" spans="2:239" ht="12.75" customHeight="1" x14ac:dyDescent="0.25">
      <c r="C79" t="s">
        <v>239</v>
      </c>
      <c r="H79" s="54" t="s">
        <v>3</v>
      </c>
      <c r="N79" s="25">
        <f>SUM(P79:DB79)</f>
        <v>3670.6867338786897</v>
      </c>
      <c r="P79" s="10">
        <f t="shared" ref="P79:CA79" si="58">P75*P41</f>
        <v>0</v>
      </c>
      <c r="Q79" s="10">
        <f t="shared" si="58"/>
        <v>0</v>
      </c>
      <c r="R79" s="10">
        <f t="shared" si="58"/>
        <v>0</v>
      </c>
      <c r="S79" s="10">
        <f t="shared" si="58"/>
        <v>245.067677799374</v>
      </c>
      <c r="T79" s="10">
        <f t="shared" si="58"/>
        <v>237.49386881812936</v>
      </c>
      <c r="U79" s="10">
        <f t="shared" si="58"/>
        <v>238.99801858376475</v>
      </c>
      <c r="V79" s="10">
        <f t="shared" si="58"/>
        <v>230.237025637513</v>
      </c>
      <c r="W79" s="10">
        <f t="shared" si="58"/>
        <v>221.32351094618764</v>
      </c>
      <c r="X79" s="10">
        <f t="shared" si="58"/>
        <v>212.72896383909952</v>
      </c>
      <c r="Y79" s="10">
        <f t="shared" si="58"/>
        <v>203.52716700690004</v>
      </c>
      <c r="Z79" s="10">
        <f t="shared" si="58"/>
        <v>202.23729634826549</v>
      </c>
      <c r="AA79" s="10">
        <f t="shared" si="58"/>
        <v>192.47136388074225</v>
      </c>
      <c r="AB79" s="10">
        <f t="shared" si="58"/>
        <v>182.52636061983671</v>
      </c>
      <c r="AC79" s="10">
        <f t="shared" si="58"/>
        <v>172.90228401098614</v>
      </c>
      <c r="AD79" s="10">
        <f t="shared" si="58"/>
        <v>162.61497843512393</v>
      </c>
      <c r="AE79" s="10">
        <f t="shared" si="58"/>
        <v>158.20600356220285</v>
      </c>
      <c r="AF79" s="10">
        <f t="shared" si="58"/>
        <v>147.22826636478553</v>
      </c>
      <c r="AG79" s="10">
        <f t="shared" si="58"/>
        <v>136.03871660428706</v>
      </c>
      <c r="AH79" s="10">
        <f t="shared" si="58"/>
        <v>125.16687562507275</v>
      </c>
      <c r="AI79" s="10">
        <f t="shared" si="58"/>
        <v>113.56801101290047</v>
      </c>
      <c r="AJ79" s="10">
        <f t="shared" si="58"/>
        <v>105.63954361456564</v>
      </c>
      <c r="AK79" s="10">
        <f t="shared" si="58"/>
        <v>93.19596032376802</v>
      </c>
      <c r="AL79" s="10">
        <f t="shared" si="58"/>
        <v>80.500002462740625</v>
      </c>
      <c r="AM79" s="10">
        <f t="shared" si="58"/>
        <v>68.111723099773783</v>
      </c>
      <c r="AN79" s="10">
        <f t="shared" si="58"/>
        <v>54.922987721915199</v>
      </c>
      <c r="AO79" s="10">
        <f t="shared" si="58"/>
        <v>42.98301268737292</v>
      </c>
      <c r="AP79" s="10">
        <f t="shared" si="58"/>
        <v>28.76098356943616</v>
      </c>
      <c r="AQ79" s="10">
        <f t="shared" si="58"/>
        <v>14.236131303945008</v>
      </c>
      <c r="AR79" s="10">
        <f t="shared" si="58"/>
        <v>0</v>
      </c>
      <c r="AS79" s="10">
        <f t="shared" si="58"/>
        <v>0</v>
      </c>
      <c r="AT79" s="10">
        <f t="shared" si="58"/>
        <v>0</v>
      </c>
      <c r="AU79" s="10">
        <f t="shared" si="58"/>
        <v>0</v>
      </c>
      <c r="AV79" s="10">
        <f t="shared" si="58"/>
        <v>0</v>
      </c>
      <c r="AW79" s="10">
        <f t="shared" si="58"/>
        <v>0</v>
      </c>
      <c r="AX79" s="10">
        <f t="shared" si="58"/>
        <v>0</v>
      </c>
      <c r="AY79" s="10">
        <f t="shared" si="58"/>
        <v>0</v>
      </c>
      <c r="AZ79" s="10">
        <f t="shared" si="58"/>
        <v>0</v>
      </c>
      <c r="BA79" s="10">
        <f t="shared" si="58"/>
        <v>0</v>
      </c>
      <c r="BB79" s="10">
        <f t="shared" si="58"/>
        <v>0</v>
      </c>
      <c r="BC79" s="10">
        <f t="shared" si="58"/>
        <v>0</v>
      </c>
      <c r="BD79" s="10">
        <f t="shared" si="58"/>
        <v>0</v>
      </c>
      <c r="BE79" s="10">
        <f t="shared" si="58"/>
        <v>0</v>
      </c>
      <c r="BF79" s="10">
        <f t="shared" si="58"/>
        <v>0</v>
      </c>
      <c r="BG79" s="10">
        <f t="shared" si="58"/>
        <v>0</v>
      </c>
      <c r="BH79" s="10">
        <f t="shared" si="58"/>
        <v>0</v>
      </c>
      <c r="BI79" s="10">
        <f t="shared" si="58"/>
        <v>0</v>
      </c>
      <c r="BJ79" s="10">
        <f t="shared" si="58"/>
        <v>0</v>
      </c>
      <c r="BK79" s="10">
        <f t="shared" si="58"/>
        <v>0</v>
      </c>
      <c r="BL79" s="10">
        <f t="shared" si="58"/>
        <v>0</v>
      </c>
      <c r="BM79" s="10">
        <f t="shared" si="58"/>
        <v>0</v>
      </c>
      <c r="BN79" s="10">
        <f t="shared" si="58"/>
        <v>0</v>
      </c>
      <c r="BO79" s="10">
        <f t="shared" si="58"/>
        <v>0</v>
      </c>
      <c r="BP79" s="10">
        <f t="shared" si="58"/>
        <v>0</v>
      </c>
      <c r="BQ79" s="10">
        <f t="shared" si="58"/>
        <v>0</v>
      </c>
      <c r="BR79" s="10">
        <f t="shared" si="58"/>
        <v>0</v>
      </c>
      <c r="BS79" s="10">
        <f t="shared" si="58"/>
        <v>0</v>
      </c>
      <c r="BT79" s="10">
        <f t="shared" si="58"/>
        <v>0</v>
      </c>
      <c r="BU79" s="10">
        <f t="shared" si="58"/>
        <v>0</v>
      </c>
      <c r="BV79" s="10">
        <f t="shared" si="58"/>
        <v>0</v>
      </c>
      <c r="BW79" s="10">
        <f t="shared" si="58"/>
        <v>0</v>
      </c>
      <c r="BX79" s="10">
        <f t="shared" si="58"/>
        <v>0</v>
      </c>
      <c r="BY79" s="10">
        <f t="shared" si="58"/>
        <v>0</v>
      </c>
      <c r="BZ79" s="10">
        <f t="shared" si="58"/>
        <v>0</v>
      </c>
      <c r="CA79" s="10">
        <f t="shared" si="58"/>
        <v>0</v>
      </c>
      <c r="CB79" s="10">
        <f t="shared" ref="CB79:CQ79" si="59">CB75*CB41</f>
        <v>0</v>
      </c>
      <c r="CC79" s="10">
        <f t="shared" si="59"/>
        <v>0</v>
      </c>
      <c r="CD79" s="10">
        <f t="shared" si="59"/>
        <v>0</v>
      </c>
      <c r="CE79" s="10">
        <f t="shared" si="59"/>
        <v>0</v>
      </c>
      <c r="CF79" s="10">
        <f t="shared" si="59"/>
        <v>0</v>
      </c>
      <c r="CG79" s="10">
        <f t="shared" si="59"/>
        <v>0</v>
      </c>
      <c r="CH79" s="10">
        <f t="shared" si="59"/>
        <v>0</v>
      </c>
      <c r="CI79" s="10">
        <f t="shared" si="59"/>
        <v>0</v>
      </c>
      <c r="CJ79" s="10">
        <f t="shared" si="59"/>
        <v>0</v>
      </c>
      <c r="CK79" s="10">
        <f t="shared" si="59"/>
        <v>0</v>
      </c>
      <c r="CL79" s="10">
        <f t="shared" si="59"/>
        <v>0</v>
      </c>
      <c r="CM79" s="10">
        <f t="shared" si="59"/>
        <v>0</v>
      </c>
      <c r="CN79" s="10">
        <f t="shared" si="59"/>
        <v>0</v>
      </c>
      <c r="CO79" s="10">
        <f t="shared" si="59"/>
        <v>0</v>
      </c>
      <c r="CP79" s="10">
        <f t="shared" si="59"/>
        <v>0</v>
      </c>
      <c r="CQ79" s="10">
        <f t="shared" si="59"/>
        <v>0</v>
      </c>
      <c r="CR79" s="10">
        <f t="shared" ref="CR79:CT79" si="60">CR75*CR41</f>
        <v>0</v>
      </c>
      <c r="CS79" s="10">
        <f t="shared" si="60"/>
        <v>0</v>
      </c>
      <c r="CT79" s="10">
        <f t="shared" si="60"/>
        <v>0</v>
      </c>
      <c r="CU79" s="10"/>
      <c r="CV79" s="10"/>
      <c r="CW79" s="10"/>
      <c r="CX79" s="10"/>
      <c r="CY79" s="10"/>
      <c r="CZ79" s="10"/>
      <c r="DA79" s="10"/>
      <c r="DB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</row>
    <row r="80" spans="2:239" ht="12.75" customHeight="1" x14ac:dyDescent="0.25">
      <c r="H80" s="54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</row>
    <row r="81" spans="1:108" s="125" customFormat="1" ht="12.75" customHeight="1" x14ac:dyDescent="0.25">
      <c r="A81" s="124" t="s">
        <v>240</v>
      </c>
      <c r="H81" s="126"/>
      <c r="J81" s="127"/>
      <c r="N81" s="128"/>
    </row>
    <row r="82" spans="1:108" ht="12.75" customHeight="1" x14ac:dyDescent="0.25">
      <c r="H82" s="54"/>
      <c r="N82" s="19"/>
    </row>
    <row r="83" spans="1:108" ht="12.75" customHeight="1" x14ac:dyDescent="0.25">
      <c r="B83" s="21" t="s">
        <v>45</v>
      </c>
      <c r="H83" s="54"/>
      <c r="N83" s="19"/>
    </row>
    <row r="84" spans="1:108" ht="12.75" customHeight="1" x14ac:dyDescent="0.25">
      <c r="H84" s="54"/>
      <c r="N84" s="19"/>
    </row>
    <row r="85" spans="1:108" ht="12.75" customHeight="1" x14ac:dyDescent="0.25">
      <c r="C85" t="s">
        <v>179</v>
      </c>
      <c r="H85" s="54" t="s">
        <v>3</v>
      </c>
      <c r="P85" s="10">
        <f>O89</f>
        <v>0</v>
      </c>
      <c r="Q85" s="10" t="e">
        <f t="shared" ref="Q85:CB85" si="61">P89</f>
        <v>#REF!</v>
      </c>
      <c r="R85" s="10" t="e">
        <f t="shared" si="61"/>
        <v>#REF!</v>
      </c>
      <c r="S85" s="10" t="e">
        <f t="shared" si="61"/>
        <v>#REF!</v>
      </c>
      <c r="T85" s="10" t="e">
        <f t="shared" si="61"/>
        <v>#REF!</v>
      </c>
      <c r="U85" s="10" t="e">
        <f t="shared" si="61"/>
        <v>#REF!</v>
      </c>
      <c r="V85" s="10" t="e">
        <f t="shared" si="61"/>
        <v>#REF!</v>
      </c>
      <c r="W85" s="10" t="e">
        <f t="shared" si="61"/>
        <v>#REF!</v>
      </c>
      <c r="X85" s="10" t="e">
        <f t="shared" si="61"/>
        <v>#REF!</v>
      </c>
      <c r="Y85" s="10" t="e">
        <f t="shared" si="61"/>
        <v>#REF!</v>
      </c>
      <c r="Z85" s="10" t="e">
        <f t="shared" si="61"/>
        <v>#REF!</v>
      </c>
      <c r="AA85" s="10" t="e">
        <f t="shared" si="61"/>
        <v>#REF!</v>
      </c>
      <c r="AB85" s="10" t="e">
        <f t="shared" si="61"/>
        <v>#REF!</v>
      </c>
      <c r="AC85" s="10" t="e">
        <f t="shared" si="61"/>
        <v>#REF!</v>
      </c>
      <c r="AD85" s="10" t="e">
        <f t="shared" si="61"/>
        <v>#REF!</v>
      </c>
      <c r="AE85" s="10" t="e">
        <f t="shared" si="61"/>
        <v>#REF!</v>
      </c>
      <c r="AF85" s="10" t="e">
        <f t="shared" si="61"/>
        <v>#REF!</v>
      </c>
      <c r="AG85" s="10" t="e">
        <f t="shared" si="61"/>
        <v>#REF!</v>
      </c>
      <c r="AH85" s="10" t="e">
        <f t="shared" si="61"/>
        <v>#REF!</v>
      </c>
      <c r="AI85" s="10" t="e">
        <f t="shared" si="61"/>
        <v>#REF!</v>
      </c>
      <c r="AJ85" s="10" t="e">
        <f t="shared" si="61"/>
        <v>#REF!</v>
      </c>
      <c r="AK85" s="10" t="e">
        <f t="shared" si="61"/>
        <v>#REF!</v>
      </c>
      <c r="AL85" s="10" t="e">
        <f t="shared" si="61"/>
        <v>#REF!</v>
      </c>
      <c r="AM85" s="10" t="e">
        <f t="shared" si="61"/>
        <v>#REF!</v>
      </c>
      <c r="AN85" s="10" t="e">
        <f t="shared" si="61"/>
        <v>#REF!</v>
      </c>
      <c r="AO85" s="10" t="e">
        <f t="shared" si="61"/>
        <v>#REF!</v>
      </c>
      <c r="AP85" s="10" t="e">
        <f t="shared" si="61"/>
        <v>#REF!</v>
      </c>
      <c r="AQ85" s="10" t="e">
        <f t="shared" si="61"/>
        <v>#REF!</v>
      </c>
      <c r="AR85" s="10" t="e">
        <f t="shared" si="61"/>
        <v>#REF!</v>
      </c>
      <c r="AS85" s="10" t="e">
        <f t="shared" si="61"/>
        <v>#REF!</v>
      </c>
      <c r="AT85" s="10" t="e">
        <f t="shared" si="61"/>
        <v>#REF!</v>
      </c>
      <c r="AU85" s="10" t="e">
        <f t="shared" si="61"/>
        <v>#REF!</v>
      </c>
      <c r="AV85" s="10" t="e">
        <f t="shared" si="61"/>
        <v>#REF!</v>
      </c>
      <c r="AW85" s="10" t="e">
        <f t="shared" si="61"/>
        <v>#REF!</v>
      </c>
      <c r="AX85" s="10" t="e">
        <f t="shared" si="61"/>
        <v>#REF!</v>
      </c>
      <c r="AY85" s="10" t="e">
        <f t="shared" si="61"/>
        <v>#REF!</v>
      </c>
      <c r="AZ85" s="10" t="e">
        <f t="shared" si="61"/>
        <v>#REF!</v>
      </c>
      <c r="BA85" s="10" t="e">
        <f t="shared" si="61"/>
        <v>#REF!</v>
      </c>
      <c r="BB85" s="10" t="e">
        <f t="shared" si="61"/>
        <v>#REF!</v>
      </c>
      <c r="BC85" s="10" t="e">
        <f t="shared" si="61"/>
        <v>#REF!</v>
      </c>
      <c r="BD85" s="10" t="e">
        <f t="shared" si="61"/>
        <v>#REF!</v>
      </c>
      <c r="BE85" s="10" t="e">
        <f t="shared" si="61"/>
        <v>#REF!</v>
      </c>
      <c r="BF85" s="10" t="e">
        <f t="shared" si="61"/>
        <v>#REF!</v>
      </c>
      <c r="BG85" s="10" t="e">
        <f t="shared" si="61"/>
        <v>#REF!</v>
      </c>
      <c r="BH85" s="10" t="e">
        <f t="shared" si="61"/>
        <v>#REF!</v>
      </c>
      <c r="BI85" s="10" t="e">
        <f t="shared" si="61"/>
        <v>#REF!</v>
      </c>
      <c r="BJ85" s="10" t="e">
        <f t="shared" si="61"/>
        <v>#REF!</v>
      </c>
      <c r="BK85" s="10" t="e">
        <f t="shared" si="61"/>
        <v>#REF!</v>
      </c>
      <c r="BL85" s="10" t="e">
        <f t="shared" si="61"/>
        <v>#REF!</v>
      </c>
      <c r="BM85" s="10" t="e">
        <f t="shared" si="61"/>
        <v>#REF!</v>
      </c>
      <c r="BN85" s="10" t="e">
        <f t="shared" si="61"/>
        <v>#REF!</v>
      </c>
      <c r="BO85" s="10" t="e">
        <f t="shared" si="61"/>
        <v>#REF!</v>
      </c>
      <c r="BP85" s="10" t="e">
        <f t="shared" si="61"/>
        <v>#REF!</v>
      </c>
      <c r="BQ85" s="10" t="e">
        <f t="shared" si="61"/>
        <v>#REF!</v>
      </c>
      <c r="BR85" s="10" t="e">
        <f t="shared" si="61"/>
        <v>#REF!</v>
      </c>
      <c r="BS85" s="10" t="e">
        <f t="shared" si="61"/>
        <v>#REF!</v>
      </c>
      <c r="BT85" s="10" t="e">
        <f t="shared" si="61"/>
        <v>#REF!</v>
      </c>
      <c r="BU85" s="10" t="e">
        <f t="shared" si="61"/>
        <v>#REF!</v>
      </c>
      <c r="BV85" s="10" t="e">
        <f t="shared" si="61"/>
        <v>#REF!</v>
      </c>
      <c r="BW85" s="10" t="e">
        <f t="shared" si="61"/>
        <v>#REF!</v>
      </c>
      <c r="BX85" s="10" t="e">
        <f t="shared" si="61"/>
        <v>#REF!</v>
      </c>
      <c r="BY85" s="10" t="e">
        <f t="shared" si="61"/>
        <v>#REF!</v>
      </c>
      <c r="BZ85" s="10" t="e">
        <f t="shared" si="61"/>
        <v>#REF!</v>
      </c>
      <c r="CA85" s="10" t="e">
        <f t="shared" si="61"/>
        <v>#REF!</v>
      </c>
      <c r="CB85" s="10" t="e">
        <f t="shared" si="61"/>
        <v>#REF!</v>
      </c>
      <c r="CC85" s="10" t="e">
        <f t="shared" ref="CC85:CQ85" si="62">CB89</f>
        <v>#REF!</v>
      </c>
      <c r="CD85" s="10" t="e">
        <f t="shared" si="62"/>
        <v>#REF!</v>
      </c>
      <c r="CE85" s="10" t="e">
        <f t="shared" si="62"/>
        <v>#REF!</v>
      </c>
      <c r="CF85" s="10" t="e">
        <f t="shared" si="62"/>
        <v>#REF!</v>
      </c>
      <c r="CG85" s="10" t="e">
        <f t="shared" si="62"/>
        <v>#REF!</v>
      </c>
      <c r="CH85" s="10" t="e">
        <f t="shared" si="62"/>
        <v>#REF!</v>
      </c>
      <c r="CI85" s="10" t="e">
        <f t="shared" si="62"/>
        <v>#REF!</v>
      </c>
      <c r="CJ85" s="10" t="e">
        <f t="shared" si="62"/>
        <v>#REF!</v>
      </c>
      <c r="CK85" s="10" t="e">
        <f t="shared" si="62"/>
        <v>#REF!</v>
      </c>
      <c r="CL85" s="10" t="e">
        <f t="shared" si="62"/>
        <v>#REF!</v>
      </c>
      <c r="CM85" s="10" t="e">
        <f t="shared" si="62"/>
        <v>#REF!</v>
      </c>
      <c r="CN85" s="10" t="e">
        <f t="shared" si="62"/>
        <v>#REF!</v>
      </c>
      <c r="CO85" s="10" t="e">
        <f t="shared" si="62"/>
        <v>#REF!</v>
      </c>
      <c r="CP85" s="10" t="e">
        <f t="shared" si="62"/>
        <v>#REF!</v>
      </c>
      <c r="CQ85" s="10" t="e">
        <f t="shared" si="62"/>
        <v>#REF!</v>
      </c>
      <c r="CR85" s="10" t="e">
        <f t="shared" ref="CR85" si="63">CQ89</f>
        <v>#REF!</v>
      </c>
      <c r="CS85" s="10" t="e">
        <f t="shared" ref="CS85" si="64">CR89</f>
        <v>#REF!</v>
      </c>
      <c r="CT85" s="10" t="e">
        <f t="shared" ref="CT85" si="65">CS89</f>
        <v>#REF!</v>
      </c>
      <c r="CU85" s="10"/>
      <c r="CV85" s="10"/>
      <c r="CW85" s="10"/>
      <c r="CX85" s="10"/>
      <c r="CY85" s="10"/>
      <c r="CZ85" s="10"/>
      <c r="DA85" s="10"/>
      <c r="DB85" s="10"/>
      <c r="DC85" s="10"/>
      <c r="DD85" s="10"/>
    </row>
    <row r="86" spans="1:108" ht="12.75" customHeight="1" x14ac:dyDescent="0.25">
      <c r="C86" s="54" t="s">
        <v>34</v>
      </c>
      <c r="D86" t="s">
        <v>241</v>
      </c>
      <c r="H86" s="54" t="s">
        <v>3</v>
      </c>
      <c r="N86" s="25" t="e">
        <f t="shared" ref="N86:N88" si="66">SUM(P86:DB86)</f>
        <v>#REF!</v>
      </c>
      <c r="P86" s="10" t="e">
        <f t="shared" ref="P86:CA86" si="67">P23</f>
        <v>#REF!</v>
      </c>
      <c r="Q86" s="10" t="e">
        <f t="shared" si="67"/>
        <v>#REF!</v>
      </c>
      <c r="R86" s="10" t="e">
        <f t="shared" si="67"/>
        <v>#REF!</v>
      </c>
      <c r="S86" s="10" t="e">
        <f t="shared" si="67"/>
        <v>#REF!</v>
      </c>
      <c r="T86" s="10" t="e">
        <f t="shared" si="67"/>
        <v>#REF!</v>
      </c>
      <c r="U86" s="10" t="e">
        <f t="shared" si="67"/>
        <v>#REF!</v>
      </c>
      <c r="V86" s="10" t="e">
        <f t="shared" si="67"/>
        <v>#REF!</v>
      </c>
      <c r="W86" s="10" t="e">
        <f t="shared" si="67"/>
        <v>#REF!</v>
      </c>
      <c r="X86" s="10" t="e">
        <f t="shared" si="67"/>
        <v>#REF!</v>
      </c>
      <c r="Y86" s="10" t="e">
        <f t="shared" si="67"/>
        <v>#REF!</v>
      </c>
      <c r="Z86" s="10" t="e">
        <f t="shared" si="67"/>
        <v>#REF!</v>
      </c>
      <c r="AA86" s="10" t="e">
        <f t="shared" si="67"/>
        <v>#REF!</v>
      </c>
      <c r="AB86" s="10" t="e">
        <f t="shared" si="67"/>
        <v>#REF!</v>
      </c>
      <c r="AC86" s="10" t="e">
        <f t="shared" si="67"/>
        <v>#REF!</v>
      </c>
      <c r="AD86" s="10" t="e">
        <f t="shared" si="67"/>
        <v>#REF!</v>
      </c>
      <c r="AE86" s="10" t="e">
        <f t="shared" si="67"/>
        <v>#REF!</v>
      </c>
      <c r="AF86" s="10" t="e">
        <f t="shared" si="67"/>
        <v>#REF!</v>
      </c>
      <c r="AG86" s="10" t="e">
        <f t="shared" si="67"/>
        <v>#REF!</v>
      </c>
      <c r="AH86" s="10" t="e">
        <f t="shared" si="67"/>
        <v>#REF!</v>
      </c>
      <c r="AI86" s="10" t="e">
        <f t="shared" si="67"/>
        <v>#REF!</v>
      </c>
      <c r="AJ86" s="10" t="e">
        <f t="shared" si="67"/>
        <v>#REF!</v>
      </c>
      <c r="AK86" s="10" t="e">
        <f t="shared" si="67"/>
        <v>#REF!</v>
      </c>
      <c r="AL86" s="10" t="e">
        <f t="shared" si="67"/>
        <v>#REF!</v>
      </c>
      <c r="AM86" s="10" t="e">
        <f t="shared" si="67"/>
        <v>#REF!</v>
      </c>
      <c r="AN86" s="10" t="e">
        <f t="shared" si="67"/>
        <v>#REF!</v>
      </c>
      <c r="AO86" s="10" t="e">
        <f t="shared" si="67"/>
        <v>#REF!</v>
      </c>
      <c r="AP86" s="10" t="e">
        <f t="shared" si="67"/>
        <v>#REF!</v>
      </c>
      <c r="AQ86" s="10" t="e">
        <f t="shared" si="67"/>
        <v>#REF!</v>
      </c>
      <c r="AR86" s="10" t="e">
        <f t="shared" si="67"/>
        <v>#REF!</v>
      </c>
      <c r="AS86" s="10" t="e">
        <f t="shared" si="67"/>
        <v>#REF!</v>
      </c>
      <c r="AT86" s="10" t="e">
        <f t="shared" si="67"/>
        <v>#REF!</v>
      </c>
      <c r="AU86" s="10" t="e">
        <f t="shared" si="67"/>
        <v>#REF!</v>
      </c>
      <c r="AV86" s="10" t="e">
        <f t="shared" si="67"/>
        <v>#REF!</v>
      </c>
      <c r="AW86" s="10" t="e">
        <f t="shared" si="67"/>
        <v>#REF!</v>
      </c>
      <c r="AX86" s="10" t="e">
        <f t="shared" si="67"/>
        <v>#REF!</v>
      </c>
      <c r="AY86" s="10" t="e">
        <f t="shared" si="67"/>
        <v>#REF!</v>
      </c>
      <c r="AZ86" s="10" t="e">
        <f t="shared" si="67"/>
        <v>#REF!</v>
      </c>
      <c r="BA86" s="10" t="e">
        <f t="shared" si="67"/>
        <v>#REF!</v>
      </c>
      <c r="BB86" s="10" t="e">
        <f t="shared" si="67"/>
        <v>#REF!</v>
      </c>
      <c r="BC86" s="10" t="e">
        <f t="shared" si="67"/>
        <v>#REF!</v>
      </c>
      <c r="BD86" s="10" t="e">
        <f t="shared" si="67"/>
        <v>#REF!</v>
      </c>
      <c r="BE86" s="10" t="e">
        <f t="shared" si="67"/>
        <v>#REF!</v>
      </c>
      <c r="BF86" s="10" t="e">
        <f t="shared" si="67"/>
        <v>#REF!</v>
      </c>
      <c r="BG86" s="10" t="e">
        <f t="shared" si="67"/>
        <v>#REF!</v>
      </c>
      <c r="BH86" s="10" t="e">
        <f t="shared" si="67"/>
        <v>#REF!</v>
      </c>
      <c r="BI86" s="10" t="e">
        <f t="shared" si="67"/>
        <v>#REF!</v>
      </c>
      <c r="BJ86" s="10" t="e">
        <f t="shared" si="67"/>
        <v>#REF!</v>
      </c>
      <c r="BK86" s="10" t="e">
        <f t="shared" si="67"/>
        <v>#REF!</v>
      </c>
      <c r="BL86" s="10" t="e">
        <f t="shared" si="67"/>
        <v>#REF!</v>
      </c>
      <c r="BM86" s="10" t="e">
        <f t="shared" si="67"/>
        <v>#REF!</v>
      </c>
      <c r="BN86" s="10" t="e">
        <f t="shared" si="67"/>
        <v>#REF!</v>
      </c>
      <c r="BO86" s="10" t="e">
        <f t="shared" si="67"/>
        <v>#REF!</v>
      </c>
      <c r="BP86" s="10" t="e">
        <f t="shared" si="67"/>
        <v>#REF!</v>
      </c>
      <c r="BQ86" s="10" t="e">
        <f t="shared" si="67"/>
        <v>#REF!</v>
      </c>
      <c r="BR86" s="10" t="e">
        <f t="shared" si="67"/>
        <v>#REF!</v>
      </c>
      <c r="BS86" s="10" t="e">
        <f t="shared" si="67"/>
        <v>#REF!</v>
      </c>
      <c r="BT86" s="10" t="e">
        <f t="shared" si="67"/>
        <v>#REF!</v>
      </c>
      <c r="BU86" s="10" t="e">
        <f t="shared" si="67"/>
        <v>#REF!</v>
      </c>
      <c r="BV86" s="10" t="e">
        <f t="shared" si="67"/>
        <v>#REF!</v>
      </c>
      <c r="BW86" s="10" t="e">
        <f t="shared" si="67"/>
        <v>#REF!</v>
      </c>
      <c r="BX86" s="10" t="e">
        <f t="shared" si="67"/>
        <v>#REF!</v>
      </c>
      <c r="BY86" s="10" t="e">
        <f t="shared" si="67"/>
        <v>#REF!</v>
      </c>
      <c r="BZ86" s="10" t="e">
        <f t="shared" si="67"/>
        <v>#REF!</v>
      </c>
      <c r="CA86" s="10" t="e">
        <f t="shared" si="67"/>
        <v>#REF!</v>
      </c>
      <c r="CB86" s="10" t="e">
        <f t="shared" ref="CB86:CQ86" si="68">CB23</f>
        <v>#REF!</v>
      </c>
      <c r="CC86" s="10" t="e">
        <f t="shared" si="68"/>
        <v>#REF!</v>
      </c>
      <c r="CD86" s="10" t="e">
        <f t="shared" si="68"/>
        <v>#REF!</v>
      </c>
      <c r="CE86" s="10" t="e">
        <f t="shared" si="68"/>
        <v>#REF!</v>
      </c>
      <c r="CF86" s="10" t="e">
        <f t="shared" si="68"/>
        <v>#REF!</v>
      </c>
      <c r="CG86" s="10" t="e">
        <f t="shared" si="68"/>
        <v>#REF!</v>
      </c>
      <c r="CH86" s="10" t="e">
        <f t="shared" si="68"/>
        <v>#REF!</v>
      </c>
      <c r="CI86" s="10" t="e">
        <f t="shared" si="68"/>
        <v>#REF!</v>
      </c>
      <c r="CJ86" s="10" t="e">
        <f t="shared" si="68"/>
        <v>#REF!</v>
      </c>
      <c r="CK86" s="10" t="e">
        <f t="shared" si="68"/>
        <v>#REF!</v>
      </c>
      <c r="CL86" s="10" t="e">
        <f t="shared" si="68"/>
        <v>#REF!</v>
      </c>
      <c r="CM86" s="10" t="e">
        <f t="shared" si="68"/>
        <v>#REF!</v>
      </c>
      <c r="CN86" s="10" t="e">
        <f t="shared" si="68"/>
        <v>#REF!</v>
      </c>
      <c r="CO86" s="10" t="e">
        <f t="shared" si="68"/>
        <v>#REF!</v>
      </c>
      <c r="CP86" s="10" t="e">
        <f t="shared" si="68"/>
        <v>#REF!</v>
      </c>
      <c r="CQ86" s="10" t="e">
        <f t="shared" si="68"/>
        <v>#REF!</v>
      </c>
      <c r="CR86" s="10" t="e">
        <f t="shared" ref="CR86:CT86" si="69">CR23</f>
        <v>#REF!</v>
      </c>
      <c r="CS86" s="10" t="e">
        <f t="shared" si="69"/>
        <v>#REF!</v>
      </c>
      <c r="CT86" s="10" t="e">
        <f t="shared" si="69"/>
        <v>#REF!</v>
      </c>
      <c r="CU86" s="10"/>
      <c r="CV86" s="10"/>
      <c r="CW86" s="10"/>
      <c r="CX86" s="10"/>
      <c r="CY86" s="10"/>
      <c r="CZ86" s="10"/>
      <c r="DA86" s="10"/>
      <c r="DB86" s="10"/>
      <c r="DC86" s="10"/>
      <c r="DD86" s="10"/>
    </row>
    <row r="87" spans="1:108" ht="12.75" customHeight="1" x14ac:dyDescent="0.25">
      <c r="C87" s="54" t="s">
        <v>32</v>
      </c>
      <c r="D87" t="s">
        <v>242</v>
      </c>
      <c r="H87" s="54" t="s">
        <v>3</v>
      </c>
      <c r="N87" s="25" t="e">
        <f t="shared" si="66"/>
        <v>#REF!</v>
      </c>
      <c r="P87" s="10">
        <f t="shared" ref="P87:CA87" si="70">MIN(P85,P76)</f>
        <v>0</v>
      </c>
      <c r="Q87" s="10" t="e">
        <f t="shared" si="70"/>
        <v>#REF!</v>
      </c>
      <c r="R87" s="10" t="e">
        <f t="shared" si="70"/>
        <v>#REF!</v>
      </c>
      <c r="S87" s="10" t="e">
        <f t="shared" si="70"/>
        <v>#REF!</v>
      </c>
      <c r="T87" s="10" t="e">
        <f t="shared" si="70"/>
        <v>#REF!</v>
      </c>
      <c r="U87" s="10" t="e">
        <f t="shared" si="70"/>
        <v>#REF!</v>
      </c>
      <c r="V87" s="10" t="e">
        <f t="shared" si="70"/>
        <v>#REF!</v>
      </c>
      <c r="W87" s="10" t="e">
        <f t="shared" si="70"/>
        <v>#REF!</v>
      </c>
      <c r="X87" s="10" t="e">
        <f t="shared" si="70"/>
        <v>#REF!</v>
      </c>
      <c r="Y87" s="10" t="e">
        <f t="shared" si="70"/>
        <v>#REF!</v>
      </c>
      <c r="Z87" s="10" t="e">
        <f t="shared" si="70"/>
        <v>#REF!</v>
      </c>
      <c r="AA87" s="10" t="e">
        <f t="shared" si="70"/>
        <v>#REF!</v>
      </c>
      <c r="AB87" s="10" t="e">
        <f t="shared" si="70"/>
        <v>#REF!</v>
      </c>
      <c r="AC87" s="10" t="e">
        <f t="shared" si="70"/>
        <v>#REF!</v>
      </c>
      <c r="AD87" s="10" t="e">
        <f t="shared" si="70"/>
        <v>#REF!</v>
      </c>
      <c r="AE87" s="10" t="e">
        <f t="shared" si="70"/>
        <v>#REF!</v>
      </c>
      <c r="AF87" s="10" t="e">
        <f t="shared" si="70"/>
        <v>#REF!</v>
      </c>
      <c r="AG87" s="10" t="e">
        <f t="shared" si="70"/>
        <v>#REF!</v>
      </c>
      <c r="AH87" s="10" t="e">
        <f t="shared" si="70"/>
        <v>#REF!</v>
      </c>
      <c r="AI87" s="10" t="e">
        <f t="shared" si="70"/>
        <v>#REF!</v>
      </c>
      <c r="AJ87" s="10" t="e">
        <f t="shared" si="70"/>
        <v>#REF!</v>
      </c>
      <c r="AK87" s="10" t="e">
        <f t="shared" si="70"/>
        <v>#REF!</v>
      </c>
      <c r="AL87" s="10" t="e">
        <f t="shared" si="70"/>
        <v>#REF!</v>
      </c>
      <c r="AM87" s="10" t="e">
        <f t="shared" si="70"/>
        <v>#REF!</v>
      </c>
      <c r="AN87" s="10" t="e">
        <f t="shared" si="70"/>
        <v>#REF!</v>
      </c>
      <c r="AO87" s="10" t="e">
        <f t="shared" si="70"/>
        <v>#REF!</v>
      </c>
      <c r="AP87" s="10" t="e">
        <f t="shared" si="70"/>
        <v>#REF!</v>
      </c>
      <c r="AQ87" s="10" t="e">
        <f t="shared" si="70"/>
        <v>#REF!</v>
      </c>
      <c r="AR87" s="10" t="e">
        <f t="shared" si="70"/>
        <v>#REF!</v>
      </c>
      <c r="AS87" s="10" t="e">
        <f t="shared" si="70"/>
        <v>#REF!</v>
      </c>
      <c r="AT87" s="10" t="e">
        <f t="shared" si="70"/>
        <v>#REF!</v>
      </c>
      <c r="AU87" s="10" t="e">
        <f t="shared" si="70"/>
        <v>#REF!</v>
      </c>
      <c r="AV87" s="10" t="e">
        <f t="shared" si="70"/>
        <v>#REF!</v>
      </c>
      <c r="AW87" s="10" t="e">
        <f t="shared" si="70"/>
        <v>#REF!</v>
      </c>
      <c r="AX87" s="10" t="e">
        <f t="shared" si="70"/>
        <v>#REF!</v>
      </c>
      <c r="AY87" s="10" t="e">
        <f t="shared" si="70"/>
        <v>#REF!</v>
      </c>
      <c r="AZ87" s="10" t="e">
        <f t="shared" si="70"/>
        <v>#REF!</v>
      </c>
      <c r="BA87" s="10" t="e">
        <f t="shared" si="70"/>
        <v>#REF!</v>
      </c>
      <c r="BB87" s="10" t="e">
        <f t="shared" si="70"/>
        <v>#REF!</v>
      </c>
      <c r="BC87" s="10" t="e">
        <f t="shared" si="70"/>
        <v>#REF!</v>
      </c>
      <c r="BD87" s="10" t="e">
        <f t="shared" si="70"/>
        <v>#REF!</v>
      </c>
      <c r="BE87" s="10" t="e">
        <f t="shared" si="70"/>
        <v>#REF!</v>
      </c>
      <c r="BF87" s="10" t="e">
        <f t="shared" si="70"/>
        <v>#REF!</v>
      </c>
      <c r="BG87" s="10" t="e">
        <f t="shared" si="70"/>
        <v>#REF!</v>
      </c>
      <c r="BH87" s="10" t="e">
        <f t="shared" si="70"/>
        <v>#REF!</v>
      </c>
      <c r="BI87" s="10" t="e">
        <f t="shared" si="70"/>
        <v>#REF!</v>
      </c>
      <c r="BJ87" s="10" t="e">
        <f t="shared" si="70"/>
        <v>#REF!</v>
      </c>
      <c r="BK87" s="10" t="e">
        <f t="shared" si="70"/>
        <v>#REF!</v>
      </c>
      <c r="BL87" s="10" t="e">
        <f t="shared" si="70"/>
        <v>#REF!</v>
      </c>
      <c r="BM87" s="10" t="e">
        <f t="shared" si="70"/>
        <v>#REF!</v>
      </c>
      <c r="BN87" s="10" t="e">
        <f t="shared" si="70"/>
        <v>#REF!</v>
      </c>
      <c r="BO87" s="10" t="e">
        <f t="shared" si="70"/>
        <v>#REF!</v>
      </c>
      <c r="BP87" s="10" t="e">
        <f t="shared" si="70"/>
        <v>#REF!</v>
      </c>
      <c r="BQ87" s="10" t="e">
        <f t="shared" si="70"/>
        <v>#REF!</v>
      </c>
      <c r="BR87" s="10" t="e">
        <f t="shared" si="70"/>
        <v>#REF!</v>
      </c>
      <c r="BS87" s="10" t="e">
        <f t="shared" si="70"/>
        <v>#REF!</v>
      </c>
      <c r="BT87" s="10" t="e">
        <f t="shared" si="70"/>
        <v>#REF!</v>
      </c>
      <c r="BU87" s="10" t="e">
        <f t="shared" si="70"/>
        <v>#REF!</v>
      </c>
      <c r="BV87" s="10" t="e">
        <f t="shared" si="70"/>
        <v>#REF!</v>
      </c>
      <c r="BW87" s="10" t="e">
        <f t="shared" si="70"/>
        <v>#REF!</v>
      </c>
      <c r="BX87" s="10" t="e">
        <f t="shared" si="70"/>
        <v>#REF!</v>
      </c>
      <c r="BY87" s="10" t="e">
        <f t="shared" si="70"/>
        <v>#REF!</v>
      </c>
      <c r="BZ87" s="10" t="e">
        <f t="shared" si="70"/>
        <v>#REF!</v>
      </c>
      <c r="CA87" s="10" t="e">
        <f t="shared" si="70"/>
        <v>#REF!</v>
      </c>
      <c r="CB87" s="10" t="e">
        <f t="shared" ref="CB87:CQ87" si="71">MIN(CB85,CB76)</f>
        <v>#REF!</v>
      </c>
      <c r="CC87" s="10" t="e">
        <f t="shared" si="71"/>
        <v>#REF!</v>
      </c>
      <c r="CD87" s="10" t="e">
        <f t="shared" si="71"/>
        <v>#REF!</v>
      </c>
      <c r="CE87" s="10" t="e">
        <f t="shared" si="71"/>
        <v>#REF!</v>
      </c>
      <c r="CF87" s="10" t="e">
        <f t="shared" si="71"/>
        <v>#REF!</v>
      </c>
      <c r="CG87" s="10" t="e">
        <f t="shared" si="71"/>
        <v>#REF!</v>
      </c>
      <c r="CH87" s="10" t="e">
        <f t="shared" si="71"/>
        <v>#REF!</v>
      </c>
      <c r="CI87" s="10" t="e">
        <f t="shared" si="71"/>
        <v>#REF!</v>
      </c>
      <c r="CJ87" s="10" t="e">
        <f t="shared" si="71"/>
        <v>#REF!</v>
      </c>
      <c r="CK87" s="10" t="e">
        <f t="shared" si="71"/>
        <v>#REF!</v>
      </c>
      <c r="CL87" s="10" t="e">
        <f t="shared" si="71"/>
        <v>#REF!</v>
      </c>
      <c r="CM87" s="10" t="e">
        <f t="shared" si="71"/>
        <v>#REF!</v>
      </c>
      <c r="CN87" s="10" t="e">
        <f t="shared" si="71"/>
        <v>#REF!</v>
      </c>
      <c r="CO87" s="10" t="e">
        <f t="shared" si="71"/>
        <v>#REF!</v>
      </c>
      <c r="CP87" s="10" t="e">
        <f t="shared" si="71"/>
        <v>#REF!</v>
      </c>
      <c r="CQ87" s="10" t="e">
        <f t="shared" si="71"/>
        <v>#REF!</v>
      </c>
      <c r="CR87" s="10" t="e">
        <f t="shared" ref="CR87:CT87" si="72">MIN(CR85,CR76)</f>
        <v>#REF!</v>
      </c>
      <c r="CS87" s="10" t="e">
        <f t="shared" si="72"/>
        <v>#REF!</v>
      </c>
      <c r="CT87" s="10" t="e">
        <f t="shared" si="72"/>
        <v>#REF!</v>
      </c>
      <c r="CU87" s="10"/>
      <c r="CV87" s="10"/>
      <c r="CW87" s="10"/>
      <c r="CX87" s="10"/>
      <c r="CY87" s="10"/>
      <c r="CZ87" s="10"/>
      <c r="DA87" s="10"/>
      <c r="DB87" s="10"/>
      <c r="DC87" s="10"/>
      <c r="DD87" s="10"/>
    </row>
    <row r="88" spans="1:108" ht="12.75" customHeight="1" x14ac:dyDescent="0.25">
      <c r="C88" s="54" t="s">
        <v>32</v>
      </c>
      <c r="D88" t="s">
        <v>243</v>
      </c>
      <c r="H88" s="54" t="s">
        <v>3</v>
      </c>
      <c r="N88" s="25" t="e">
        <f t="shared" si="66"/>
        <v>#REF!</v>
      </c>
      <c r="P88" s="10" t="e">
        <f>P95</f>
        <v>#REF!</v>
      </c>
      <c r="Q88" s="10" t="e">
        <f t="shared" ref="Q88:CB88" si="73">Q95</f>
        <v>#REF!</v>
      </c>
      <c r="R88" s="10" t="e">
        <f t="shared" si="73"/>
        <v>#REF!</v>
      </c>
      <c r="S88" s="10" t="e">
        <f t="shared" si="73"/>
        <v>#REF!</v>
      </c>
      <c r="T88" s="10" t="e">
        <f t="shared" si="73"/>
        <v>#REF!</v>
      </c>
      <c r="U88" s="10" t="e">
        <f t="shared" si="73"/>
        <v>#REF!</v>
      </c>
      <c r="V88" s="10" t="e">
        <f t="shared" si="73"/>
        <v>#REF!</v>
      </c>
      <c r="W88" s="10" t="e">
        <f t="shared" si="73"/>
        <v>#REF!</v>
      </c>
      <c r="X88" s="10" t="e">
        <f t="shared" si="73"/>
        <v>#REF!</v>
      </c>
      <c r="Y88" s="10" t="e">
        <f t="shared" si="73"/>
        <v>#REF!</v>
      </c>
      <c r="Z88" s="10" t="e">
        <f t="shared" si="73"/>
        <v>#REF!</v>
      </c>
      <c r="AA88" s="10" t="e">
        <f t="shared" si="73"/>
        <v>#REF!</v>
      </c>
      <c r="AB88" s="10" t="e">
        <f t="shared" si="73"/>
        <v>#REF!</v>
      </c>
      <c r="AC88" s="10" t="e">
        <f t="shared" si="73"/>
        <v>#REF!</v>
      </c>
      <c r="AD88" s="10" t="e">
        <f t="shared" si="73"/>
        <v>#REF!</v>
      </c>
      <c r="AE88" s="10" t="e">
        <f t="shared" si="73"/>
        <v>#REF!</v>
      </c>
      <c r="AF88" s="10" t="e">
        <f t="shared" si="73"/>
        <v>#REF!</v>
      </c>
      <c r="AG88" s="10" t="e">
        <f t="shared" si="73"/>
        <v>#REF!</v>
      </c>
      <c r="AH88" s="10" t="e">
        <f t="shared" si="73"/>
        <v>#REF!</v>
      </c>
      <c r="AI88" s="10" t="e">
        <f t="shared" si="73"/>
        <v>#REF!</v>
      </c>
      <c r="AJ88" s="10" t="e">
        <f t="shared" si="73"/>
        <v>#REF!</v>
      </c>
      <c r="AK88" s="10" t="e">
        <f t="shared" si="73"/>
        <v>#REF!</v>
      </c>
      <c r="AL88" s="10" t="e">
        <f t="shared" si="73"/>
        <v>#REF!</v>
      </c>
      <c r="AM88" s="10" t="e">
        <f t="shared" si="73"/>
        <v>#REF!</v>
      </c>
      <c r="AN88" s="10" t="e">
        <f t="shared" si="73"/>
        <v>#REF!</v>
      </c>
      <c r="AO88" s="10" t="e">
        <f t="shared" si="73"/>
        <v>#REF!</v>
      </c>
      <c r="AP88" s="10" t="e">
        <f t="shared" si="73"/>
        <v>#REF!</v>
      </c>
      <c r="AQ88" s="10" t="e">
        <f t="shared" si="73"/>
        <v>#REF!</v>
      </c>
      <c r="AR88" s="10" t="e">
        <f t="shared" si="73"/>
        <v>#REF!</v>
      </c>
      <c r="AS88" s="10" t="e">
        <f t="shared" si="73"/>
        <v>#REF!</v>
      </c>
      <c r="AT88" s="10" t="e">
        <f t="shared" si="73"/>
        <v>#REF!</v>
      </c>
      <c r="AU88" s="10" t="e">
        <f t="shared" si="73"/>
        <v>#REF!</v>
      </c>
      <c r="AV88" s="10" t="e">
        <f t="shared" si="73"/>
        <v>#REF!</v>
      </c>
      <c r="AW88" s="10" t="e">
        <f t="shared" si="73"/>
        <v>#REF!</v>
      </c>
      <c r="AX88" s="10" t="e">
        <f t="shared" si="73"/>
        <v>#REF!</v>
      </c>
      <c r="AY88" s="10" t="e">
        <f t="shared" si="73"/>
        <v>#REF!</v>
      </c>
      <c r="AZ88" s="10" t="e">
        <f t="shared" si="73"/>
        <v>#REF!</v>
      </c>
      <c r="BA88" s="10" t="e">
        <f t="shared" si="73"/>
        <v>#REF!</v>
      </c>
      <c r="BB88" s="10" t="e">
        <f t="shared" si="73"/>
        <v>#REF!</v>
      </c>
      <c r="BC88" s="10" t="e">
        <f t="shared" si="73"/>
        <v>#REF!</v>
      </c>
      <c r="BD88" s="10" t="e">
        <f t="shared" si="73"/>
        <v>#REF!</v>
      </c>
      <c r="BE88" s="10" t="e">
        <f t="shared" si="73"/>
        <v>#REF!</v>
      </c>
      <c r="BF88" s="10" t="e">
        <f t="shared" si="73"/>
        <v>#REF!</v>
      </c>
      <c r="BG88" s="10" t="e">
        <f t="shared" si="73"/>
        <v>#REF!</v>
      </c>
      <c r="BH88" s="10" t="e">
        <f t="shared" si="73"/>
        <v>#REF!</v>
      </c>
      <c r="BI88" s="10" t="e">
        <f t="shared" si="73"/>
        <v>#REF!</v>
      </c>
      <c r="BJ88" s="10" t="e">
        <f t="shared" si="73"/>
        <v>#REF!</v>
      </c>
      <c r="BK88" s="10" t="e">
        <f t="shared" si="73"/>
        <v>#REF!</v>
      </c>
      <c r="BL88" s="10" t="e">
        <f t="shared" si="73"/>
        <v>#REF!</v>
      </c>
      <c r="BM88" s="10" t="e">
        <f t="shared" si="73"/>
        <v>#REF!</v>
      </c>
      <c r="BN88" s="10" t="e">
        <f t="shared" si="73"/>
        <v>#REF!</v>
      </c>
      <c r="BO88" s="10" t="e">
        <f t="shared" si="73"/>
        <v>#REF!</v>
      </c>
      <c r="BP88" s="10" t="e">
        <f t="shared" si="73"/>
        <v>#REF!</v>
      </c>
      <c r="BQ88" s="10" t="e">
        <f t="shared" si="73"/>
        <v>#REF!</v>
      </c>
      <c r="BR88" s="10" t="e">
        <f t="shared" si="73"/>
        <v>#REF!</v>
      </c>
      <c r="BS88" s="10" t="e">
        <f t="shared" si="73"/>
        <v>#REF!</v>
      </c>
      <c r="BT88" s="10" t="e">
        <f t="shared" si="73"/>
        <v>#REF!</v>
      </c>
      <c r="BU88" s="10" t="e">
        <f t="shared" si="73"/>
        <v>#REF!</v>
      </c>
      <c r="BV88" s="10" t="e">
        <f t="shared" si="73"/>
        <v>#REF!</v>
      </c>
      <c r="BW88" s="10" t="e">
        <f t="shared" si="73"/>
        <v>#REF!</v>
      </c>
      <c r="BX88" s="10" t="e">
        <f t="shared" si="73"/>
        <v>#REF!</v>
      </c>
      <c r="BY88" s="10" t="e">
        <f t="shared" si="73"/>
        <v>#REF!</v>
      </c>
      <c r="BZ88" s="10" t="e">
        <f t="shared" si="73"/>
        <v>#REF!</v>
      </c>
      <c r="CA88" s="10" t="e">
        <f t="shared" si="73"/>
        <v>#REF!</v>
      </c>
      <c r="CB88" s="10" t="e">
        <f t="shared" si="73"/>
        <v>#REF!</v>
      </c>
      <c r="CC88" s="10" t="e">
        <f t="shared" ref="CC88:CQ88" si="74">CC95</f>
        <v>#REF!</v>
      </c>
      <c r="CD88" s="10" t="e">
        <f t="shared" si="74"/>
        <v>#REF!</v>
      </c>
      <c r="CE88" s="10" t="e">
        <f t="shared" si="74"/>
        <v>#REF!</v>
      </c>
      <c r="CF88" s="10" t="e">
        <f t="shared" si="74"/>
        <v>#REF!</v>
      </c>
      <c r="CG88" s="10" t="e">
        <f t="shared" si="74"/>
        <v>#REF!</v>
      </c>
      <c r="CH88" s="10" t="e">
        <f t="shared" si="74"/>
        <v>#REF!</v>
      </c>
      <c r="CI88" s="10" t="e">
        <f t="shared" si="74"/>
        <v>#REF!</v>
      </c>
      <c r="CJ88" s="10" t="e">
        <f t="shared" si="74"/>
        <v>#REF!</v>
      </c>
      <c r="CK88" s="10" t="e">
        <f t="shared" si="74"/>
        <v>#REF!</v>
      </c>
      <c r="CL88" s="10" t="e">
        <f t="shared" si="74"/>
        <v>#REF!</v>
      </c>
      <c r="CM88" s="10" t="e">
        <f t="shared" si="74"/>
        <v>#REF!</v>
      </c>
      <c r="CN88" s="10" t="e">
        <f t="shared" si="74"/>
        <v>#REF!</v>
      </c>
      <c r="CO88" s="10" t="e">
        <f t="shared" si="74"/>
        <v>#REF!</v>
      </c>
      <c r="CP88" s="10" t="e">
        <f t="shared" si="74"/>
        <v>#REF!</v>
      </c>
      <c r="CQ88" s="10" t="e">
        <f t="shared" si="74"/>
        <v>#REF!</v>
      </c>
      <c r="CR88" s="10" t="e">
        <f t="shared" ref="CR88:CT88" si="75">CR95</f>
        <v>#REF!</v>
      </c>
      <c r="CS88" s="10" t="e">
        <f t="shared" si="75"/>
        <v>#REF!</v>
      </c>
      <c r="CT88" s="10" t="e">
        <f t="shared" si="75"/>
        <v>#REF!</v>
      </c>
      <c r="CU88" s="10"/>
      <c r="CV88" s="10"/>
      <c r="CW88" s="10"/>
      <c r="CX88" s="10"/>
      <c r="CY88" s="10"/>
      <c r="CZ88" s="10"/>
      <c r="DA88" s="10"/>
      <c r="DB88" s="10"/>
      <c r="DC88" s="10"/>
      <c r="DD88" s="10"/>
    </row>
    <row r="89" spans="1:108" ht="12.75" customHeight="1" x14ac:dyDescent="0.25">
      <c r="C89" t="s">
        <v>183</v>
      </c>
      <c r="H89" s="54" t="s">
        <v>3</v>
      </c>
      <c r="P89" s="10" t="e">
        <f>P85+P86-P87-P88</f>
        <v>#REF!</v>
      </c>
      <c r="Q89" s="10" t="e">
        <f t="shared" ref="Q89:CB89" si="76">Q85+Q86-Q87-Q88</f>
        <v>#REF!</v>
      </c>
      <c r="R89" s="10" t="e">
        <f t="shared" si="76"/>
        <v>#REF!</v>
      </c>
      <c r="S89" s="10" t="e">
        <f t="shared" si="76"/>
        <v>#REF!</v>
      </c>
      <c r="T89" s="10" t="e">
        <f t="shared" si="76"/>
        <v>#REF!</v>
      </c>
      <c r="U89" s="10" t="e">
        <f t="shared" si="76"/>
        <v>#REF!</v>
      </c>
      <c r="V89" s="10" t="e">
        <f t="shared" si="76"/>
        <v>#REF!</v>
      </c>
      <c r="W89" s="10" t="e">
        <f t="shared" si="76"/>
        <v>#REF!</v>
      </c>
      <c r="X89" s="10" t="e">
        <f t="shared" si="76"/>
        <v>#REF!</v>
      </c>
      <c r="Y89" s="10" t="e">
        <f t="shared" si="76"/>
        <v>#REF!</v>
      </c>
      <c r="Z89" s="10" t="e">
        <f t="shared" si="76"/>
        <v>#REF!</v>
      </c>
      <c r="AA89" s="10" t="e">
        <f t="shared" si="76"/>
        <v>#REF!</v>
      </c>
      <c r="AB89" s="10" t="e">
        <f t="shared" si="76"/>
        <v>#REF!</v>
      </c>
      <c r="AC89" s="10" t="e">
        <f t="shared" si="76"/>
        <v>#REF!</v>
      </c>
      <c r="AD89" s="10" t="e">
        <f t="shared" si="76"/>
        <v>#REF!</v>
      </c>
      <c r="AE89" s="10" t="e">
        <f t="shared" si="76"/>
        <v>#REF!</v>
      </c>
      <c r="AF89" s="10" t="e">
        <f t="shared" si="76"/>
        <v>#REF!</v>
      </c>
      <c r="AG89" s="10" t="e">
        <f t="shared" si="76"/>
        <v>#REF!</v>
      </c>
      <c r="AH89" s="10" t="e">
        <f t="shared" si="76"/>
        <v>#REF!</v>
      </c>
      <c r="AI89" s="10" t="e">
        <f t="shared" si="76"/>
        <v>#REF!</v>
      </c>
      <c r="AJ89" s="10" t="e">
        <f t="shared" si="76"/>
        <v>#REF!</v>
      </c>
      <c r="AK89" s="10" t="e">
        <f t="shared" si="76"/>
        <v>#REF!</v>
      </c>
      <c r="AL89" s="10" t="e">
        <f t="shared" si="76"/>
        <v>#REF!</v>
      </c>
      <c r="AM89" s="10" t="e">
        <f t="shared" si="76"/>
        <v>#REF!</v>
      </c>
      <c r="AN89" s="10" t="e">
        <f t="shared" si="76"/>
        <v>#REF!</v>
      </c>
      <c r="AO89" s="10" t="e">
        <f t="shared" si="76"/>
        <v>#REF!</v>
      </c>
      <c r="AP89" s="10" t="e">
        <f t="shared" si="76"/>
        <v>#REF!</v>
      </c>
      <c r="AQ89" s="10" t="e">
        <f t="shared" si="76"/>
        <v>#REF!</v>
      </c>
      <c r="AR89" s="10" t="e">
        <f t="shared" si="76"/>
        <v>#REF!</v>
      </c>
      <c r="AS89" s="10" t="e">
        <f t="shared" si="76"/>
        <v>#REF!</v>
      </c>
      <c r="AT89" s="10" t="e">
        <f t="shared" si="76"/>
        <v>#REF!</v>
      </c>
      <c r="AU89" s="10" t="e">
        <f t="shared" si="76"/>
        <v>#REF!</v>
      </c>
      <c r="AV89" s="10" t="e">
        <f t="shared" si="76"/>
        <v>#REF!</v>
      </c>
      <c r="AW89" s="10" t="e">
        <f t="shared" si="76"/>
        <v>#REF!</v>
      </c>
      <c r="AX89" s="10" t="e">
        <f t="shared" si="76"/>
        <v>#REF!</v>
      </c>
      <c r="AY89" s="10" t="e">
        <f t="shared" si="76"/>
        <v>#REF!</v>
      </c>
      <c r="AZ89" s="10" t="e">
        <f t="shared" si="76"/>
        <v>#REF!</v>
      </c>
      <c r="BA89" s="10" t="e">
        <f t="shared" si="76"/>
        <v>#REF!</v>
      </c>
      <c r="BB89" s="10" t="e">
        <f t="shared" si="76"/>
        <v>#REF!</v>
      </c>
      <c r="BC89" s="10" t="e">
        <f t="shared" si="76"/>
        <v>#REF!</v>
      </c>
      <c r="BD89" s="10" t="e">
        <f t="shared" si="76"/>
        <v>#REF!</v>
      </c>
      <c r="BE89" s="10" t="e">
        <f t="shared" si="76"/>
        <v>#REF!</v>
      </c>
      <c r="BF89" s="10" t="e">
        <f t="shared" si="76"/>
        <v>#REF!</v>
      </c>
      <c r="BG89" s="10" t="e">
        <f t="shared" si="76"/>
        <v>#REF!</v>
      </c>
      <c r="BH89" s="10" t="e">
        <f t="shared" si="76"/>
        <v>#REF!</v>
      </c>
      <c r="BI89" s="10" t="e">
        <f t="shared" si="76"/>
        <v>#REF!</v>
      </c>
      <c r="BJ89" s="10" t="e">
        <f t="shared" si="76"/>
        <v>#REF!</v>
      </c>
      <c r="BK89" s="10" t="e">
        <f t="shared" si="76"/>
        <v>#REF!</v>
      </c>
      <c r="BL89" s="10" t="e">
        <f t="shared" si="76"/>
        <v>#REF!</v>
      </c>
      <c r="BM89" s="10" t="e">
        <f t="shared" si="76"/>
        <v>#REF!</v>
      </c>
      <c r="BN89" s="10" t="e">
        <f t="shared" si="76"/>
        <v>#REF!</v>
      </c>
      <c r="BO89" s="10" t="e">
        <f t="shared" si="76"/>
        <v>#REF!</v>
      </c>
      <c r="BP89" s="10" t="e">
        <f t="shared" si="76"/>
        <v>#REF!</v>
      </c>
      <c r="BQ89" s="10" t="e">
        <f t="shared" si="76"/>
        <v>#REF!</v>
      </c>
      <c r="BR89" s="10" t="e">
        <f t="shared" si="76"/>
        <v>#REF!</v>
      </c>
      <c r="BS89" s="10" t="e">
        <f t="shared" si="76"/>
        <v>#REF!</v>
      </c>
      <c r="BT89" s="10" t="e">
        <f t="shared" si="76"/>
        <v>#REF!</v>
      </c>
      <c r="BU89" s="10" t="e">
        <f t="shared" si="76"/>
        <v>#REF!</v>
      </c>
      <c r="BV89" s="10" t="e">
        <f t="shared" si="76"/>
        <v>#REF!</v>
      </c>
      <c r="BW89" s="10" t="e">
        <f t="shared" si="76"/>
        <v>#REF!</v>
      </c>
      <c r="BX89" s="10" t="e">
        <f t="shared" si="76"/>
        <v>#REF!</v>
      </c>
      <c r="BY89" s="10" t="e">
        <f t="shared" si="76"/>
        <v>#REF!</v>
      </c>
      <c r="BZ89" s="10" t="e">
        <f t="shared" si="76"/>
        <v>#REF!</v>
      </c>
      <c r="CA89" s="10" t="e">
        <f t="shared" si="76"/>
        <v>#REF!</v>
      </c>
      <c r="CB89" s="10" t="e">
        <f t="shared" si="76"/>
        <v>#REF!</v>
      </c>
      <c r="CC89" s="10" t="e">
        <f t="shared" ref="CC89:CQ89" si="77">CC85+CC86-CC87-CC88</f>
        <v>#REF!</v>
      </c>
      <c r="CD89" s="10" t="e">
        <f t="shared" si="77"/>
        <v>#REF!</v>
      </c>
      <c r="CE89" s="10" t="e">
        <f t="shared" si="77"/>
        <v>#REF!</v>
      </c>
      <c r="CF89" s="10" t="e">
        <f t="shared" si="77"/>
        <v>#REF!</v>
      </c>
      <c r="CG89" s="10" t="e">
        <f t="shared" si="77"/>
        <v>#REF!</v>
      </c>
      <c r="CH89" s="10" t="e">
        <f t="shared" si="77"/>
        <v>#REF!</v>
      </c>
      <c r="CI89" s="10" t="e">
        <f t="shared" si="77"/>
        <v>#REF!</v>
      </c>
      <c r="CJ89" s="10" t="e">
        <f t="shared" si="77"/>
        <v>#REF!</v>
      </c>
      <c r="CK89" s="10" t="e">
        <f t="shared" si="77"/>
        <v>#REF!</v>
      </c>
      <c r="CL89" s="10" t="e">
        <f t="shared" si="77"/>
        <v>#REF!</v>
      </c>
      <c r="CM89" s="10" t="e">
        <f t="shared" si="77"/>
        <v>#REF!</v>
      </c>
      <c r="CN89" s="10" t="e">
        <f t="shared" si="77"/>
        <v>#REF!</v>
      </c>
      <c r="CO89" s="10" t="e">
        <f t="shared" si="77"/>
        <v>#REF!</v>
      </c>
      <c r="CP89" s="10" t="e">
        <f t="shared" si="77"/>
        <v>#REF!</v>
      </c>
      <c r="CQ89" s="10" t="e">
        <f t="shared" si="77"/>
        <v>#REF!</v>
      </c>
      <c r="CR89" s="10" t="e">
        <f t="shared" ref="CR89:CT89" si="78">CR85+CR86-CR87-CR88</f>
        <v>#REF!</v>
      </c>
      <c r="CS89" s="10" t="e">
        <f t="shared" si="78"/>
        <v>#REF!</v>
      </c>
      <c r="CT89" s="10" t="e">
        <f t="shared" si="78"/>
        <v>#REF!</v>
      </c>
      <c r="CU89" s="10"/>
      <c r="CV89" s="10"/>
      <c r="CW89" s="10"/>
      <c r="CX89" s="10"/>
      <c r="CY89" s="10"/>
      <c r="CZ89" s="10"/>
      <c r="DA89" s="10"/>
      <c r="DB89" s="10"/>
      <c r="DC89" s="10"/>
      <c r="DD89" s="10"/>
    </row>
    <row r="90" spans="1:108" ht="12.75" customHeight="1" x14ac:dyDescent="0.25">
      <c r="H90" s="54"/>
      <c r="N90" s="19"/>
    </row>
    <row r="91" spans="1:108" ht="12.75" customHeight="1" x14ac:dyDescent="0.25">
      <c r="B91" s="21" t="s">
        <v>79</v>
      </c>
      <c r="H91" s="54"/>
      <c r="N91" s="19"/>
    </row>
    <row r="92" spans="1:108" ht="12.75" customHeight="1" x14ac:dyDescent="0.25">
      <c r="H92" s="54"/>
      <c r="N92" s="19"/>
    </row>
    <row r="93" spans="1:108" ht="12.75" customHeight="1" x14ac:dyDescent="0.25">
      <c r="C93" t="s">
        <v>244</v>
      </c>
      <c r="H93" s="54" t="s">
        <v>13</v>
      </c>
      <c r="N93" s="19"/>
      <c r="P93" s="68">
        <f>Timing!R47</f>
        <v>0</v>
      </c>
      <c r="Q93" s="68">
        <f>Timing!S47</f>
        <v>0</v>
      </c>
      <c r="R93" s="68">
        <f>Timing!T47</f>
        <v>0</v>
      </c>
      <c r="S93" s="68">
        <f>Timing!U47</f>
        <v>0</v>
      </c>
      <c r="T93" s="68">
        <f>Timing!V47</f>
        <v>0</v>
      </c>
      <c r="U93" s="68">
        <f>Timing!W47</f>
        <v>0</v>
      </c>
      <c r="V93" s="68">
        <f>Timing!X47</f>
        <v>0</v>
      </c>
      <c r="W93" s="68">
        <f>Timing!Y47</f>
        <v>1</v>
      </c>
      <c r="X93" s="68">
        <f>Timing!Z47</f>
        <v>1</v>
      </c>
      <c r="Y93" s="68">
        <f>Timing!AA47</f>
        <v>1</v>
      </c>
      <c r="Z93" s="68">
        <f>Timing!AB47</f>
        <v>1</v>
      </c>
      <c r="AA93" s="68">
        <f>Timing!AC47</f>
        <v>1</v>
      </c>
      <c r="AB93" s="68">
        <f>Timing!AD47</f>
        <v>1</v>
      </c>
      <c r="AC93" s="68">
        <f>Timing!AE47</f>
        <v>1</v>
      </c>
      <c r="AD93" s="68">
        <f>Timing!AF47</f>
        <v>1</v>
      </c>
      <c r="AE93" s="68">
        <f>Timing!AG47</f>
        <v>1</v>
      </c>
      <c r="AF93" s="68">
        <f>Timing!AH47</f>
        <v>1</v>
      </c>
      <c r="AG93" s="68">
        <f>Timing!AI47</f>
        <v>1</v>
      </c>
      <c r="AH93" s="68">
        <f>Timing!AJ47</f>
        <v>1</v>
      </c>
      <c r="AI93" s="68">
        <f>Timing!AK47</f>
        <v>1</v>
      </c>
      <c r="AJ93" s="68">
        <f>Timing!AL47</f>
        <v>1</v>
      </c>
      <c r="AK93" s="68">
        <f>Timing!AM47</f>
        <v>1</v>
      </c>
      <c r="AL93" s="68">
        <f>Timing!AN47</f>
        <v>1</v>
      </c>
      <c r="AM93" s="68">
        <f>Timing!AO47</f>
        <v>1</v>
      </c>
      <c r="AN93" s="68">
        <f>Timing!AP47</f>
        <v>1</v>
      </c>
      <c r="AO93" s="68">
        <f>Timing!AQ47</f>
        <v>1</v>
      </c>
      <c r="AP93" s="68">
        <f>Timing!AR47</f>
        <v>1</v>
      </c>
      <c r="AQ93" s="68">
        <f>Timing!AS47</f>
        <v>1</v>
      </c>
      <c r="AR93" s="68">
        <f>Timing!AT47</f>
        <v>0</v>
      </c>
      <c r="AS93" s="68">
        <f>Timing!AU47</f>
        <v>0</v>
      </c>
      <c r="AT93" s="68">
        <f>Timing!AV47</f>
        <v>0</v>
      </c>
      <c r="AU93" s="68">
        <f>Timing!AW47</f>
        <v>0</v>
      </c>
      <c r="AV93" s="68">
        <f>Timing!AX47</f>
        <v>0</v>
      </c>
      <c r="AW93" s="68">
        <f>Timing!AY47</f>
        <v>0</v>
      </c>
      <c r="AX93" s="68">
        <f>Timing!AZ47</f>
        <v>0</v>
      </c>
      <c r="AY93" s="68">
        <f>Timing!BA47</f>
        <v>0</v>
      </c>
      <c r="AZ93" s="68">
        <f>Timing!BB47</f>
        <v>0</v>
      </c>
      <c r="BA93" s="68">
        <f>Timing!BC47</f>
        <v>0</v>
      </c>
      <c r="BB93" s="68">
        <f>Timing!BD47</f>
        <v>0</v>
      </c>
      <c r="BC93" s="68">
        <f>Timing!BE47</f>
        <v>0</v>
      </c>
      <c r="BD93" s="68">
        <f>Timing!BF47</f>
        <v>0</v>
      </c>
      <c r="BE93" s="68">
        <f>Timing!BG47</f>
        <v>0</v>
      </c>
      <c r="BF93" s="68">
        <f>Timing!BH47</f>
        <v>0</v>
      </c>
      <c r="BG93" s="68">
        <f>Timing!BI47</f>
        <v>0</v>
      </c>
      <c r="BH93" s="68">
        <f>Timing!BJ47</f>
        <v>0</v>
      </c>
      <c r="BI93" s="68">
        <f>Timing!BK47</f>
        <v>0</v>
      </c>
      <c r="BJ93" s="68">
        <f>Timing!BL47</f>
        <v>0</v>
      </c>
      <c r="BK93" s="68">
        <f>Timing!BM47</f>
        <v>0</v>
      </c>
      <c r="BL93" s="68">
        <f>Timing!BN47</f>
        <v>0</v>
      </c>
      <c r="BM93" s="68">
        <f>Timing!BO47</f>
        <v>0</v>
      </c>
      <c r="BN93" s="68">
        <f>Timing!BP47</f>
        <v>0</v>
      </c>
      <c r="BO93" s="68">
        <f>Timing!BQ47</f>
        <v>0</v>
      </c>
      <c r="BP93" s="68">
        <f>Timing!BR47</f>
        <v>0</v>
      </c>
      <c r="BQ93" s="68">
        <f>Timing!BS47</f>
        <v>0</v>
      </c>
      <c r="BR93" s="68">
        <f>Timing!BT47</f>
        <v>0</v>
      </c>
      <c r="BS93" s="68">
        <f>Timing!BU47</f>
        <v>0</v>
      </c>
      <c r="BT93" s="68">
        <f>Timing!BV47</f>
        <v>0</v>
      </c>
      <c r="BU93" s="68">
        <f>Timing!BW47</f>
        <v>0</v>
      </c>
      <c r="BV93" s="68">
        <f>Timing!BX47</f>
        <v>0</v>
      </c>
      <c r="BW93" s="68">
        <f>Timing!BY47</f>
        <v>0</v>
      </c>
      <c r="BX93" s="68">
        <f>Timing!BZ47</f>
        <v>0</v>
      </c>
      <c r="BY93" s="68">
        <f>Timing!CA47</f>
        <v>0</v>
      </c>
      <c r="BZ93" s="68">
        <f>Timing!CB47</f>
        <v>0</v>
      </c>
      <c r="CA93" s="68">
        <f>Timing!CC47</f>
        <v>0</v>
      </c>
      <c r="CB93" s="68">
        <f>Timing!CD47</f>
        <v>0</v>
      </c>
      <c r="CC93" s="68">
        <f>Timing!CE47</f>
        <v>0</v>
      </c>
      <c r="CD93" s="68">
        <f>Timing!CF47</f>
        <v>0</v>
      </c>
      <c r="CE93" s="68">
        <f>Timing!CG47</f>
        <v>0</v>
      </c>
      <c r="CF93" s="68">
        <f>Timing!CH47</f>
        <v>0</v>
      </c>
      <c r="CG93" s="68">
        <f>Timing!CI47</f>
        <v>0</v>
      </c>
      <c r="CH93" s="68">
        <f>Timing!CJ47</f>
        <v>0</v>
      </c>
      <c r="CI93" s="68">
        <f>Timing!CK47</f>
        <v>0</v>
      </c>
      <c r="CJ93" s="68">
        <f>Timing!CL47</f>
        <v>0</v>
      </c>
      <c r="CK93" s="68">
        <f>Timing!CM47</f>
        <v>0</v>
      </c>
      <c r="CL93" s="68">
        <f>Timing!CN47</f>
        <v>0</v>
      </c>
      <c r="CM93" s="68">
        <f>Timing!CO47</f>
        <v>0</v>
      </c>
      <c r="CN93" s="68">
        <f>Timing!CP47</f>
        <v>0</v>
      </c>
      <c r="CO93" s="68">
        <f>Timing!CQ47</f>
        <v>0</v>
      </c>
      <c r="CP93" s="68">
        <f>Timing!CR47</f>
        <v>0</v>
      </c>
      <c r="CQ93" s="68">
        <f>Timing!CS47</f>
        <v>0</v>
      </c>
      <c r="CR93" s="68">
        <f>Timing!CT47</f>
        <v>0</v>
      </c>
      <c r="CS93" s="68">
        <f>Timing!CU47</f>
        <v>0</v>
      </c>
      <c r="CT93" s="68">
        <f>Timing!CV47</f>
        <v>0</v>
      </c>
      <c r="CU93" s="68"/>
      <c r="CV93" s="68"/>
      <c r="CW93" s="68"/>
      <c r="CX93" s="68"/>
      <c r="CY93" s="68"/>
      <c r="CZ93" s="68"/>
      <c r="DA93" s="68"/>
      <c r="DB93" s="68"/>
      <c r="DC93" s="68"/>
      <c r="DD93" s="68"/>
    </row>
    <row r="94" spans="1:108" ht="12.75" customHeight="1" x14ac:dyDescent="0.25">
      <c r="C94" t="s">
        <v>245</v>
      </c>
      <c r="H94" s="54" t="s">
        <v>3</v>
      </c>
      <c r="J94" s="38" t="s">
        <v>246</v>
      </c>
      <c r="N94" s="19"/>
      <c r="P94" s="10" t="e">
        <f>CF!P32</f>
        <v>#REF!</v>
      </c>
      <c r="Q94" s="10" t="e">
        <f>CF!Q32</f>
        <v>#REF!</v>
      </c>
      <c r="R94" s="10" t="e">
        <f>CF!R32</f>
        <v>#REF!</v>
      </c>
      <c r="S94" s="10" t="e">
        <f>CF!S32</f>
        <v>#REF!</v>
      </c>
      <c r="T94" s="10" t="e">
        <f>CF!T32</f>
        <v>#REF!</v>
      </c>
      <c r="U94" s="10" t="e">
        <f>CF!U32</f>
        <v>#REF!</v>
      </c>
      <c r="V94" s="10" t="e">
        <f>CF!V32</f>
        <v>#REF!</v>
      </c>
      <c r="W94" s="10" t="e">
        <f>CF!W32</f>
        <v>#REF!</v>
      </c>
      <c r="X94" s="10" t="e">
        <f>CF!X32</f>
        <v>#REF!</v>
      </c>
      <c r="Y94" s="10" t="e">
        <f>CF!Y32</f>
        <v>#REF!</v>
      </c>
      <c r="Z94" s="10" t="e">
        <f>CF!Z32</f>
        <v>#REF!</v>
      </c>
      <c r="AA94" s="10" t="e">
        <f>CF!AA32</f>
        <v>#REF!</v>
      </c>
      <c r="AB94" s="10" t="e">
        <f>CF!AB32</f>
        <v>#REF!</v>
      </c>
      <c r="AC94" s="10" t="e">
        <f>CF!AC32</f>
        <v>#REF!</v>
      </c>
      <c r="AD94" s="10" t="e">
        <f>CF!AD32</f>
        <v>#REF!</v>
      </c>
      <c r="AE94" s="10" t="e">
        <f>CF!AE32</f>
        <v>#REF!</v>
      </c>
      <c r="AF94" s="10" t="e">
        <f>CF!AF32</f>
        <v>#REF!</v>
      </c>
      <c r="AG94" s="10" t="e">
        <f>CF!AG32</f>
        <v>#REF!</v>
      </c>
      <c r="AH94" s="10" t="e">
        <f>CF!AH32</f>
        <v>#REF!</v>
      </c>
      <c r="AI94" s="10" t="e">
        <f>CF!AI32</f>
        <v>#REF!</v>
      </c>
      <c r="AJ94" s="10" t="e">
        <f>CF!AJ32</f>
        <v>#REF!</v>
      </c>
      <c r="AK94" s="10" t="e">
        <f>CF!AK32</f>
        <v>#REF!</v>
      </c>
      <c r="AL94" s="10" t="e">
        <f>CF!AL32</f>
        <v>#REF!</v>
      </c>
      <c r="AM94" s="10" t="e">
        <f>CF!AM32</f>
        <v>#REF!</v>
      </c>
      <c r="AN94" s="10" t="e">
        <f>CF!AN32</f>
        <v>#REF!</v>
      </c>
      <c r="AO94" s="10" t="e">
        <f>CF!AO32</f>
        <v>#REF!</v>
      </c>
      <c r="AP94" s="10" t="e">
        <f>CF!AP32</f>
        <v>#REF!</v>
      </c>
      <c r="AQ94" s="10" t="e">
        <f>CF!AQ32</f>
        <v>#REF!</v>
      </c>
      <c r="AR94" s="10" t="e">
        <f>CF!AR32</f>
        <v>#REF!</v>
      </c>
      <c r="AS94" s="10" t="e">
        <f>CF!AS32</f>
        <v>#REF!</v>
      </c>
      <c r="AT94" s="10" t="e">
        <f>CF!AT32</f>
        <v>#REF!</v>
      </c>
      <c r="AU94" s="10" t="e">
        <f>CF!AU32</f>
        <v>#REF!</v>
      </c>
      <c r="AV94" s="10" t="e">
        <f>CF!AV32</f>
        <v>#REF!</v>
      </c>
      <c r="AW94" s="10" t="e">
        <f>CF!AW32</f>
        <v>#REF!</v>
      </c>
      <c r="AX94" s="10" t="e">
        <f>CF!AX32</f>
        <v>#REF!</v>
      </c>
      <c r="AY94" s="10" t="e">
        <f>CF!AY32</f>
        <v>#REF!</v>
      </c>
      <c r="AZ94" s="10" t="e">
        <f>CF!AZ32</f>
        <v>#REF!</v>
      </c>
      <c r="BA94" s="10" t="e">
        <f>CF!BA32</f>
        <v>#REF!</v>
      </c>
      <c r="BB94" s="10" t="e">
        <f>CF!BB32</f>
        <v>#REF!</v>
      </c>
      <c r="BC94" s="10" t="e">
        <f>CF!BC32</f>
        <v>#REF!</v>
      </c>
      <c r="BD94" s="10" t="e">
        <f>CF!BD32</f>
        <v>#REF!</v>
      </c>
      <c r="BE94" s="10" t="e">
        <f>CF!BE32</f>
        <v>#REF!</v>
      </c>
      <c r="BF94" s="10" t="e">
        <f>CF!BF32</f>
        <v>#REF!</v>
      </c>
      <c r="BG94" s="10" t="e">
        <f>CF!BG32</f>
        <v>#REF!</v>
      </c>
      <c r="BH94" s="10" t="e">
        <f>CF!BH32</f>
        <v>#REF!</v>
      </c>
      <c r="BI94" s="10" t="e">
        <f>CF!BI32</f>
        <v>#REF!</v>
      </c>
      <c r="BJ94" s="10" t="e">
        <f>CF!BJ32</f>
        <v>#REF!</v>
      </c>
      <c r="BK94" s="10" t="e">
        <f>CF!BK32</f>
        <v>#REF!</v>
      </c>
      <c r="BL94" s="10" t="e">
        <f>CF!BL32</f>
        <v>#REF!</v>
      </c>
      <c r="BM94" s="10" t="e">
        <f>CF!BM32</f>
        <v>#REF!</v>
      </c>
      <c r="BN94" s="10" t="e">
        <f>CF!BN32</f>
        <v>#REF!</v>
      </c>
      <c r="BO94" s="10" t="e">
        <f>CF!BO32</f>
        <v>#REF!</v>
      </c>
      <c r="BP94" s="10" t="e">
        <f>CF!BP32</f>
        <v>#REF!</v>
      </c>
      <c r="BQ94" s="10" t="e">
        <f>CF!BQ32</f>
        <v>#REF!</v>
      </c>
      <c r="BR94" s="10" t="e">
        <f>CF!BR32</f>
        <v>#REF!</v>
      </c>
      <c r="BS94" s="10" t="e">
        <f>CF!BS32</f>
        <v>#REF!</v>
      </c>
      <c r="BT94" s="10" t="e">
        <f>CF!BT32</f>
        <v>#REF!</v>
      </c>
      <c r="BU94" s="10" t="e">
        <f>CF!BU32</f>
        <v>#REF!</v>
      </c>
      <c r="BV94" s="10" t="e">
        <f>CF!BV32</f>
        <v>#REF!</v>
      </c>
      <c r="BW94" s="10" t="e">
        <f>CF!BW32</f>
        <v>#REF!</v>
      </c>
      <c r="BX94" s="10" t="e">
        <f>CF!BX32</f>
        <v>#REF!</v>
      </c>
      <c r="BY94" s="10" t="e">
        <f>CF!BY32</f>
        <v>#REF!</v>
      </c>
      <c r="BZ94" s="10" t="e">
        <f>CF!BZ32</f>
        <v>#REF!</v>
      </c>
      <c r="CA94" s="10" t="e">
        <f>CF!CA32</f>
        <v>#REF!</v>
      </c>
      <c r="CB94" s="10" t="e">
        <f>CF!CB32</f>
        <v>#REF!</v>
      </c>
      <c r="CC94" s="10" t="e">
        <f>CF!CC32</f>
        <v>#REF!</v>
      </c>
      <c r="CD94" s="10" t="e">
        <f>CF!CD32</f>
        <v>#REF!</v>
      </c>
      <c r="CE94" s="10" t="e">
        <f>CF!CE32</f>
        <v>#REF!</v>
      </c>
      <c r="CF94" s="10" t="e">
        <f>CF!CF32</f>
        <v>#REF!</v>
      </c>
      <c r="CG94" s="10" t="e">
        <f>CF!CG32</f>
        <v>#REF!</v>
      </c>
      <c r="CH94" s="10" t="e">
        <f>CF!CH32</f>
        <v>#REF!</v>
      </c>
      <c r="CI94" s="10" t="e">
        <f>CF!CI32</f>
        <v>#REF!</v>
      </c>
      <c r="CJ94" s="10" t="e">
        <f>CF!CJ32</f>
        <v>#REF!</v>
      </c>
      <c r="CK94" s="10" t="e">
        <f>CF!CK32</f>
        <v>#REF!</v>
      </c>
      <c r="CL94" s="10" t="e">
        <f>CF!CL32</f>
        <v>#REF!</v>
      </c>
      <c r="CM94" s="10" t="e">
        <f>CF!CM32</f>
        <v>#REF!</v>
      </c>
      <c r="CN94" s="10" t="e">
        <f>CF!CN32</f>
        <v>#REF!</v>
      </c>
      <c r="CO94" s="10" t="e">
        <f>CF!CO32</f>
        <v>#REF!</v>
      </c>
      <c r="CP94" s="10" t="e">
        <f>CF!CP32</f>
        <v>#REF!</v>
      </c>
      <c r="CQ94" s="10" t="e">
        <f>CF!CQ32</f>
        <v>#REF!</v>
      </c>
      <c r="CR94" s="10" t="e">
        <f>CF!CR32</f>
        <v>#REF!</v>
      </c>
      <c r="CS94" s="10" t="e">
        <f>CF!CS32</f>
        <v>#REF!</v>
      </c>
      <c r="CT94" s="10" t="e">
        <f>CF!CT32</f>
        <v>#REF!</v>
      </c>
      <c r="CU94" s="10"/>
      <c r="CV94" s="10"/>
      <c r="CW94" s="10"/>
      <c r="CX94" s="10"/>
      <c r="CY94" s="10"/>
      <c r="CZ94" s="10"/>
      <c r="DA94" s="10"/>
      <c r="DB94" s="10"/>
      <c r="DC94" s="10"/>
      <c r="DD94" s="10"/>
    </row>
    <row r="95" spans="1:108" ht="12.75" customHeight="1" x14ac:dyDescent="0.25">
      <c r="C95" t="s">
        <v>247</v>
      </c>
      <c r="H95" s="54" t="s">
        <v>3</v>
      </c>
      <c r="J95" s="196">
        <f>InputC!K122</f>
        <v>0</v>
      </c>
      <c r="N95" s="25" t="e">
        <f t="shared" ref="N95" si="79">SUM(P95:DB95)</f>
        <v>#REF!</v>
      </c>
      <c r="P95" s="10" t="e">
        <f>MIN($J95*P94,P85-P87)</f>
        <v>#REF!</v>
      </c>
      <c r="Q95" s="10" t="e">
        <f t="shared" ref="Q95:CB95" si="80">MIN($J95*Q94,Q85-Q87)</f>
        <v>#REF!</v>
      </c>
      <c r="R95" s="10" t="e">
        <f t="shared" si="80"/>
        <v>#REF!</v>
      </c>
      <c r="S95" s="10" t="e">
        <f t="shared" si="80"/>
        <v>#REF!</v>
      </c>
      <c r="T95" s="10" t="e">
        <f t="shared" si="80"/>
        <v>#REF!</v>
      </c>
      <c r="U95" s="10" t="e">
        <f t="shared" si="80"/>
        <v>#REF!</v>
      </c>
      <c r="V95" s="10" t="e">
        <f t="shared" si="80"/>
        <v>#REF!</v>
      </c>
      <c r="W95" s="10" t="e">
        <f t="shared" si="80"/>
        <v>#REF!</v>
      </c>
      <c r="X95" s="10" t="e">
        <f t="shared" si="80"/>
        <v>#REF!</v>
      </c>
      <c r="Y95" s="10" t="e">
        <f t="shared" si="80"/>
        <v>#REF!</v>
      </c>
      <c r="Z95" s="10" t="e">
        <f t="shared" si="80"/>
        <v>#REF!</v>
      </c>
      <c r="AA95" s="10" t="e">
        <f t="shared" si="80"/>
        <v>#REF!</v>
      </c>
      <c r="AB95" s="10" t="e">
        <f t="shared" si="80"/>
        <v>#REF!</v>
      </c>
      <c r="AC95" s="10" t="e">
        <f t="shared" si="80"/>
        <v>#REF!</v>
      </c>
      <c r="AD95" s="10" t="e">
        <f t="shared" si="80"/>
        <v>#REF!</v>
      </c>
      <c r="AE95" s="10" t="e">
        <f t="shared" si="80"/>
        <v>#REF!</v>
      </c>
      <c r="AF95" s="10" t="e">
        <f t="shared" si="80"/>
        <v>#REF!</v>
      </c>
      <c r="AG95" s="10" t="e">
        <f t="shared" si="80"/>
        <v>#REF!</v>
      </c>
      <c r="AH95" s="10" t="e">
        <f t="shared" si="80"/>
        <v>#REF!</v>
      </c>
      <c r="AI95" s="10" t="e">
        <f t="shared" si="80"/>
        <v>#REF!</v>
      </c>
      <c r="AJ95" s="10" t="e">
        <f t="shared" si="80"/>
        <v>#REF!</v>
      </c>
      <c r="AK95" s="10" t="e">
        <f t="shared" si="80"/>
        <v>#REF!</v>
      </c>
      <c r="AL95" s="10" t="e">
        <f t="shared" si="80"/>
        <v>#REF!</v>
      </c>
      <c r="AM95" s="10" t="e">
        <f t="shared" si="80"/>
        <v>#REF!</v>
      </c>
      <c r="AN95" s="10" t="e">
        <f t="shared" si="80"/>
        <v>#REF!</v>
      </c>
      <c r="AO95" s="10" t="e">
        <f t="shared" si="80"/>
        <v>#REF!</v>
      </c>
      <c r="AP95" s="10" t="e">
        <f t="shared" si="80"/>
        <v>#REF!</v>
      </c>
      <c r="AQ95" s="10" t="e">
        <f t="shared" si="80"/>
        <v>#REF!</v>
      </c>
      <c r="AR95" s="10" t="e">
        <f t="shared" si="80"/>
        <v>#REF!</v>
      </c>
      <c r="AS95" s="10" t="e">
        <f t="shared" si="80"/>
        <v>#REF!</v>
      </c>
      <c r="AT95" s="10" t="e">
        <f t="shared" si="80"/>
        <v>#REF!</v>
      </c>
      <c r="AU95" s="10" t="e">
        <f t="shared" si="80"/>
        <v>#REF!</v>
      </c>
      <c r="AV95" s="10" t="e">
        <f t="shared" si="80"/>
        <v>#REF!</v>
      </c>
      <c r="AW95" s="10" t="e">
        <f t="shared" si="80"/>
        <v>#REF!</v>
      </c>
      <c r="AX95" s="10" t="e">
        <f t="shared" si="80"/>
        <v>#REF!</v>
      </c>
      <c r="AY95" s="10" t="e">
        <f t="shared" si="80"/>
        <v>#REF!</v>
      </c>
      <c r="AZ95" s="10" t="e">
        <f t="shared" si="80"/>
        <v>#REF!</v>
      </c>
      <c r="BA95" s="10" t="e">
        <f t="shared" si="80"/>
        <v>#REF!</v>
      </c>
      <c r="BB95" s="10" t="e">
        <f t="shared" si="80"/>
        <v>#REF!</v>
      </c>
      <c r="BC95" s="10" t="e">
        <f t="shared" si="80"/>
        <v>#REF!</v>
      </c>
      <c r="BD95" s="10" t="e">
        <f t="shared" si="80"/>
        <v>#REF!</v>
      </c>
      <c r="BE95" s="10" t="e">
        <f t="shared" si="80"/>
        <v>#REF!</v>
      </c>
      <c r="BF95" s="10" t="e">
        <f t="shared" si="80"/>
        <v>#REF!</v>
      </c>
      <c r="BG95" s="10" t="e">
        <f t="shared" si="80"/>
        <v>#REF!</v>
      </c>
      <c r="BH95" s="10" t="e">
        <f t="shared" si="80"/>
        <v>#REF!</v>
      </c>
      <c r="BI95" s="10" t="e">
        <f t="shared" si="80"/>
        <v>#REF!</v>
      </c>
      <c r="BJ95" s="10" t="e">
        <f t="shared" si="80"/>
        <v>#REF!</v>
      </c>
      <c r="BK95" s="10" t="e">
        <f t="shared" si="80"/>
        <v>#REF!</v>
      </c>
      <c r="BL95" s="10" t="e">
        <f t="shared" si="80"/>
        <v>#REF!</v>
      </c>
      <c r="BM95" s="10" t="e">
        <f t="shared" si="80"/>
        <v>#REF!</v>
      </c>
      <c r="BN95" s="10" t="e">
        <f t="shared" si="80"/>
        <v>#REF!</v>
      </c>
      <c r="BO95" s="10" t="e">
        <f t="shared" si="80"/>
        <v>#REF!</v>
      </c>
      <c r="BP95" s="10" t="e">
        <f t="shared" si="80"/>
        <v>#REF!</v>
      </c>
      <c r="BQ95" s="10" t="e">
        <f t="shared" si="80"/>
        <v>#REF!</v>
      </c>
      <c r="BR95" s="10" t="e">
        <f t="shared" si="80"/>
        <v>#REF!</v>
      </c>
      <c r="BS95" s="10" t="e">
        <f t="shared" si="80"/>
        <v>#REF!</v>
      </c>
      <c r="BT95" s="10" t="e">
        <f t="shared" si="80"/>
        <v>#REF!</v>
      </c>
      <c r="BU95" s="10" t="e">
        <f t="shared" si="80"/>
        <v>#REF!</v>
      </c>
      <c r="BV95" s="10" t="e">
        <f t="shared" si="80"/>
        <v>#REF!</v>
      </c>
      <c r="BW95" s="10" t="e">
        <f t="shared" si="80"/>
        <v>#REF!</v>
      </c>
      <c r="BX95" s="10" t="e">
        <f t="shared" si="80"/>
        <v>#REF!</v>
      </c>
      <c r="BY95" s="10" t="e">
        <f t="shared" si="80"/>
        <v>#REF!</v>
      </c>
      <c r="BZ95" s="10" t="e">
        <f t="shared" si="80"/>
        <v>#REF!</v>
      </c>
      <c r="CA95" s="10" t="e">
        <f t="shared" si="80"/>
        <v>#REF!</v>
      </c>
      <c r="CB95" s="10" t="e">
        <f t="shared" si="80"/>
        <v>#REF!</v>
      </c>
      <c r="CC95" s="10" t="e">
        <f t="shared" ref="CC95:CQ95" si="81">MIN($J95*CC94,CC85-CC87)</f>
        <v>#REF!</v>
      </c>
      <c r="CD95" s="10" t="e">
        <f t="shared" si="81"/>
        <v>#REF!</v>
      </c>
      <c r="CE95" s="10" t="e">
        <f t="shared" si="81"/>
        <v>#REF!</v>
      </c>
      <c r="CF95" s="10" t="e">
        <f t="shared" si="81"/>
        <v>#REF!</v>
      </c>
      <c r="CG95" s="10" t="e">
        <f t="shared" si="81"/>
        <v>#REF!</v>
      </c>
      <c r="CH95" s="10" t="e">
        <f t="shared" si="81"/>
        <v>#REF!</v>
      </c>
      <c r="CI95" s="10" t="e">
        <f t="shared" si="81"/>
        <v>#REF!</v>
      </c>
      <c r="CJ95" s="10" t="e">
        <f t="shared" si="81"/>
        <v>#REF!</v>
      </c>
      <c r="CK95" s="10" t="e">
        <f t="shared" si="81"/>
        <v>#REF!</v>
      </c>
      <c r="CL95" s="10" t="e">
        <f t="shared" si="81"/>
        <v>#REF!</v>
      </c>
      <c r="CM95" s="10" t="e">
        <f t="shared" si="81"/>
        <v>#REF!</v>
      </c>
      <c r="CN95" s="10" t="e">
        <f t="shared" si="81"/>
        <v>#REF!</v>
      </c>
      <c r="CO95" s="10" t="e">
        <f t="shared" si="81"/>
        <v>#REF!</v>
      </c>
      <c r="CP95" s="10" t="e">
        <f t="shared" si="81"/>
        <v>#REF!</v>
      </c>
      <c r="CQ95" s="10" t="e">
        <f t="shared" si="81"/>
        <v>#REF!</v>
      </c>
      <c r="CR95" s="10" t="e">
        <f t="shared" ref="CR95:CT95" si="82">MIN($J95*CR94,CR85-CR87)</f>
        <v>#REF!</v>
      </c>
      <c r="CS95" s="10" t="e">
        <f t="shared" si="82"/>
        <v>#REF!</v>
      </c>
      <c r="CT95" s="10" t="e">
        <f t="shared" si="82"/>
        <v>#REF!</v>
      </c>
      <c r="CU95" s="10"/>
      <c r="CV95" s="10"/>
      <c r="CW95" s="10"/>
      <c r="CX95" s="10"/>
      <c r="CY95" s="10"/>
      <c r="CZ95" s="10"/>
      <c r="DA95" s="10"/>
      <c r="DB95" s="10"/>
      <c r="DC95" s="10"/>
      <c r="DD95" s="10"/>
    </row>
    <row r="96" spans="1:108" ht="12.75" customHeight="1" x14ac:dyDescent="0.25">
      <c r="H96" s="54"/>
      <c r="N96" s="19"/>
    </row>
    <row r="97" spans="1:108" ht="12.75" customHeight="1" x14ac:dyDescent="0.25">
      <c r="B97" s="21" t="s">
        <v>239</v>
      </c>
      <c r="H97" s="54"/>
      <c r="N97" s="19"/>
    </row>
    <row r="98" spans="1:108" ht="12.75" customHeight="1" x14ac:dyDescent="0.25">
      <c r="H98" s="54"/>
      <c r="N98" s="19"/>
    </row>
    <row r="99" spans="1:108" ht="12.75" customHeight="1" x14ac:dyDescent="0.25">
      <c r="C99" t="s">
        <v>218</v>
      </c>
      <c r="H99" s="54" t="s">
        <v>6</v>
      </c>
      <c r="N99" s="19"/>
      <c r="P99" s="82">
        <f t="shared" ref="P99:CA101" si="83">P39</f>
        <v>0</v>
      </c>
      <c r="Q99" s="82">
        <f t="shared" si="83"/>
        <v>0</v>
      </c>
      <c r="R99" s="82">
        <f t="shared" si="83"/>
        <v>0</v>
      </c>
      <c r="S99" s="82">
        <f t="shared" si="83"/>
        <v>0.01</v>
      </c>
      <c r="T99" s="82">
        <f t="shared" si="83"/>
        <v>0.01</v>
      </c>
      <c r="U99" s="82">
        <f t="shared" si="83"/>
        <v>0.01</v>
      </c>
      <c r="V99" s="82">
        <f t="shared" si="83"/>
        <v>0.01</v>
      </c>
      <c r="W99" s="82">
        <f t="shared" si="83"/>
        <v>0.01</v>
      </c>
      <c r="X99" s="82">
        <f t="shared" si="83"/>
        <v>0.01</v>
      </c>
      <c r="Y99" s="82">
        <f t="shared" si="83"/>
        <v>0.01</v>
      </c>
      <c r="Z99" s="82">
        <f t="shared" si="83"/>
        <v>0.01</v>
      </c>
      <c r="AA99" s="82">
        <f t="shared" si="83"/>
        <v>0.01</v>
      </c>
      <c r="AB99" s="82">
        <f t="shared" si="83"/>
        <v>0.01</v>
      </c>
      <c r="AC99" s="82">
        <f t="shared" si="83"/>
        <v>0.01</v>
      </c>
      <c r="AD99" s="82">
        <f t="shared" si="83"/>
        <v>0.01</v>
      </c>
      <c r="AE99" s="82">
        <f t="shared" si="83"/>
        <v>0.01</v>
      </c>
      <c r="AF99" s="82">
        <f t="shared" si="83"/>
        <v>0.01</v>
      </c>
      <c r="AG99" s="82">
        <f t="shared" si="83"/>
        <v>0.01</v>
      </c>
      <c r="AH99" s="82">
        <f t="shared" si="83"/>
        <v>0.01</v>
      </c>
      <c r="AI99" s="82">
        <f t="shared" si="83"/>
        <v>0.01</v>
      </c>
      <c r="AJ99" s="82">
        <f t="shared" si="83"/>
        <v>0.01</v>
      </c>
      <c r="AK99" s="82">
        <f t="shared" si="83"/>
        <v>0.01</v>
      </c>
      <c r="AL99" s="82">
        <f t="shared" si="83"/>
        <v>0.01</v>
      </c>
      <c r="AM99" s="82">
        <f t="shared" si="83"/>
        <v>0.01</v>
      </c>
      <c r="AN99" s="82">
        <f t="shared" si="83"/>
        <v>0.01</v>
      </c>
      <c r="AO99" s="82">
        <f t="shared" si="83"/>
        <v>0.01</v>
      </c>
      <c r="AP99" s="82">
        <f t="shared" si="83"/>
        <v>0.01</v>
      </c>
      <c r="AQ99" s="82">
        <f t="shared" si="83"/>
        <v>0.01</v>
      </c>
      <c r="AR99" s="82">
        <f t="shared" si="83"/>
        <v>0</v>
      </c>
      <c r="AS99" s="82">
        <f t="shared" si="83"/>
        <v>0</v>
      </c>
      <c r="AT99" s="82">
        <f t="shared" si="83"/>
        <v>0</v>
      </c>
      <c r="AU99" s="82">
        <f t="shared" si="83"/>
        <v>0</v>
      </c>
      <c r="AV99" s="82">
        <f t="shared" si="83"/>
        <v>0</v>
      </c>
      <c r="AW99" s="82">
        <f t="shared" si="83"/>
        <v>0</v>
      </c>
      <c r="AX99" s="82">
        <f t="shared" si="83"/>
        <v>0</v>
      </c>
      <c r="AY99" s="82">
        <f t="shared" si="83"/>
        <v>0</v>
      </c>
      <c r="AZ99" s="82">
        <f t="shared" si="83"/>
        <v>0</v>
      </c>
      <c r="BA99" s="82">
        <f t="shared" si="83"/>
        <v>0</v>
      </c>
      <c r="BB99" s="82">
        <f t="shared" si="83"/>
        <v>0</v>
      </c>
      <c r="BC99" s="82">
        <f t="shared" si="83"/>
        <v>0</v>
      </c>
      <c r="BD99" s="82">
        <f t="shared" si="83"/>
        <v>0</v>
      </c>
      <c r="BE99" s="82">
        <f t="shared" si="83"/>
        <v>0</v>
      </c>
      <c r="BF99" s="82">
        <f t="shared" si="83"/>
        <v>0</v>
      </c>
      <c r="BG99" s="82">
        <f t="shared" si="83"/>
        <v>0</v>
      </c>
      <c r="BH99" s="82">
        <f t="shared" si="83"/>
        <v>0</v>
      </c>
      <c r="BI99" s="82">
        <f t="shared" si="83"/>
        <v>0</v>
      </c>
      <c r="BJ99" s="82">
        <f t="shared" si="83"/>
        <v>0</v>
      </c>
      <c r="BK99" s="82">
        <f t="shared" si="83"/>
        <v>0</v>
      </c>
      <c r="BL99" s="82">
        <f t="shared" si="83"/>
        <v>0</v>
      </c>
      <c r="BM99" s="82">
        <f t="shared" si="83"/>
        <v>0</v>
      </c>
      <c r="BN99" s="82">
        <f t="shared" si="83"/>
        <v>0</v>
      </c>
      <c r="BO99" s="82">
        <f t="shared" si="83"/>
        <v>0</v>
      </c>
      <c r="BP99" s="82">
        <f t="shared" si="83"/>
        <v>0</v>
      </c>
      <c r="BQ99" s="82">
        <f t="shared" si="83"/>
        <v>0</v>
      </c>
      <c r="BR99" s="82">
        <f t="shared" si="83"/>
        <v>0</v>
      </c>
      <c r="BS99" s="82">
        <f t="shared" si="83"/>
        <v>0</v>
      </c>
      <c r="BT99" s="82">
        <f t="shared" si="83"/>
        <v>0</v>
      </c>
      <c r="BU99" s="82">
        <f t="shared" si="83"/>
        <v>0</v>
      </c>
      <c r="BV99" s="82">
        <f t="shared" si="83"/>
        <v>0</v>
      </c>
      <c r="BW99" s="82">
        <f t="shared" si="83"/>
        <v>0</v>
      </c>
      <c r="BX99" s="82">
        <f t="shared" si="83"/>
        <v>0</v>
      </c>
      <c r="BY99" s="82">
        <f t="shared" si="83"/>
        <v>0</v>
      </c>
      <c r="BZ99" s="82">
        <f t="shared" si="83"/>
        <v>0</v>
      </c>
      <c r="CA99" s="82">
        <f t="shared" si="83"/>
        <v>0</v>
      </c>
      <c r="CB99" s="82">
        <f t="shared" ref="CB99:CQ101" si="84">CB39</f>
        <v>0</v>
      </c>
      <c r="CC99" s="82">
        <f t="shared" si="84"/>
        <v>0</v>
      </c>
      <c r="CD99" s="82">
        <f t="shared" si="84"/>
        <v>0</v>
      </c>
      <c r="CE99" s="82">
        <f t="shared" si="84"/>
        <v>0</v>
      </c>
      <c r="CF99" s="82">
        <f t="shared" si="84"/>
        <v>0</v>
      </c>
      <c r="CG99" s="82">
        <f t="shared" si="84"/>
        <v>0</v>
      </c>
      <c r="CH99" s="82">
        <f t="shared" si="84"/>
        <v>0</v>
      </c>
      <c r="CI99" s="82">
        <f t="shared" si="84"/>
        <v>0</v>
      </c>
      <c r="CJ99" s="82">
        <f t="shared" si="84"/>
        <v>0</v>
      </c>
      <c r="CK99" s="82">
        <f t="shared" si="84"/>
        <v>0</v>
      </c>
      <c r="CL99" s="82">
        <f t="shared" si="84"/>
        <v>0</v>
      </c>
      <c r="CM99" s="82">
        <f t="shared" si="84"/>
        <v>0</v>
      </c>
      <c r="CN99" s="82">
        <f t="shared" si="84"/>
        <v>0</v>
      </c>
      <c r="CO99" s="82">
        <f t="shared" si="84"/>
        <v>0</v>
      </c>
      <c r="CP99" s="82">
        <f t="shared" si="84"/>
        <v>0</v>
      </c>
      <c r="CQ99" s="82">
        <f t="shared" si="84"/>
        <v>0</v>
      </c>
      <c r="CR99" s="82">
        <f t="shared" ref="CR99:CT99" si="85">CR39</f>
        <v>0</v>
      </c>
      <c r="CS99" s="82">
        <f t="shared" si="85"/>
        <v>0</v>
      </c>
      <c r="CT99" s="82">
        <f t="shared" si="85"/>
        <v>0</v>
      </c>
      <c r="CU99" s="82"/>
      <c r="CV99" s="82"/>
      <c r="CW99" s="82"/>
      <c r="CX99" s="82"/>
      <c r="CY99" s="82"/>
      <c r="CZ99" s="82"/>
      <c r="DA99" s="82"/>
      <c r="DB99" s="82"/>
      <c r="DC99" s="82"/>
      <c r="DD99" s="82"/>
    </row>
    <row r="100" spans="1:108" ht="12.75" customHeight="1" x14ac:dyDescent="0.25">
      <c r="C100" t="s">
        <v>219</v>
      </c>
      <c r="H100" s="54" t="s">
        <v>6</v>
      </c>
      <c r="J100" s="96"/>
      <c r="N100" s="19"/>
      <c r="P100" s="82">
        <f t="shared" si="83"/>
        <v>0</v>
      </c>
      <c r="Q100" s="82">
        <f t="shared" si="83"/>
        <v>0</v>
      </c>
      <c r="R100" s="82">
        <f t="shared" si="83"/>
        <v>0</v>
      </c>
      <c r="S100" s="82">
        <f t="shared" si="83"/>
        <v>1.2999999999999999E-2</v>
      </c>
      <c r="T100" s="82">
        <f t="shared" si="83"/>
        <v>1.2999999999999999E-2</v>
      </c>
      <c r="U100" s="82">
        <f t="shared" si="83"/>
        <v>1.4E-2</v>
      </c>
      <c r="V100" s="82">
        <f t="shared" si="83"/>
        <v>1.4E-2</v>
      </c>
      <c r="W100" s="82">
        <f t="shared" si="83"/>
        <v>1.4E-2</v>
      </c>
      <c r="X100" s="82">
        <f t="shared" si="83"/>
        <v>1.4E-2</v>
      </c>
      <c r="Y100" s="82">
        <f t="shared" si="83"/>
        <v>1.4E-2</v>
      </c>
      <c r="Z100" s="82">
        <f t="shared" si="83"/>
        <v>1.5000000000000001E-2</v>
      </c>
      <c r="AA100" s="82">
        <f t="shared" si="83"/>
        <v>1.5000000000000001E-2</v>
      </c>
      <c r="AB100" s="82">
        <f t="shared" si="83"/>
        <v>1.5000000000000001E-2</v>
      </c>
      <c r="AC100" s="82">
        <f t="shared" si="83"/>
        <v>1.5000000000000001E-2</v>
      </c>
      <c r="AD100" s="82">
        <f t="shared" si="83"/>
        <v>1.5000000000000001E-2</v>
      </c>
      <c r="AE100" s="82">
        <f t="shared" si="83"/>
        <v>1.6E-2</v>
      </c>
      <c r="AF100" s="82">
        <f t="shared" si="83"/>
        <v>1.6E-2</v>
      </c>
      <c r="AG100" s="82">
        <f t="shared" si="83"/>
        <v>1.6E-2</v>
      </c>
      <c r="AH100" s="82">
        <f t="shared" si="83"/>
        <v>1.6E-2</v>
      </c>
      <c r="AI100" s="82">
        <f t="shared" si="83"/>
        <v>1.6E-2</v>
      </c>
      <c r="AJ100" s="82">
        <f t="shared" si="83"/>
        <v>1.7000000000000001E-2</v>
      </c>
      <c r="AK100" s="82">
        <f t="shared" si="83"/>
        <v>1.7000000000000001E-2</v>
      </c>
      <c r="AL100" s="82">
        <f t="shared" si="83"/>
        <v>1.7000000000000001E-2</v>
      </c>
      <c r="AM100" s="82">
        <f t="shared" si="83"/>
        <v>1.7000000000000001E-2</v>
      </c>
      <c r="AN100" s="82">
        <f t="shared" si="83"/>
        <v>1.7000000000000001E-2</v>
      </c>
      <c r="AO100" s="82">
        <f t="shared" si="83"/>
        <v>1.8000000000000002E-2</v>
      </c>
      <c r="AP100" s="82">
        <f t="shared" si="83"/>
        <v>1.8000000000000002E-2</v>
      </c>
      <c r="AQ100" s="82">
        <f t="shared" si="83"/>
        <v>1.8000000000000002E-2</v>
      </c>
      <c r="AR100" s="82">
        <f t="shared" si="83"/>
        <v>0</v>
      </c>
      <c r="AS100" s="82">
        <f t="shared" si="83"/>
        <v>0</v>
      </c>
      <c r="AT100" s="82">
        <f t="shared" si="83"/>
        <v>0</v>
      </c>
      <c r="AU100" s="82">
        <f t="shared" si="83"/>
        <v>0</v>
      </c>
      <c r="AV100" s="82">
        <f t="shared" si="83"/>
        <v>0</v>
      </c>
      <c r="AW100" s="82">
        <f t="shared" si="83"/>
        <v>0</v>
      </c>
      <c r="AX100" s="82">
        <f t="shared" si="83"/>
        <v>0</v>
      </c>
      <c r="AY100" s="82">
        <f t="shared" si="83"/>
        <v>0</v>
      </c>
      <c r="AZ100" s="82">
        <f t="shared" si="83"/>
        <v>0</v>
      </c>
      <c r="BA100" s="82">
        <f t="shared" si="83"/>
        <v>0</v>
      </c>
      <c r="BB100" s="82">
        <f t="shared" si="83"/>
        <v>0</v>
      </c>
      <c r="BC100" s="82">
        <f t="shared" si="83"/>
        <v>0</v>
      </c>
      <c r="BD100" s="82">
        <f t="shared" si="83"/>
        <v>0</v>
      </c>
      <c r="BE100" s="82">
        <f t="shared" si="83"/>
        <v>0</v>
      </c>
      <c r="BF100" s="82">
        <f t="shared" si="83"/>
        <v>0</v>
      </c>
      <c r="BG100" s="82">
        <f t="shared" si="83"/>
        <v>0</v>
      </c>
      <c r="BH100" s="82">
        <f t="shared" si="83"/>
        <v>0</v>
      </c>
      <c r="BI100" s="82">
        <f t="shared" si="83"/>
        <v>0</v>
      </c>
      <c r="BJ100" s="82">
        <f t="shared" si="83"/>
        <v>0</v>
      </c>
      <c r="BK100" s="82">
        <f t="shared" si="83"/>
        <v>0</v>
      </c>
      <c r="BL100" s="82">
        <f t="shared" si="83"/>
        <v>0</v>
      </c>
      <c r="BM100" s="82">
        <f t="shared" si="83"/>
        <v>0</v>
      </c>
      <c r="BN100" s="82">
        <f t="shared" si="83"/>
        <v>0</v>
      </c>
      <c r="BO100" s="82">
        <f t="shared" si="83"/>
        <v>0</v>
      </c>
      <c r="BP100" s="82">
        <f t="shared" si="83"/>
        <v>0</v>
      </c>
      <c r="BQ100" s="82">
        <f t="shared" si="83"/>
        <v>0</v>
      </c>
      <c r="BR100" s="82">
        <f t="shared" si="83"/>
        <v>0</v>
      </c>
      <c r="BS100" s="82">
        <f t="shared" si="83"/>
        <v>0</v>
      </c>
      <c r="BT100" s="82">
        <f t="shared" si="83"/>
        <v>0</v>
      </c>
      <c r="BU100" s="82">
        <f t="shared" si="83"/>
        <v>0</v>
      </c>
      <c r="BV100" s="82">
        <f t="shared" si="83"/>
        <v>0</v>
      </c>
      <c r="BW100" s="82">
        <f t="shared" si="83"/>
        <v>0</v>
      </c>
      <c r="BX100" s="82">
        <f t="shared" si="83"/>
        <v>0</v>
      </c>
      <c r="BY100" s="82">
        <f t="shared" si="83"/>
        <v>0</v>
      </c>
      <c r="BZ100" s="82">
        <f t="shared" si="83"/>
        <v>0</v>
      </c>
      <c r="CA100" s="82">
        <f t="shared" si="83"/>
        <v>0</v>
      </c>
      <c r="CB100" s="82">
        <f t="shared" si="84"/>
        <v>0</v>
      </c>
      <c r="CC100" s="82">
        <f t="shared" si="84"/>
        <v>0</v>
      </c>
      <c r="CD100" s="82">
        <f t="shared" si="84"/>
        <v>0</v>
      </c>
      <c r="CE100" s="82">
        <f t="shared" si="84"/>
        <v>0</v>
      </c>
      <c r="CF100" s="82">
        <f t="shared" si="84"/>
        <v>0</v>
      </c>
      <c r="CG100" s="82">
        <f t="shared" si="84"/>
        <v>0</v>
      </c>
      <c r="CH100" s="82">
        <f t="shared" si="84"/>
        <v>0</v>
      </c>
      <c r="CI100" s="82">
        <f t="shared" si="84"/>
        <v>0</v>
      </c>
      <c r="CJ100" s="82">
        <f t="shared" si="84"/>
        <v>0</v>
      </c>
      <c r="CK100" s="82">
        <f t="shared" si="84"/>
        <v>0</v>
      </c>
      <c r="CL100" s="82">
        <f t="shared" si="84"/>
        <v>0</v>
      </c>
      <c r="CM100" s="82">
        <f t="shared" si="84"/>
        <v>0</v>
      </c>
      <c r="CN100" s="82">
        <f t="shared" si="84"/>
        <v>0</v>
      </c>
      <c r="CO100" s="82">
        <f t="shared" si="84"/>
        <v>0</v>
      </c>
      <c r="CP100" s="82">
        <f t="shared" si="84"/>
        <v>0</v>
      </c>
      <c r="CQ100" s="82">
        <f t="shared" si="84"/>
        <v>0</v>
      </c>
      <c r="CR100" s="82">
        <f t="shared" ref="CR100:CT100" si="86">CR40</f>
        <v>0</v>
      </c>
      <c r="CS100" s="82">
        <f t="shared" si="86"/>
        <v>0</v>
      </c>
      <c r="CT100" s="82">
        <f t="shared" si="86"/>
        <v>0</v>
      </c>
      <c r="CU100" s="82"/>
      <c r="CV100" s="82"/>
      <c r="CW100" s="82"/>
      <c r="CX100" s="82"/>
      <c r="CY100" s="82"/>
      <c r="CZ100" s="82"/>
      <c r="DA100" s="82"/>
      <c r="DB100" s="82"/>
      <c r="DC100" s="82"/>
      <c r="DD100" s="82"/>
    </row>
    <row r="101" spans="1:108" ht="12.75" customHeight="1" x14ac:dyDescent="0.25">
      <c r="C101" t="s">
        <v>220</v>
      </c>
      <c r="H101" s="54" t="s">
        <v>6</v>
      </c>
      <c r="J101" s="197"/>
      <c r="N101" s="19"/>
      <c r="P101" s="191">
        <f t="shared" si="83"/>
        <v>0</v>
      </c>
      <c r="Q101" s="191">
        <f t="shared" si="83"/>
        <v>0</v>
      </c>
      <c r="R101" s="191">
        <f t="shared" si="83"/>
        <v>0</v>
      </c>
      <c r="S101" s="191">
        <f t="shared" si="83"/>
        <v>2.3E-2</v>
      </c>
      <c r="T101" s="191">
        <f t="shared" si="83"/>
        <v>2.3E-2</v>
      </c>
      <c r="U101" s="191">
        <f t="shared" si="83"/>
        <v>2.4E-2</v>
      </c>
      <c r="V101" s="191">
        <f t="shared" si="83"/>
        <v>2.4E-2</v>
      </c>
      <c r="W101" s="191">
        <f t="shared" si="83"/>
        <v>2.4E-2</v>
      </c>
      <c r="X101" s="191">
        <f t="shared" si="83"/>
        <v>2.4E-2</v>
      </c>
      <c r="Y101" s="191">
        <f t="shared" si="83"/>
        <v>2.4E-2</v>
      </c>
      <c r="Z101" s="191">
        <f t="shared" si="83"/>
        <v>2.5000000000000001E-2</v>
      </c>
      <c r="AA101" s="191">
        <f t="shared" si="83"/>
        <v>2.5000000000000001E-2</v>
      </c>
      <c r="AB101" s="191">
        <f t="shared" si="83"/>
        <v>2.5000000000000001E-2</v>
      </c>
      <c r="AC101" s="191">
        <f t="shared" si="83"/>
        <v>2.5000000000000001E-2</v>
      </c>
      <c r="AD101" s="191">
        <f t="shared" si="83"/>
        <v>2.5000000000000001E-2</v>
      </c>
      <c r="AE101" s="191">
        <f t="shared" si="83"/>
        <v>2.6000000000000002E-2</v>
      </c>
      <c r="AF101" s="191">
        <f t="shared" si="83"/>
        <v>2.6000000000000002E-2</v>
      </c>
      <c r="AG101" s="191">
        <f t="shared" si="83"/>
        <v>2.6000000000000002E-2</v>
      </c>
      <c r="AH101" s="191">
        <f t="shared" si="83"/>
        <v>2.6000000000000002E-2</v>
      </c>
      <c r="AI101" s="191">
        <f t="shared" si="83"/>
        <v>2.6000000000000002E-2</v>
      </c>
      <c r="AJ101" s="191">
        <f t="shared" si="83"/>
        <v>2.7000000000000003E-2</v>
      </c>
      <c r="AK101" s="191">
        <f t="shared" si="83"/>
        <v>2.7000000000000003E-2</v>
      </c>
      <c r="AL101" s="191">
        <f t="shared" si="83"/>
        <v>2.7000000000000003E-2</v>
      </c>
      <c r="AM101" s="191">
        <f t="shared" si="83"/>
        <v>2.7000000000000003E-2</v>
      </c>
      <c r="AN101" s="191">
        <f t="shared" si="83"/>
        <v>2.7000000000000003E-2</v>
      </c>
      <c r="AO101" s="191">
        <f t="shared" si="83"/>
        <v>2.8000000000000004E-2</v>
      </c>
      <c r="AP101" s="191">
        <f t="shared" si="83"/>
        <v>2.8000000000000004E-2</v>
      </c>
      <c r="AQ101" s="191">
        <f t="shared" si="83"/>
        <v>2.8000000000000004E-2</v>
      </c>
      <c r="AR101" s="191">
        <f t="shared" si="83"/>
        <v>0</v>
      </c>
      <c r="AS101" s="191">
        <f t="shared" si="83"/>
        <v>0</v>
      </c>
      <c r="AT101" s="191">
        <f t="shared" si="83"/>
        <v>0</v>
      </c>
      <c r="AU101" s="191">
        <f t="shared" si="83"/>
        <v>0</v>
      </c>
      <c r="AV101" s="191">
        <f t="shared" si="83"/>
        <v>0</v>
      </c>
      <c r="AW101" s="191">
        <f t="shared" si="83"/>
        <v>0</v>
      </c>
      <c r="AX101" s="191">
        <f t="shared" si="83"/>
        <v>0</v>
      </c>
      <c r="AY101" s="191">
        <f t="shared" si="83"/>
        <v>0</v>
      </c>
      <c r="AZ101" s="191">
        <f t="shared" si="83"/>
        <v>0</v>
      </c>
      <c r="BA101" s="191">
        <f t="shared" si="83"/>
        <v>0</v>
      </c>
      <c r="BB101" s="191">
        <f t="shared" si="83"/>
        <v>0</v>
      </c>
      <c r="BC101" s="191">
        <f t="shared" si="83"/>
        <v>0</v>
      </c>
      <c r="BD101" s="191">
        <f t="shared" si="83"/>
        <v>0</v>
      </c>
      <c r="BE101" s="191">
        <f t="shared" si="83"/>
        <v>0</v>
      </c>
      <c r="BF101" s="191">
        <f t="shared" si="83"/>
        <v>0</v>
      </c>
      <c r="BG101" s="191">
        <f t="shared" si="83"/>
        <v>0</v>
      </c>
      <c r="BH101" s="191">
        <f t="shared" si="83"/>
        <v>0</v>
      </c>
      <c r="BI101" s="191">
        <f t="shared" si="83"/>
        <v>0</v>
      </c>
      <c r="BJ101" s="191">
        <f t="shared" si="83"/>
        <v>0</v>
      </c>
      <c r="BK101" s="191">
        <f t="shared" si="83"/>
        <v>0</v>
      </c>
      <c r="BL101" s="191">
        <f t="shared" si="83"/>
        <v>0</v>
      </c>
      <c r="BM101" s="191">
        <f t="shared" si="83"/>
        <v>0</v>
      </c>
      <c r="BN101" s="191">
        <f t="shared" si="83"/>
        <v>0</v>
      </c>
      <c r="BO101" s="191">
        <f t="shared" si="83"/>
        <v>0</v>
      </c>
      <c r="BP101" s="191">
        <f t="shared" si="83"/>
        <v>0</v>
      </c>
      <c r="BQ101" s="191">
        <f t="shared" si="83"/>
        <v>0</v>
      </c>
      <c r="BR101" s="191">
        <f t="shared" si="83"/>
        <v>0</v>
      </c>
      <c r="BS101" s="191">
        <f t="shared" si="83"/>
        <v>0</v>
      </c>
      <c r="BT101" s="191">
        <f t="shared" si="83"/>
        <v>0</v>
      </c>
      <c r="BU101" s="191">
        <f t="shared" si="83"/>
        <v>0</v>
      </c>
      <c r="BV101" s="191">
        <f t="shared" si="83"/>
        <v>0</v>
      </c>
      <c r="BW101" s="191">
        <f t="shared" si="83"/>
        <v>0</v>
      </c>
      <c r="BX101" s="191">
        <f t="shared" si="83"/>
        <v>0</v>
      </c>
      <c r="BY101" s="191">
        <f t="shared" si="83"/>
        <v>0</v>
      </c>
      <c r="BZ101" s="191">
        <f t="shared" si="83"/>
        <v>0</v>
      </c>
      <c r="CA101" s="191">
        <f t="shared" si="83"/>
        <v>0</v>
      </c>
      <c r="CB101" s="191">
        <f t="shared" si="84"/>
        <v>0</v>
      </c>
      <c r="CC101" s="191">
        <f t="shared" si="84"/>
        <v>0</v>
      </c>
      <c r="CD101" s="191">
        <f t="shared" si="84"/>
        <v>0</v>
      </c>
      <c r="CE101" s="191">
        <f t="shared" si="84"/>
        <v>0</v>
      </c>
      <c r="CF101" s="191">
        <f t="shared" si="84"/>
        <v>0</v>
      </c>
      <c r="CG101" s="191">
        <f t="shared" si="84"/>
        <v>0</v>
      </c>
      <c r="CH101" s="191">
        <f t="shared" si="84"/>
        <v>0</v>
      </c>
      <c r="CI101" s="191">
        <f t="shared" si="84"/>
        <v>0</v>
      </c>
      <c r="CJ101" s="191">
        <f t="shared" si="84"/>
        <v>0</v>
      </c>
      <c r="CK101" s="191">
        <f t="shared" si="84"/>
        <v>0</v>
      </c>
      <c r="CL101" s="191">
        <f t="shared" si="84"/>
        <v>0</v>
      </c>
      <c r="CM101" s="191">
        <f t="shared" si="84"/>
        <v>0</v>
      </c>
      <c r="CN101" s="191">
        <f t="shared" si="84"/>
        <v>0</v>
      </c>
      <c r="CO101" s="191">
        <f t="shared" si="84"/>
        <v>0</v>
      </c>
      <c r="CP101" s="191">
        <f t="shared" si="84"/>
        <v>0</v>
      </c>
      <c r="CQ101" s="191">
        <f t="shared" si="84"/>
        <v>0</v>
      </c>
      <c r="CR101" s="191">
        <f t="shared" ref="CR101:CT101" si="87">CR41</f>
        <v>0</v>
      </c>
      <c r="CS101" s="191">
        <f t="shared" si="87"/>
        <v>0</v>
      </c>
      <c r="CT101" s="191">
        <f t="shared" si="87"/>
        <v>0</v>
      </c>
      <c r="CU101" s="191"/>
      <c r="CV101" s="191"/>
      <c r="CW101" s="191"/>
      <c r="CX101" s="191"/>
      <c r="CY101" s="191"/>
      <c r="CZ101" s="191"/>
      <c r="DA101" s="191"/>
      <c r="DB101" s="191"/>
      <c r="DC101" s="191"/>
      <c r="DD101" s="191"/>
    </row>
    <row r="102" spans="1:108" ht="12.75" customHeight="1" x14ac:dyDescent="0.25">
      <c r="H102" s="54"/>
      <c r="N102" s="19"/>
    </row>
    <row r="103" spans="1:108" ht="12.75" customHeight="1" x14ac:dyDescent="0.25">
      <c r="C103" t="s">
        <v>239</v>
      </c>
      <c r="H103" s="54" t="s">
        <v>3</v>
      </c>
      <c r="N103" s="25" t="e">
        <f t="shared" ref="N103" si="88">SUM(P103:DB103)</f>
        <v>#REF!</v>
      </c>
      <c r="P103" s="10">
        <f>P101*P85</f>
        <v>0</v>
      </c>
      <c r="Q103" s="10" t="e">
        <f t="shared" ref="Q103:CB103" si="89">Q101*Q85</f>
        <v>#REF!</v>
      </c>
      <c r="R103" s="10" t="e">
        <f t="shared" si="89"/>
        <v>#REF!</v>
      </c>
      <c r="S103" s="10" t="e">
        <f t="shared" si="89"/>
        <v>#REF!</v>
      </c>
      <c r="T103" s="10" t="e">
        <f t="shared" si="89"/>
        <v>#REF!</v>
      </c>
      <c r="U103" s="10" t="e">
        <f t="shared" si="89"/>
        <v>#REF!</v>
      </c>
      <c r="V103" s="10" t="e">
        <f t="shared" si="89"/>
        <v>#REF!</v>
      </c>
      <c r="W103" s="10" t="e">
        <f t="shared" si="89"/>
        <v>#REF!</v>
      </c>
      <c r="X103" s="10" t="e">
        <f t="shared" si="89"/>
        <v>#REF!</v>
      </c>
      <c r="Y103" s="10" t="e">
        <f t="shared" si="89"/>
        <v>#REF!</v>
      </c>
      <c r="Z103" s="10" t="e">
        <f t="shared" si="89"/>
        <v>#REF!</v>
      </c>
      <c r="AA103" s="10" t="e">
        <f t="shared" si="89"/>
        <v>#REF!</v>
      </c>
      <c r="AB103" s="10" t="e">
        <f t="shared" si="89"/>
        <v>#REF!</v>
      </c>
      <c r="AC103" s="10" t="e">
        <f t="shared" si="89"/>
        <v>#REF!</v>
      </c>
      <c r="AD103" s="10" t="e">
        <f t="shared" si="89"/>
        <v>#REF!</v>
      </c>
      <c r="AE103" s="10" t="e">
        <f t="shared" si="89"/>
        <v>#REF!</v>
      </c>
      <c r="AF103" s="10" t="e">
        <f t="shared" si="89"/>
        <v>#REF!</v>
      </c>
      <c r="AG103" s="10" t="e">
        <f t="shared" si="89"/>
        <v>#REF!</v>
      </c>
      <c r="AH103" s="10" t="e">
        <f t="shared" si="89"/>
        <v>#REF!</v>
      </c>
      <c r="AI103" s="10" t="e">
        <f t="shared" si="89"/>
        <v>#REF!</v>
      </c>
      <c r="AJ103" s="10" t="e">
        <f t="shared" si="89"/>
        <v>#REF!</v>
      </c>
      <c r="AK103" s="10" t="e">
        <f t="shared" si="89"/>
        <v>#REF!</v>
      </c>
      <c r="AL103" s="10" t="e">
        <f t="shared" si="89"/>
        <v>#REF!</v>
      </c>
      <c r="AM103" s="10" t="e">
        <f t="shared" si="89"/>
        <v>#REF!</v>
      </c>
      <c r="AN103" s="10" t="e">
        <f t="shared" si="89"/>
        <v>#REF!</v>
      </c>
      <c r="AO103" s="10" t="e">
        <f t="shared" si="89"/>
        <v>#REF!</v>
      </c>
      <c r="AP103" s="10" t="e">
        <f t="shared" si="89"/>
        <v>#REF!</v>
      </c>
      <c r="AQ103" s="10" t="e">
        <f t="shared" si="89"/>
        <v>#REF!</v>
      </c>
      <c r="AR103" s="10" t="e">
        <f t="shared" si="89"/>
        <v>#REF!</v>
      </c>
      <c r="AS103" s="10" t="e">
        <f t="shared" si="89"/>
        <v>#REF!</v>
      </c>
      <c r="AT103" s="10" t="e">
        <f t="shared" si="89"/>
        <v>#REF!</v>
      </c>
      <c r="AU103" s="10" t="e">
        <f t="shared" si="89"/>
        <v>#REF!</v>
      </c>
      <c r="AV103" s="10" t="e">
        <f t="shared" si="89"/>
        <v>#REF!</v>
      </c>
      <c r="AW103" s="10" t="e">
        <f t="shared" si="89"/>
        <v>#REF!</v>
      </c>
      <c r="AX103" s="10" t="e">
        <f t="shared" si="89"/>
        <v>#REF!</v>
      </c>
      <c r="AY103" s="10" t="e">
        <f t="shared" si="89"/>
        <v>#REF!</v>
      </c>
      <c r="AZ103" s="10" t="e">
        <f t="shared" si="89"/>
        <v>#REF!</v>
      </c>
      <c r="BA103" s="10" t="e">
        <f t="shared" si="89"/>
        <v>#REF!</v>
      </c>
      <c r="BB103" s="10" t="e">
        <f t="shared" si="89"/>
        <v>#REF!</v>
      </c>
      <c r="BC103" s="10" t="e">
        <f t="shared" si="89"/>
        <v>#REF!</v>
      </c>
      <c r="BD103" s="10" t="e">
        <f t="shared" si="89"/>
        <v>#REF!</v>
      </c>
      <c r="BE103" s="10" t="e">
        <f t="shared" si="89"/>
        <v>#REF!</v>
      </c>
      <c r="BF103" s="10" t="e">
        <f t="shared" si="89"/>
        <v>#REF!</v>
      </c>
      <c r="BG103" s="10" t="e">
        <f t="shared" si="89"/>
        <v>#REF!</v>
      </c>
      <c r="BH103" s="10" t="e">
        <f t="shared" si="89"/>
        <v>#REF!</v>
      </c>
      <c r="BI103" s="10" t="e">
        <f t="shared" si="89"/>
        <v>#REF!</v>
      </c>
      <c r="BJ103" s="10" t="e">
        <f t="shared" si="89"/>
        <v>#REF!</v>
      </c>
      <c r="BK103" s="10" t="e">
        <f t="shared" si="89"/>
        <v>#REF!</v>
      </c>
      <c r="BL103" s="10" t="e">
        <f t="shared" si="89"/>
        <v>#REF!</v>
      </c>
      <c r="BM103" s="10" t="e">
        <f t="shared" si="89"/>
        <v>#REF!</v>
      </c>
      <c r="BN103" s="10" t="e">
        <f t="shared" si="89"/>
        <v>#REF!</v>
      </c>
      <c r="BO103" s="10" t="e">
        <f t="shared" si="89"/>
        <v>#REF!</v>
      </c>
      <c r="BP103" s="10" t="e">
        <f t="shared" si="89"/>
        <v>#REF!</v>
      </c>
      <c r="BQ103" s="10" t="e">
        <f t="shared" si="89"/>
        <v>#REF!</v>
      </c>
      <c r="BR103" s="10" t="e">
        <f t="shared" si="89"/>
        <v>#REF!</v>
      </c>
      <c r="BS103" s="10" t="e">
        <f t="shared" si="89"/>
        <v>#REF!</v>
      </c>
      <c r="BT103" s="10" t="e">
        <f t="shared" si="89"/>
        <v>#REF!</v>
      </c>
      <c r="BU103" s="10" t="e">
        <f t="shared" si="89"/>
        <v>#REF!</v>
      </c>
      <c r="BV103" s="10" t="e">
        <f t="shared" si="89"/>
        <v>#REF!</v>
      </c>
      <c r="BW103" s="10" t="e">
        <f t="shared" si="89"/>
        <v>#REF!</v>
      </c>
      <c r="BX103" s="10" t="e">
        <f t="shared" si="89"/>
        <v>#REF!</v>
      </c>
      <c r="BY103" s="10" t="e">
        <f t="shared" si="89"/>
        <v>#REF!</v>
      </c>
      <c r="BZ103" s="10" t="e">
        <f t="shared" si="89"/>
        <v>#REF!</v>
      </c>
      <c r="CA103" s="10" t="e">
        <f t="shared" si="89"/>
        <v>#REF!</v>
      </c>
      <c r="CB103" s="10" t="e">
        <f t="shared" si="89"/>
        <v>#REF!</v>
      </c>
      <c r="CC103" s="10" t="e">
        <f t="shared" ref="CC103:CQ103" si="90">CC101*CC85</f>
        <v>#REF!</v>
      </c>
      <c r="CD103" s="10" t="e">
        <f t="shared" si="90"/>
        <v>#REF!</v>
      </c>
      <c r="CE103" s="10" t="e">
        <f t="shared" si="90"/>
        <v>#REF!</v>
      </c>
      <c r="CF103" s="10" t="e">
        <f t="shared" si="90"/>
        <v>#REF!</v>
      </c>
      <c r="CG103" s="10" t="e">
        <f t="shared" si="90"/>
        <v>#REF!</v>
      </c>
      <c r="CH103" s="10" t="e">
        <f t="shared" si="90"/>
        <v>#REF!</v>
      </c>
      <c r="CI103" s="10" t="e">
        <f t="shared" si="90"/>
        <v>#REF!</v>
      </c>
      <c r="CJ103" s="10" t="e">
        <f t="shared" si="90"/>
        <v>#REF!</v>
      </c>
      <c r="CK103" s="10" t="e">
        <f t="shared" si="90"/>
        <v>#REF!</v>
      </c>
      <c r="CL103" s="10" t="e">
        <f t="shared" si="90"/>
        <v>#REF!</v>
      </c>
      <c r="CM103" s="10" t="e">
        <f t="shared" si="90"/>
        <v>#REF!</v>
      </c>
      <c r="CN103" s="10" t="e">
        <f t="shared" si="90"/>
        <v>#REF!</v>
      </c>
      <c r="CO103" s="10" t="e">
        <f t="shared" si="90"/>
        <v>#REF!</v>
      </c>
      <c r="CP103" s="10" t="e">
        <f t="shared" si="90"/>
        <v>#REF!</v>
      </c>
      <c r="CQ103" s="10" t="e">
        <f t="shared" si="90"/>
        <v>#REF!</v>
      </c>
      <c r="CR103" s="10" t="e">
        <f t="shared" ref="CR103:CT103" si="91">CR101*CR85</f>
        <v>#REF!</v>
      </c>
      <c r="CS103" s="10" t="e">
        <f t="shared" si="91"/>
        <v>#REF!</v>
      </c>
      <c r="CT103" s="10" t="e">
        <f t="shared" si="91"/>
        <v>#REF!</v>
      </c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</row>
    <row r="104" spans="1:108" ht="12.75" customHeight="1" x14ac:dyDescent="0.25">
      <c r="H104" s="54"/>
      <c r="N104" s="19"/>
    </row>
    <row r="105" spans="1:108" ht="12.75" customHeight="1" x14ac:dyDescent="0.25">
      <c r="B105" s="21" t="s">
        <v>248</v>
      </c>
      <c r="H105" s="54"/>
      <c r="N105" s="19"/>
    </row>
    <row r="106" spans="1:108" ht="12.75" customHeight="1" x14ac:dyDescent="0.25">
      <c r="H106" s="54"/>
      <c r="N106" s="19"/>
    </row>
    <row r="107" spans="1:108" ht="12.75" customHeight="1" x14ac:dyDescent="0.25">
      <c r="C107" t="s">
        <v>249</v>
      </c>
      <c r="H107" s="54" t="s">
        <v>3</v>
      </c>
      <c r="N107" s="25" t="e">
        <f t="shared" ref="N107:N109" si="92">SUM(P107:DB107)</f>
        <v>#REF!</v>
      </c>
      <c r="P107" s="10">
        <f>P87</f>
        <v>0</v>
      </c>
      <c r="Q107" s="10" t="e">
        <f t="shared" ref="Q107:CB107" si="93">Q87</f>
        <v>#REF!</v>
      </c>
      <c r="R107" s="10" t="e">
        <f t="shared" si="93"/>
        <v>#REF!</v>
      </c>
      <c r="S107" s="10" t="e">
        <f t="shared" si="93"/>
        <v>#REF!</v>
      </c>
      <c r="T107" s="10" t="e">
        <f t="shared" si="93"/>
        <v>#REF!</v>
      </c>
      <c r="U107" s="10" t="e">
        <f t="shared" si="93"/>
        <v>#REF!</v>
      </c>
      <c r="V107" s="10" t="e">
        <f t="shared" si="93"/>
        <v>#REF!</v>
      </c>
      <c r="W107" s="10" t="e">
        <f t="shared" si="93"/>
        <v>#REF!</v>
      </c>
      <c r="X107" s="10" t="e">
        <f t="shared" si="93"/>
        <v>#REF!</v>
      </c>
      <c r="Y107" s="10" t="e">
        <f t="shared" si="93"/>
        <v>#REF!</v>
      </c>
      <c r="Z107" s="10" t="e">
        <f t="shared" si="93"/>
        <v>#REF!</v>
      </c>
      <c r="AA107" s="10" t="e">
        <f t="shared" si="93"/>
        <v>#REF!</v>
      </c>
      <c r="AB107" s="10" t="e">
        <f t="shared" si="93"/>
        <v>#REF!</v>
      </c>
      <c r="AC107" s="10" t="e">
        <f t="shared" si="93"/>
        <v>#REF!</v>
      </c>
      <c r="AD107" s="10" t="e">
        <f t="shared" si="93"/>
        <v>#REF!</v>
      </c>
      <c r="AE107" s="10" t="e">
        <f t="shared" si="93"/>
        <v>#REF!</v>
      </c>
      <c r="AF107" s="10" t="e">
        <f t="shared" si="93"/>
        <v>#REF!</v>
      </c>
      <c r="AG107" s="10" t="e">
        <f t="shared" si="93"/>
        <v>#REF!</v>
      </c>
      <c r="AH107" s="10" t="e">
        <f t="shared" si="93"/>
        <v>#REF!</v>
      </c>
      <c r="AI107" s="10" t="e">
        <f t="shared" si="93"/>
        <v>#REF!</v>
      </c>
      <c r="AJ107" s="10" t="e">
        <f t="shared" si="93"/>
        <v>#REF!</v>
      </c>
      <c r="AK107" s="10" t="e">
        <f t="shared" si="93"/>
        <v>#REF!</v>
      </c>
      <c r="AL107" s="10" t="e">
        <f t="shared" si="93"/>
        <v>#REF!</v>
      </c>
      <c r="AM107" s="10" t="e">
        <f t="shared" si="93"/>
        <v>#REF!</v>
      </c>
      <c r="AN107" s="10" t="e">
        <f t="shared" si="93"/>
        <v>#REF!</v>
      </c>
      <c r="AO107" s="10" t="e">
        <f t="shared" si="93"/>
        <v>#REF!</v>
      </c>
      <c r="AP107" s="10" t="e">
        <f t="shared" si="93"/>
        <v>#REF!</v>
      </c>
      <c r="AQ107" s="10" t="e">
        <f t="shared" si="93"/>
        <v>#REF!</v>
      </c>
      <c r="AR107" s="10" t="e">
        <f t="shared" si="93"/>
        <v>#REF!</v>
      </c>
      <c r="AS107" s="10" t="e">
        <f t="shared" si="93"/>
        <v>#REF!</v>
      </c>
      <c r="AT107" s="10" t="e">
        <f t="shared" si="93"/>
        <v>#REF!</v>
      </c>
      <c r="AU107" s="10" t="e">
        <f t="shared" si="93"/>
        <v>#REF!</v>
      </c>
      <c r="AV107" s="10" t="e">
        <f t="shared" si="93"/>
        <v>#REF!</v>
      </c>
      <c r="AW107" s="10" t="e">
        <f t="shared" si="93"/>
        <v>#REF!</v>
      </c>
      <c r="AX107" s="10" t="e">
        <f t="shared" si="93"/>
        <v>#REF!</v>
      </c>
      <c r="AY107" s="10" t="e">
        <f t="shared" si="93"/>
        <v>#REF!</v>
      </c>
      <c r="AZ107" s="10" t="e">
        <f t="shared" si="93"/>
        <v>#REF!</v>
      </c>
      <c r="BA107" s="10" t="e">
        <f t="shared" si="93"/>
        <v>#REF!</v>
      </c>
      <c r="BB107" s="10" t="e">
        <f t="shared" si="93"/>
        <v>#REF!</v>
      </c>
      <c r="BC107" s="10" t="e">
        <f t="shared" si="93"/>
        <v>#REF!</v>
      </c>
      <c r="BD107" s="10" t="e">
        <f t="shared" si="93"/>
        <v>#REF!</v>
      </c>
      <c r="BE107" s="10" t="e">
        <f t="shared" si="93"/>
        <v>#REF!</v>
      </c>
      <c r="BF107" s="10" t="e">
        <f t="shared" si="93"/>
        <v>#REF!</v>
      </c>
      <c r="BG107" s="10" t="e">
        <f t="shared" si="93"/>
        <v>#REF!</v>
      </c>
      <c r="BH107" s="10" t="e">
        <f t="shared" si="93"/>
        <v>#REF!</v>
      </c>
      <c r="BI107" s="10" t="e">
        <f t="shared" si="93"/>
        <v>#REF!</v>
      </c>
      <c r="BJ107" s="10" t="e">
        <f t="shared" si="93"/>
        <v>#REF!</v>
      </c>
      <c r="BK107" s="10" t="e">
        <f t="shared" si="93"/>
        <v>#REF!</v>
      </c>
      <c r="BL107" s="10" t="e">
        <f t="shared" si="93"/>
        <v>#REF!</v>
      </c>
      <c r="BM107" s="10" t="e">
        <f t="shared" si="93"/>
        <v>#REF!</v>
      </c>
      <c r="BN107" s="10" t="e">
        <f t="shared" si="93"/>
        <v>#REF!</v>
      </c>
      <c r="BO107" s="10" t="e">
        <f t="shared" si="93"/>
        <v>#REF!</v>
      </c>
      <c r="BP107" s="10" t="e">
        <f t="shared" si="93"/>
        <v>#REF!</v>
      </c>
      <c r="BQ107" s="10" t="e">
        <f t="shared" si="93"/>
        <v>#REF!</v>
      </c>
      <c r="BR107" s="10" t="e">
        <f t="shared" si="93"/>
        <v>#REF!</v>
      </c>
      <c r="BS107" s="10" t="e">
        <f t="shared" si="93"/>
        <v>#REF!</v>
      </c>
      <c r="BT107" s="10" t="e">
        <f t="shared" si="93"/>
        <v>#REF!</v>
      </c>
      <c r="BU107" s="10" t="e">
        <f t="shared" si="93"/>
        <v>#REF!</v>
      </c>
      <c r="BV107" s="10" t="e">
        <f t="shared" si="93"/>
        <v>#REF!</v>
      </c>
      <c r="BW107" s="10" t="e">
        <f t="shared" si="93"/>
        <v>#REF!</v>
      </c>
      <c r="BX107" s="10" t="e">
        <f t="shared" si="93"/>
        <v>#REF!</v>
      </c>
      <c r="BY107" s="10" t="e">
        <f t="shared" si="93"/>
        <v>#REF!</v>
      </c>
      <c r="BZ107" s="10" t="e">
        <f t="shared" si="93"/>
        <v>#REF!</v>
      </c>
      <c r="CA107" s="10" t="e">
        <f t="shared" si="93"/>
        <v>#REF!</v>
      </c>
      <c r="CB107" s="10" t="e">
        <f t="shared" si="93"/>
        <v>#REF!</v>
      </c>
      <c r="CC107" s="10" t="e">
        <f t="shared" ref="CC107:CQ107" si="94">CC87</f>
        <v>#REF!</v>
      </c>
      <c r="CD107" s="10" t="e">
        <f t="shared" si="94"/>
        <v>#REF!</v>
      </c>
      <c r="CE107" s="10" t="e">
        <f t="shared" si="94"/>
        <v>#REF!</v>
      </c>
      <c r="CF107" s="10" t="e">
        <f t="shared" si="94"/>
        <v>#REF!</v>
      </c>
      <c r="CG107" s="10" t="e">
        <f t="shared" si="94"/>
        <v>#REF!</v>
      </c>
      <c r="CH107" s="10" t="e">
        <f t="shared" si="94"/>
        <v>#REF!</v>
      </c>
      <c r="CI107" s="10" t="e">
        <f t="shared" si="94"/>
        <v>#REF!</v>
      </c>
      <c r="CJ107" s="10" t="e">
        <f t="shared" si="94"/>
        <v>#REF!</v>
      </c>
      <c r="CK107" s="10" t="e">
        <f t="shared" si="94"/>
        <v>#REF!</v>
      </c>
      <c r="CL107" s="10" t="e">
        <f t="shared" si="94"/>
        <v>#REF!</v>
      </c>
      <c r="CM107" s="10" t="e">
        <f t="shared" si="94"/>
        <v>#REF!</v>
      </c>
      <c r="CN107" s="10" t="e">
        <f t="shared" si="94"/>
        <v>#REF!</v>
      </c>
      <c r="CO107" s="10" t="e">
        <f t="shared" si="94"/>
        <v>#REF!</v>
      </c>
      <c r="CP107" s="10" t="e">
        <f t="shared" si="94"/>
        <v>#REF!</v>
      </c>
      <c r="CQ107" s="10" t="e">
        <f t="shared" si="94"/>
        <v>#REF!</v>
      </c>
      <c r="CR107" s="10" t="e">
        <f t="shared" ref="CR107:CT107" si="95">CR87</f>
        <v>#REF!</v>
      </c>
      <c r="CS107" s="10" t="e">
        <f t="shared" si="95"/>
        <v>#REF!</v>
      </c>
      <c r="CT107" s="10" t="e">
        <f t="shared" si="95"/>
        <v>#REF!</v>
      </c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</row>
    <row r="108" spans="1:108" ht="12.75" customHeight="1" x14ac:dyDescent="0.25">
      <c r="C108" s="27" t="s">
        <v>250</v>
      </c>
      <c r="D108" s="27"/>
      <c r="E108" s="27"/>
      <c r="F108" s="27"/>
      <c r="G108" s="27"/>
      <c r="H108" s="160" t="s">
        <v>3</v>
      </c>
      <c r="I108" s="27"/>
      <c r="J108" s="27"/>
      <c r="K108" s="27"/>
      <c r="L108" s="27"/>
      <c r="M108" s="27"/>
      <c r="N108" s="32" t="e">
        <f t="shared" si="92"/>
        <v>#REF!</v>
      </c>
      <c r="O108" s="27"/>
      <c r="P108" s="161">
        <f>P103</f>
        <v>0</v>
      </c>
      <c r="Q108" s="161" t="e">
        <f t="shared" ref="Q108:CB108" si="96">Q103</f>
        <v>#REF!</v>
      </c>
      <c r="R108" s="161" t="e">
        <f t="shared" si="96"/>
        <v>#REF!</v>
      </c>
      <c r="S108" s="161" t="e">
        <f t="shared" si="96"/>
        <v>#REF!</v>
      </c>
      <c r="T108" s="161" t="e">
        <f t="shared" si="96"/>
        <v>#REF!</v>
      </c>
      <c r="U108" s="161" t="e">
        <f t="shared" si="96"/>
        <v>#REF!</v>
      </c>
      <c r="V108" s="161" t="e">
        <f t="shared" si="96"/>
        <v>#REF!</v>
      </c>
      <c r="W108" s="161" t="e">
        <f t="shared" si="96"/>
        <v>#REF!</v>
      </c>
      <c r="X108" s="161" t="e">
        <f t="shared" si="96"/>
        <v>#REF!</v>
      </c>
      <c r="Y108" s="161" t="e">
        <f t="shared" si="96"/>
        <v>#REF!</v>
      </c>
      <c r="Z108" s="161" t="e">
        <f t="shared" si="96"/>
        <v>#REF!</v>
      </c>
      <c r="AA108" s="161" t="e">
        <f t="shared" si="96"/>
        <v>#REF!</v>
      </c>
      <c r="AB108" s="161" t="e">
        <f t="shared" si="96"/>
        <v>#REF!</v>
      </c>
      <c r="AC108" s="161" t="e">
        <f t="shared" si="96"/>
        <v>#REF!</v>
      </c>
      <c r="AD108" s="161" t="e">
        <f t="shared" si="96"/>
        <v>#REF!</v>
      </c>
      <c r="AE108" s="161" t="e">
        <f t="shared" si="96"/>
        <v>#REF!</v>
      </c>
      <c r="AF108" s="161" t="e">
        <f t="shared" si="96"/>
        <v>#REF!</v>
      </c>
      <c r="AG108" s="161" t="e">
        <f t="shared" si="96"/>
        <v>#REF!</v>
      </c>
      <c r="AH108" s="161" t="e">
        <f t="shared" si="96"/>
        <v>#REF!</v>
      </c>
      <c r="AI108" s="161" t="e">
        <f t="shared" si="96"/>
        <v>#REF!</v>
      </c>
      <c r="AJ108" s="161" t="e">
        <f t="shared" si="96"/>
        <v>#REF!</v>
      </c>
      <c r="AK108" s="161" t="e">
        <f t="shared" si="96"/>
        <v>#REF!</v>
      </c>
      <c r="AL108" s="161" t="e">
        <f t="shared" si="96"/>
        <v>#REF!</v>
      </c>
      <c r="AM108" s="161" t="e">
        <f t="shared" si="96"/>
        <v>#REF!</v>
      </c>
      <c r="AN108" s="161" t="e">
        <f t="shared" si="96"/>
        <v>#REF!</v>
      </c>
      <c r="AO108" s="161" t="e">
        <f t="shared" si="96"/>
        <v>#REF!</v>
      </c>
      <c r="AP108" s="161" t="e">
        <f t="shared" si="96"/>
        <v>#REF!</v>
      </c>
      <c r="AQ108" s="161" t="e">
        <f t="shared" si="96"/>
        <v>#REF!</v>
      </c>
      <c r="AR108" s="161" t="e">
        <f t="shared" si="96"/>
        <v>#REF!</v>
      </c>
      <c r="AS108" s="161" t="e">
        <f t="shared" si="96"/>
        <v>#REF!</v>
      </c>
      <c r="AT108" s="161" t="e">
        <f t="shared" si="96"/>
        <v>#REF!</v>
      </c>
      <c r="AU108" s="161" t="e">
        <f t="shared" si="96"/>
        <v>#REF!</v>
      </c>
      <c r="AV108" s="161" t="e">
        <f t="shared" si="96"/>
        <v>#REF!</v>
      </c>
      <c r="AW108" s="161" t="e">
        <f t="shared" si="96"/>
        <v>#REF!</v>
      </c>
      <c r="AX108" s="161" t="e">
        <f t="shared" si="96"/>
        <v>#REF!</v>
      </c>
      <c r="AY108" s="161" t="e">
        <f t="shared" si="96"/>
        <v>#REF!</v>
      </c>
      <c r="AZ108" s="161" t="e">
        <f t="shared" si="96"/>
        <v>#REF!</v>
      </c>
      <c r="BA108" s="161" t="e">
        <f t="shared" si="96"/>
        <v>#REF!</v>
      </c>
      <c r="BB108" s="161" t="e">
        <f t="shared" si="96"/>
        <v>#REF!</v>
      </c>
      <c r="BC108" s="161" t="e">
        <f t="shared" si="96"/>
        <v>#REF!</v>
      </c>
      <c r="BD108" s="161" t="e">
        <f t="shared" si="96"/>
        <v>#REF!</v>
      </c>
      <c r="BE108" s="161" t="e">
        <f t="shared" si="96"/>
        <v>#REF!</v>
      </c>
      <c r="BF108" s="161" t="e">
        <f t="shared" si="96"/>
        <v>#REF!</v>
      </c>
      <c r="BG108" s="161" t="e">
        <f t="shared" si="96"/>
        <v>#REF!</v>
      </c>
      <c r="BH108" s="161" t="e">
        <f t="shared" si="96"/>
        <v>#REF!</v>
      </c>
      <c r="BI108" s="161" t="e">
        <f t="shared" si="96"/>
        <v>#REF!</v>
      </c>
      <c r="BJ108" s="161" t="e">
        <f t="shared" si="96"/>
        <v>#REF!</v>
      </c>
      <c r="BK108" s="161" t="e">
        <f t="shared" si="96"/>
        <v>#REF!</v>
      </c>
      <c r="BL108" s="161" t="e">
        <f t="shared" si="96"/>
        <v>#REF!</v>
      </c>
      <c r="BM108" s="161" t="e">
        <f t="shared" si="96"/>
        <v>#REF!</v>
      </c>
      <c r="BN108" s="161" t="e">
        <f t="shared" si="96"/>
        <v>#REF!</v>
      </c>
      <c r="BO108" s="161" t="e">
        <f t="shared" si="96"/>
        <v>#REF!</v>
      </c>
      <c r="BP108" s="161" t="e">
        <f t="shared" si="96"/>
        <v>#REF!</v>
      </c>
      <c r="BQ108" s="161" t="e">
        <f t="shared" si="96"/>
        <v>#REF!</v>
      </c>
      <c r="BR108" s="161" t="e">
        <f t="shared" si="96"/>
        <v>#REF!</v>
      </c>
      <c r="BS108" s="161" t="e">
        <f t="shared" si="96"/>
        <v>#REF!</v>
      </c>
      <c r="BT108" s="161" t="e">
        <f t="shared" si="96"/>
        <v>#REF!</v>
      </c>
      <c r="BU108" s="161" t="e">
        <f t="shared" si="96"/>
        <v>#REF!</v>
      </c>
      <c r="BV108" s="161" t="e">
        <f t="shared" si="96"/>
        <v>#REF!</v>
      </c>
      <c r="BW108" s="161" t="e">
        <f t="shared" si="96"/>
        <v>#REF!</v>
      </c>
      <c r="BX108" s="161" t="e">
        <f t="shared" si="96"/>
        <v>#REF!</v>
      </c>
      <c r="BY108" s="161" t="e">
        <f t="shared" si="96"/>
        <v>#REF!</v>
      </c>
      <c r="BZ108" s="161" t="e">
        <f t="shared" si="96"/>
        <v>#REF!</v>
      </c>
      <c r="CA108" s="161" t="e">
        <f t="shared" si="96"/>
        <v>#REF!</v>
      </c>
      <c r="CB108" s="161" t="e">
        <f t="shared" si="96"/>
        <v>#REF!</v>
      </c>
      <c r="CC108" s="161" t="e">
        <f t="shared" ref="CC108:CQ108" si="97">CC103</f>
        <v>#REF!</v>
      </c>
      <c r="CD108" s="161" t="e">
        <f t="shared" si="97"/>
        <v>#REF!</v>
      </c>
      <c r="CE108" s="161" t="e">
        <f t="shared" si="97"/>
        <v>#REF!</v>
      </c>
      <c r="CF108" s="161" t="e">
        <f t="shared" si="97"/>
        <v>#REF!</v>
      </c>
      <c r="CG108" s="161" t="e">
        <f t="shared" si="97"/>
        <v>#REF!</v>
      </c>
      <c r="CH108" s="161" t="e">
        <f t="shared" si="97"/>
        <v>#REF!</v>
      </c>
      <c r="CI108" s="161" t="e">
        <f t="shared" si="97"/>
        <v>#REF!</v>
      </c>
      <c r="CJ108" s="161" t="e">
        <f t="shared" si="97"/>
        <v>#REF!</v>
      </c>
      <c r="CK108" s="161" t="e">
        <f t="shared" si="97"/>
        <v>#REF!</v>
      </c>
      <c r="CL108" s="161" t="e">
        <f t="shared" si="97"/>
        <v>#REF!</v>
      </c>
      <c r="CM108" s="161" t="e">
        <f t="shared" si="97"/>
        <v>#REF!</v>
      </c>
      <c r="CN108" s="161" t="e">
        <f t="shared" si="97"/>
        <v>#REF!</v>
      </c>
      <c r="CO108" s="161" t="e">
        <f t="shared" si="97"/>
        <v>#REF!</v>
      </c>
      <c r="CP108" s="161" t="e">
        <f t="shared" si="97"/>
        <v>#REF!</v>
      </c>
      <c r="CQ108" s="161" t="e">
        <f t="shared" si="97"/>
        <v>#REF!</v>
      </c>
      <c r="CR108" s="161" t="e">
        <f t="shared" ref="CR108:CT108" si="98">CR103</f>
        <v>#REF!</v>
      </c>
      <c r="CS108" s="161" t="e">
        <f t="shared" si="98"/>
        <v>#REF!</v>
      </c>
      <c r="CT108" s="161" t="e">
        <f t="shared" si="98"/>
        <v>#REF!</v>
      </c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</row>
    <row r="109" spans="1:108" ht="12.75" customHeight="1" x14ac:dyDescent="0.25">
      <c r="H109" s="54" t="s">
        <v>3</v>
      </c>
      <c r="N109" s="25" t="e">
        <f t="shared" si="92"/>
        <v>#REF!</v>
      </c>
      <c r="P109" s="51">
        <f t="shared" ref="P109:CA109" si="99">SUM(P107:P108)</f>
        <v>0</v>
      </c>
      <c r="Q109" s="51" t="e">
        <f t="shared" si="99"/>
        <v>#REF!</v>
      </c>
      <c r="R109" s="51" t="e">
        <f t="shared" si="99"/>
        <v>#REF!</v>
      </c>
      <c r="S109" s="51" t="e">
        <f t="shared" si="99"/>
        <v>#REF!</v>
      </c>
      <c r="T109" s="51" t="e">
        <f t="shared" si="99"/>
        <v>#REF!</v>
      </c>
      <c r="U109" s="51" t="e">
        <f t="shared" si="99"/>
        <v>#REF!</v>
      </c>
      <c r="V109" s="51" t="e">
        <f t="shared" si="99"/>
        <v>#REF!</v>
      </c>
      <c r="W109" s="51" t="e">
        <f t="shared" si="99"/>
        <v>#REF!</v>
      </c>
      <c r="X109" s="51" t="e">
        <f t="shared" si="99"/>
        <v>#REF!</v>
      </c>
      <c r="Y109" s="51" t="e">
        <f t="shared" si="99"/>
        <v>#REF!</v>
      </c>
      <c r="Z109" s="51" t="e">
        <f t="shared" si="99"/>
        <v>#REF!</v>
      </c>
      <c r="AA109" s="51" t="e">
        <f t="shared" si="99"/>
        <v>#REF!</v>
      </c>
      <c r="AB109" s="51" t="e">
        <f t="shared" si="99"/>
        <v>#REF!</v>
      </c>
      <c r="AC109" s="51" t="e">
        <f t="shared" si="99"/>
        <v>#REF!</v>
      </c>
      <c r="AD109" s="51" t="e">
        <f t="shared" si="99"/>
        <v>#REF!</v>
      </c>
      <c r="AE109" s="51" t="e">
        <f t="shared" si="99"/>
        <v>#REF!</v>
      </c>
      <c r="AF109" s="51" t="e">
        <f t="shared" si="99"/>
        <v>#REF!</v>
      </c>
      <c r="AG109" s="51" t="e">
        <f t="shared" si="99"/>
        <v>#REF!</v>
      </c>
      <c r="AH109" s="51" t="e">
        <f t="shared" si="99"/>
        <v>#REF!</v>
      </c>
      <c r="AI109" s="51" t="e">
        <f t="shared" si="99"/>
        <v>#REF!</v>
      </c>
      <c r="AJ109" s="51" t="e">
        <f t="shared" si="99"/>
        <v>#REF!</v>
      </c>
      <c r="AK109" s="51" t="e">
        <f t="shared" si="99"/>
        <v>#REF!</v>
      </c>
      <c r="AL109" s="51" t="e">
        <f t="shared" si="99"/>
        <v>#REF!</v>
      </c>
      <c r="AM109" s="51" t="e">
        <f t="shared" si="99"/>
        <v>#REF!</v>
      </c>
      <c r="AN109" s="51" t="e">
        <f t="shared" si="99"/>
        <v>#REF!</v>
      </c>
      <c r="AO109" s="51" t="e">
        <f t="shared" si="99"/>
        <v>#REF!</v>
      </c>
      <c r="AP109" s="51" t="e">
        <f t="shared" si="99"/>
        <v>#REF!</v>
      </c>
      <c r="AQ109" s="51" t="e">
        <f t="shared" si="99"/>
        <v>#REF!</v>
      </c>
      <c r="AR109" s="51" t="e">
        <f t="shared" si="99"/>
        <v>#REF!</v>
      </c>
      <c r="AS109" s="51" t="e">
        <f t="shared" si="99"/>
        <v>#REF!</v>
      </c>
      <c r="AT109" s="51" t="e">
        <f t="shared" si="99"/>
        <v>#REF!</v>
      </c>
      <c r="AU109" s="51" t="e">
        <f t="shared" si="99"/>
        <v>#REF!</v>
      </c>
      <c r="AV109" s="51" t="e">
        <f t="shared" si="99"/>
        <v>#REF!</v>
      </c>
      <c r="AW109" s="51" t="e">
        <f t="shared" si="99"/>
        <v>#REF!</v>
      </c>
      <c r="AX109" s="51" t="e">
        <f t="shared" si="99"/>
        <v>#REF!</v>
      </c>
      <c r="AY109" s="51" t="e">
        <f t="shared" si="99"/>
        <v>#REF!</v>
      </c>
      <c r="AZ109" s="51" t="e">
        <f t="shared" si="99"/>
        <v>#REF!</v>
      </c>
      <c r="BA109" s="51" t="e">
        <f t="shared" si="99"/>
        <v>#REF!</v>
      </c>
      <c r="BB109" s="51" t="e">
        <f t="shared" si="99"/>
        <v>#REF!</v>
      </c>
      <c r="BC109" s="51" t="e">
        <f t="shared" si="99"/>
        <v>#REF!</v>
      </c>
      <c r="BD109" s="51" t="e">
        <f t="shared" si="99"/>
        <v>#REF!</v>
      </c>
      <c r="BE109" s="51" t="e">
        <f t="shared" si="99"/>
        <v>#REF!</v>
      </c>
      <c r="BF109" s="51" t="e">
        <f t="shared" si="99"/>
        <v>#REF!</v>
      </c>
      <c r="BG109" s="51" t="e">
        <f t="shared" si="99"/>
        <v>#REF!</v>
      </c>
      <c r="BH109" s="51" t="e">
        <f t="shared" si="99"/>
        <v>#REF!</v>
      </c>
      <c r="BI109" s="51" t="e">
        <f t="shared" si="99"/>
        <v>#REF!</v>
      </c>
      <c r="BJ109" s="51" t="e">
        <f t="shared" si="99"/>
        <v>#REF!</v>
      </c>
      <c r="BK109" s="51" t="e">
        <f t="shared" si="99"/>
        <v>#REF!</v>
      </c>
      <c r="BL109" s="51" t="e">
        <f t="shared" si="99"/>
        <v>#REF!</v>
      </c>
      <c r="BM109" s="51" t="e">
        <f t="shared" si="99"/>
        <v>#REF!</v>
      </c>
      <c r="BN109" s="51" t="e">
        <f t="shared" si="99"/>
        <v>#REF!</v>
      </c>
      <c r="BO109" s="51" t="e">
        <f t="shared" si="99"/>
        <v>#REF!</v>
      </c>
      <c r="BP109" s="51" t="e">
        <f t="shared" si="99"/>
        <v>#REF!</v>
      </c>
      <c r="BQ109" s="51" t="e">
        <f t="shared" si="99"/>
        <v>#REF!</v>
      </c>
      <c r="BR109" s="51" t="e">
        <f t="shared" si="99"/>
        <v>#REF!</v>
      </c>
      <c r="BS109" s="51" t="e">
        <f t="shared" si="99"/>
        <v>#REF!</v>
      </c>
      <c r="BT109" s="51" t="e">
        <f t="shared" si="99"/>
        <v>#REF!</v>
      </c>
      <c r="BU109" s="51" t="e">
        <f t="shared" si="99"/>
        <v>#REF!</v>
      </c>
      <c r="BV109" s="51" t="e">
        <f t="shared" si="99"/>
        <v>#REF!</v>
      </c>
      <c r="BW109" s="51" t="e">
        <f t="shared" si="99"/>
        <v>#REF!</v>
      </c>
      <c r="BX109" s="51" t="e">
        <f t="shared" si="99"/>
        <v>#REF!</v>
      </c>
      <c r="BY109" s="51" t="e">
        <f t="shared" si="99"/>
        <v>#REF!</v>
      </c>
      <c r="BZ109" s="51" t="e">
        <f t="shared" si="99"/>
        <v>#REF!</v>
      </c>
      <c r="CA109" s="51" t="e">
        <f t="shared" si="99"/>
        <v>#REF!</v>
      </c>
      <c r="CB109" s="51" t="e">
        <f t="shared" ref="CB109:CQ109" si="100">SUM(CB107:CB108)</f>
        <v>#REF!</v>
      </c>
      <c r="CC109" s="51" t="e">
        <f t="shared" si="100"/>
        <v>#REF!</v>
      </c>
      <c r="CD109" s="51" t="e">
        <f t="shared" si="100"/>
        <v>#REF!</v>
      </c>
      <c r="CE109" s="51" t="e">
        <f t="shared" si="100"/>
        <v>#REF!</v>
      </c>
      <c r="CF109" s="51" t="e">
        <f t="shared" si="100"/>
        <v>#REF!</v>
      </c>
      <c r="CG109" s="51" t="e">
        <f t="shared" si="100"/>
        <v>#REF!</v>
      </c>
      <c r="CH109" s="51" t="e">
        <f t="shared" si="100"/>
        <v>#REF!</v>
      </c>
      <c r="CI109" s="51" t="e">
        <f t="shared" si="100"/>
        <v>#REF!</v>
      </c>
      <c r="CJ109" s="51" t="e">
        <f t="shared" si="100"/>
        <v>#REF!</v>
      </c>
      <c r="CK109" s="51" t="e">
        <f t="shared" si="100"/>
        <v>#REF!</v>
      </c>
      <c r="CL109" s="51" t="e">
        <f t="shared" si="100"/>
        <v>#REF!</v>
      </c>
      <c r="CM109" s="51" t="e">
        <f t="shared" si="100"/>
        <v>#REF!</v>
      </c>
      <c r="CN109" s="51" t="e">
        <f t="shared" si="100"/>
        <v>#REF!</v>
      </c>
      <c r="CO109" s="51" t="e">
        <f t="shared" si="100"/>
        <v>#REF!</v>
      </c>
      <c r="CP109" s="51" t="e">
        <f t="shared" si="100"/>
        <v>#REF!</v>
      </c>
      <c r="CQ109" s="51" t="e">
        <f t="shared" si="100"/>
        <v>#REF!</v>
      </c>
      <c r="CR109" s="51" t="e">
        <f t="shared" ref="CR109:CT109" si="101">SUM(CR107:CR108)</f>
        <v>#REF!</v>
      </c>
      <c r="CS109" s="51" t="e">
        <f t="shared" si="101"/>
        <v>#REF!</v>
      </c>
      <c r="CT109" s="51" t="e">
        <f t="shared" si="101"/>
        <v>#REF!</v>
      </c>
      <c r="CU109" s="51"/>
      <c r="CV109" s="51"/>
      <c r="CW109" s="51"/>
      <c r="CX109" s="51"/>
      <c r="CY109" s="51"/>
      <c r="CZ109" s="51"/>
      <c r="DA109" s="51"/>
      <c r="DB109" s="51"/>
      <c r="DC109" s="51"/>
      <c r="DD109" s="51"/>
    </row>
    <row r="110" spans="1:108" ht="12.75" customHeight="1" x14ac:dyDescent="0.25">
      <c r="H110" s="54"/>
      <c r="N110" s="19"/>
    </row>
    <row r="111" spans="1:108" s="5" customFormat="1" ht="12.75" customHeight="1" x14ac:dyDescent="0.2">
      <c r="A111" s="5" t="s">
        <v>139</v>
      </c>
      <c r="C111" s="6"/>
      <c r="H111" s="137"/>
      <c r="I111" s="8"/>
    </row>
    <row r="112" spans="1:108" ht="12.75" customHeight="1" x14ac:dyDescent="0.25">
      <c r="H112" s="54"/>
      <c r="N112" s="19"/>
    </row>
    <row r="113" spans="2:151" ht="12.75" customHeight="1" x14ac:dyDescent="0.25">
      <c r="B113" s="21" t="s">
        <v>251</v>
      </c>
      <c r="H113" s="54"/>
      <c r="N113" s="148"/>
    </row>
    <row r="114" spans="2:151" ht="12.75" customHeight="1" x14ac:dyDescent="0.25">
      <c r="H114" s="54"/>
      <c r="N114" s="148"/>
    </row>
    <row r="115" spans="2:151" ht="12.75" customHeight="1" x14ac:dyDescent="0.25">
      <c r="C115" t="s">
        <v>252</v>
      </c>
      <c r="H115" s="54" t="s">
        <v>13</v>
      </c>
      <c r="N115" s="148"/>
      <c r="P115" s="68">
        <f>Timing!R40</f>
        <v>0</v>
      </c>
      <c r="Q115" s="68">
        <f>Timing!S40</f>
        <v>0</v>
      </c>
      <c r="R115" s="68">
        <f>Timing!T40</f>
        <v>0</v>
      </c>
      <c r="S115" s="68">
        <f>Timing!U40</f>
        <v>1</v>
      </c>
      <c r="T115" s="68">
        <f>Timing!V40</f>
        <v>1</v>
      </c>
      <c r="U115" s="68">
        <f>Timing!W40</f>
        <v>1</v>
      </c>
      <c r="V115" s="68">
        <f>Timing!X40</f>
        <v>1</v>
      </c>
      <c r="W115" s="68">
        <f>Timing!Y40</f>
        <v>1</v>
      </c>
      <c r="X115" s="68">
        <f>Timing!Z40</f>
        <v>1</v>
      </c>
      <c r="Y115" s="68">
        <f>Timing!AA40</f>
        <v>1</v>
      </c>
      <c r="Z115" s="68">
        <f>Timing!AB40</f>
        <v>1</v>
      </c>
      <c r="AA115" s="68">
        <f>Timing!AC40</f>
        <v>1</v>
      </c>
      <c r="AB115" s="68">
        <f>Timing!AD40</f>
        <v>1</v>
      </c>
      <c r="AC115" s="68">
        <f>Timing!AE40</f>
        <v>1</v>
      </c>
      <c r="AD115" s="68">
        <f>Timing!AF40</f>
        <v>1</v>
      </c>
      <c r="AE115" s="68">
        <f>Timing!AG40</f>
        <v>1</v>
      </c>
      <c r="AF115" s="68">
        <f>Timing!AH40</f>
        <v>1</v>
      </c>
      <c r="AG115" s="68">
        <f>Timing!AI40</f>
        <v>1</v>
      </c>
      <c r="AH115" s="68">
        <f>Timing!AJ40</f>
        <v>1</v>
      </c>
      <c r="AI115" s="68">
        <f>Timing!AK40</f>
        <v>1</v>
      </c>
      <c r="AJ115" s="68">
        <f>Timing!AL40</f>
        <v>1</v>
      </c>
      <c r="AK115" s="68">
        <f>Timing!AM40</f>
        <v>1</v>
      </c>
      <c r="AL115" s="68">
        <f>Timing!AN40</f>
        <v>1</v>
      </c>
      <c r="AM115" s="68">
        <f>Timing!AO40</f>
        <v>1</v>
      </c>
      <c r="AN115" s="68">
        <f>Timing!AP40</f>
        <v>1</v>
      </c>
      <c r="AO115" s="68">
        <f>Timing!AQ40</f>
        <v>1</v>
      </c>
      <c r="AP115" s="68">
        <f>Timing!AR40</f>
        <v>1</v>
      </c>
      <c r="AQ115" s="68">
        <f>Timing!AS40</f>
        <v>1</v>
      </c>
      <c r="AR115" s="68">
        <f>Timing!AT40</f>
        <v>0</v>
      </c>
      <c r="AS115" s="68">
        <f>Timing!AU40</f>
        <v>0</v>
      </c>
      <c r="AT115" s="68">
        <f>Timing!AV40</f>
        <v>0</v>
      </c>
      <c r="AU115" s="68">
        <f>Timing!AW40</f>
        <v>0</v>
      </c>
      <c r="AV115" s="68">
        <f>Timing!AX40</f>
        <v>0</v>
      </c>
      <c r="AW115" s="68">
        <f>Timing!AY40</f>
        <v>0</v>
      </c>
      <c r="AX115" s="68">
        <f>Timing!AZ40</f>
        <v>0</v>
      </c>
      <c r="AY115" s="68">
        <f>Timing!BA40</f>
        <v>0</v>
      </c>
      <c r="AZ115" s="68">
        <f>Timing!BB40</f>
        <v>0</v>
      </c>
      <c r="BA115" s="68">
        <f>Timing!BC40</f>
        <v>0</v>
      </c>
      <c r="BB115" s="68">
        <f>Timing!BD40</f>
        <v>0</v>
      </c>
      <c r="BC115" s="68">
        <f>Timing!BE40</f>
        <v>0</v>
      </c>
      <c r="BD115" s="68">
        <f>Timing!BF40</f>
        <v>0</v>
      </c>
      <c r="BE115" s="68">
        <f>Timing!BG40</f>
        <v>0</v>
      </c>
      <c r="BF115" s="68">
        <f>Timing!BH40</f>
        <v>0</v>
      </c>
      <c r="BG115" s="68">
        <f>Timing!BI40</f>
        <v>0</v>
      </c>
      <c r="BH115" s="68">
        <f>Timing!BJ40</f>
        <v>0</v>
      </c>
      <c r="BI115" s="68">
        <f>Timing!BK40</f>
        <v>0</v>
      </c>
      <c r="BJ115" s="68">
        <f>Timing!BL40</f>
        <v>0</v>
      </c>
      <c r="BK115" s="68">
        <f>Timing!BM40</f>
        <v>0</v>
      </c>
      <c r="BL115" s="68">
        <f>Timing!BN40</f>
        <v>0</v>
      </c>
      <c r="BM115" s="68">
        <f>Timing!BO40</f>
        <v>0</v>
      </c>
      <c r="BN115" s="68">
        <f>Timing!BP40</f>
        <v>0</v>
      </c>
      <c r="BO115" s="68">
        <f>Timing!BQ40</f>
        <v>0</v>
      </c>
      <c r="BP115" s="68">
        <f>Timing!BR40</f>
        <v>0</v>
      </c>
      <c r="BQ115" s="68">
        <f>Timing!BS40</f>
        <v>0</v>
      </c>
      <c r="BR115" s="68">
        <f>Timing!BT40</f>
        <v>0</v>
      </c>
      <c r="BS115" s="68">
        <f>Timing!BU40</f>
        <v>0</v>
      </c>
      <c r="BT115" s="68">
        <f>Timing!BV40</f>
        <v>0</v>
      </c>
      <c r="BU115" s="68">
        <f>Timing!BW40</f>
        <v>0</v>
      </c>
      <c r="BV115" s="68">
        <f>Timing!BX40</f>
        <v>0</v>
      </c>
      <c r="BW115" s="68">
        <f>Timing!BY40</f>
        <v>0</v>
      </c>
      <c r="BX115" s="68">
        <f>Timing!BZ40</f>
        <v>0</v>
      </c>
      <c r="BY115" s="68">
        <f>Timing!CA40</f>
        <v>0</v>
      </c>
      <c r="BZ115" s="68">
        <f>Timing!CB40</f>
        <v>0</v>
      </c>
      <c r="CA115" s="68">
        <f>Timing!CC40</f>
        <v>0</v>
      </c>
      <c r="CB115" s="68">
        <f>Timing!CD40</f>
        <v>0</v>
      </c>
      <c r="CC115" s="68">
        <f>Timing!CE40</f>
        <v>0</v>
      </c>
      <c r="CD115" s="68">
        <f>Timing!CF40</f>
        <v>0</v>
      </c>
      <c r="CE115" s="68">
        <f>Timing!CG40</f>
        <v>0</v>
      </c>
      <c r="CF115" s="68">
        <f>Timing!CH40</f>
        <v>0</v>
      </c>
      <c r="CG115" s="68">
        <f>Timing!CI40</f>
        <v>0</v>
      </c>
      <c r="CH115" s="68">
        <f>Timing!CJ40</f>
        <v>0</v>
      </c>
      <c r="CI115" s="68">
        <f>Timing!CK40</f>
        <v>0</v>
      </c>
      <c r="CJ115" s="68">
        <f>Timing!CL40</f>
        <v>0</v>
      </c>
      <c r="CK115" s="68">
        <f>Timing!CM40</f>
        <v>0</v>
      </c>
      <c r="CL115" s="68">
        <f>Timing!CN40</f>
        <v>0</v>
      </c>
      <c r="CM115" s="68">
        <f>Timing!CO40</f>
        <v>0</v>
      </c>
      <c r="CN115" s="68">
        <f>Timing!CP40</f>
        <v>0</v>
      </c>
      <c r="CO115" s="68">
        <f>Timing!CQ40</f>
        <v>0</v>
      </c>
      <c r="CP115" s="68">
        <f>Timing!CR40</f>
        <v>0</v>
      </c>
      <c r="CQ115" s="68">
        <f>Timing!CS40</f>
        <v>0</v>
      </c>
      <c r="CR115" s="68">
        <f>Timing!CT40</f>
        <v>0</v>
      </c>
      <c r="CS115" s="68">
        <f>Timing!CU40</f>
        <v>0</v>
      </c>
      <c r="CT115" s="68">
        <f>Timing!CV40</f>
        <v>0</v>
      </c>
      <c r="CU115" s="68"/>
      <c r="CV115" s="68"/>
      <c r="CW115" s="68"/>
      <c r="CX115" s="68"/>
      <c r="CY115" s="68"/>
      <c r="CZ115" s="68"/>
      <c r="DA115" s="68"/>
      <c r="DB115" s="68"/>
    </row>
    <row r="116" spans="2:151" ht="12.75" customHeight="1" x14ac:dyDescent="0.25">
      <c r="H116" s="54"/>
      <c r="N116" s="148"/>
    </row>
    <row r="117" spans="2:151" ht="12.75" customHeight="1" x14ac:dyDescent="0.25">
      <c r="C117" t="s">
        <v>253</v>
      </c>
      <c r="H117" s="54" t="s">
        <v>3</v>
      </c>
      <c r="J117" s="193">
        <f>InputC!K128</f>
        <v>500</v>
      </c>
      <c r="N117" s="19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  <c r="DV117" s="10"/>
      <c r="DW117" s="10"/>
      <c r="DX117" s="10"/>
      <c r="DY117" s="10"/>
      <c r="DZ117" s="10"/>
      <c r="EA117" s="10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</row>
    <row r="118" spans="2:151" ht="12.75" customHeight="1" x14ac:dyDescent="0.25">
      <c r="H118" s="54"/>
      <c r="N118" s="19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</row>
    <row r="119" spans="2:151" ht="12.75" customHeight="1" x14ac:dyDescent="0.25">
      <c r="C119" t="s">
        <v>254</v>
      </c>
      <c r="H119" s="54" t="s">
        <v>3</v>
      </c>
      <c r="N119" s="25">
        <f>SUM(P119:DR119)</f>
        <v>33308.240118642425</v>
      </c>
      <c r="P119" s="10">
        <f>P46</f>
        <v>0</v>
      </c>
      <c r="Q119" s="10">
        <f t="shared" ref="Q119:CB119" si="102">Q46</f>
        <v>0</v>
      </c>
      <c r="R119" s="10">
        <f t="shared" si="102"/>
        <v>0</v>
      </c>
      <c r="S119" s="10">
        <f t="shared" si="102"/>
        <v>689.23646455462131</v>
      </c>
      <c r="T119" s="10">
        <f t="shared" si="102"/>
        <v>726.07617346983329</v>
      </c>
      <c r="U119" s="10">
        <f t="shared" si="102"/>
        <v>724.84726961310537</v>
      </c>
      <c r="V119" s="10">
        <f t="shared" si="102"/>
        <v>721.96016533128272</v>
      </c>
      <c r="W119" s="10">
        <f t="shared" si="102"/>
        <v>695.31556848982996</v>
      </c>
      <c r="X119" s="10">
        <f t="shared" si="102"/>
        <v>715.36459821689311</v>
      </c>
      <c r="Y119" s="10">
        <f t="shared" si="102"/>
        <v>713.20072603653944</v>
      </c>
      <c r="Z119" s="10">
        <f t="shared" si="102"/>
        <v>711.44951405903475</v>
      </c>
      <c r="AA119" s="10">
        <f t="shared" si="102"/>
        <v>708.32579318035619</v>
      </c>
      <c r="AB119" s="10">
        <f t="shared" si="102"/>
        <v>680.98730996863117</v>
      </c>
      <c r="AC119" s="10">
        <f t="shared" si="102"/>
        <v>701.27340845456899</v>
      </c>
      <c r="AD119" s="10">
        <f t="shared" si="102"/>
        <v>698.84138998335129</v>
      </c>
      <c r="AE119" s="10">
        <f t="shared" si="102"/>
        <v>696.51199800159645</v>
      </c>
      <c r="AF119" s="10">
        <f t="shared" si="102"/>
        <v>693.11467781459464</v>
      </c>
      <c r="AG119" s="10">
        <f t="shared" si="102"/>
        <v>665.02373588888156</v>
      </c>
      <c r="AH119" s="10">
        <f t="shared" si="102"/>
        <v>685.5324636195769</v>
      </c>
      <c r="AI119" s="10">
        <f t="shared" si="102"/>
        <v>682.79129418916682</v>
      </c>
      <c r="AJ119" s="10">
        <f t="shared" si="102"/>
        <v>679.81559859515005</v>
      </c>
      <c r="AK119" s="10">
        <f t="shared" si="102"/>
        <v>676.09994621196131</v>
      </c>
      <c r="AL119" s="10">
        <f t="shared" si="102"/>
        <v>647.19019686492595</v>
      </c>
      <c r="AM119" s="10">
        <f t="shared" si="102"/>
        <v>667.90008451344318</v>
      </c>
      <c r="AN119" s="10">
        <f t="shared" si="102"/>
        <v>664.80014662273754</v>
      </c>
      <c r="AO119" s="10">
        <f t="shared" si="102"/>
        <v>661.09514885070848</v>
      </c>
      <c r="AP119" s="10">
        <f t="shared" si="102"/>
        <v>657.00684880437257</v>
      </c>
      <c r="AQ119" s="10">
        <f t="shared" si="102"/>
        <v>627.20327059094939</v>
      </c>
      <c r="AR119" s="10">
        <f t="shared" si="102"/>
        <v>648.08390300336418</v>
      </c>
      <c r="AS119" s="10">
        <f t="shared" si="102"/>
        <v>646.98601261377337</v>
      </c>
      <c r="AT119" s="10">
        <f t="shared" si="102"/>
        <v>645.10118881380924</v>
      </c>
      <c r="AU119" s="10">
        <f t="shared" si="102"/>
        <v>643.19751677584543</v>
      </c>
      <c r="AV119" s="10">
        <f t="shared" si="102"/>
        <v>615.09828022476381</v>
      </c>
      <c r="AW119" s="10">
        <f t="shared" si="102"/>
        <v>638.74858850222404</v>
      </c>
      <c r="AX119" s="10">
        <f t="shared" si="102"/>
        <v>637.53557238905933</v>
      </c>
      <c r="AY119" s="10">
        <f t="shared" si="102"/>
        <v>635.5546036326291</v>
      </c>
      <c r="AZ119" s="10">
        <f t="shared" si="102"/>
        <v>633.55382518863485</v>
      </c>
      <c r="BA119" s="10">
        <f t="shared" si="102"/>
        <v>604.82207200916059</v>
      </c>
      <c r="BB119" s="10">
        <f t="shared" si="102"/>
        <v>628.98779205161054</v>
      </c>
      <c r="BC119" s="10">
        <f t="shared" si="102"/>
        <v>627.65377764594439</v>
      </c>
      <c r="BD119" s="10">
        <f t="shared" si="102"/>
        <v>625.57175957400227</v>
      </c>
      <c r="BE119" s="10">
        <f t="shared" si="102"/>
        <v>623.46892132134087</v>
      </c>
      <c r="BF119" s="10">
        <f t="shared" si="102"/>
        <v>594.11939015924486</v>
      </c>
      <c r="BG119" s="10">
        <f t="shared" si="102"/>
        <v>618.82681314663853</v>
      </c>
      <c r="BH119" s="10">
        <f t="shared" si="102"/>
        <v>617.36562831950846</v>
      </c>
      <c r="BI119" s="10">
        <f t="shared" si="102"/>
        <v>615.17740640140755</v>
      </c>
      <c r="BJ119" s="10">
        <f t="shared" si="102"/>
        <v>612.96730226412569</v>
      </c>
      <c r="BK119" s="10">
        <f t="shared" si="102"/>
        <v>583.120180134968</v>
      </c>
      <c r="BL119" s="10">
        <f t="shared" si="102"/>
        <v>608.3969383616668</v>
      </c>
      <c r="BM119" s="10">
        <f t="shared" si="102"/>
        <v>606.80209614350269</v>
      </c>
      <c r="BN119" s="10">
        <f t="shared" si="102"/>
        <v>604.50225291572963</v>
      </c>
      <c r="BO119" s="10">
        <f t="shared" si="102"/>
        <v>602.17941125567859</v>
      </c>
      <c r="BP119" s="10">
        <f t="shared" si="102"/>
        <v>573.13273322016414</v>
      </c>
      <c r="BQ119" s="10">
        <f t="shared" si="102"/>
        <v>599.00786850524833</v>
      </c>
      <c r="BR119" s="10">
        <f t="shared" si="102"/>
        <v>27.314492142264442</v>
      </c>
      <c r="BS119" s="10">
        <f t="shared" si="102"/>
        <v>0</v>
      </c>
      <c r="BT119" s="10">
        <f t="shared" si="102"/>
        <v>0</v>
      </c>
      <c r="BU119" s="10">
        <f t="shared" si="102"/>
        <v>0</v>
      </c>
      <c r="BV119" s="10">
        <f t="shared" si="102"/>
        <v>0</v>
      </c>
      <c r="BW119" s="10">
        <f t="shared" si="102"/>
        <v>0</v>
      </c>
      <c r="BX119" s="10">
        <f t="shared" si="102"/>
        <v>0</v>
      </c>
      <c r="BY119" s="10">
        <f t="shared" si="102"/>
        <v>0</v>
      </c>
      <c r="BZ119" s="10">
        <f t="shared" si="102"/>
        <v>0</v>
      </c>
      <c r="CA119" s="10">
        <f t="shared" si="102"/>
        <v>0</v>
      </c>
      <c r="CB119" s="10">
        <f t="shared" si="102"/>
        <v>0</v>
      </c>
      <c r="CC119" s="10">
        <f t="shared" ref="CC119:CQ119" si="103">CC46</f>
        <v>0</v>
      </c>
      <c r="CD119" s="10">
        <f t="shared" si="103"/>
        <v>0</v>
      </c>
      <c r="CE119" s="10">
        <f t="shared" si="103"/>
        <v>0</v>
      </c>
      <c r="CF119" s="10">
        <f t="shared" si="103"/>
        <v>0</v>
      </c>
      <c r="CG119" s="10">
        <f t="shared" si="103"/>
        <v>0</v>
      </c>
      <c r="CH119" s="10">
        <f t="shared" si="103"/>
        <v>0</v>
      </c>
      <c r="CI119" s="10">
        <f t="shared" si="103"/>
        <v>0</v>
      </c>
      <c r="CJ119" s="10">
        <f t="shared" si="103"/>
        <v>0</v>
      </c>
      <c r="CK119" s="10">
        <f t="shared" si="103"/>
        <v>0</v>
      </c>
      <c r="CL119" s="10">
        <f t="shared" si="103"/>
        <v>0</v>
      </c>
      <c r="CM119" s="10">
        <f t="shared" si="103"/>
        <v>0</v>
      </c>
      <c r="CN119" s="10">
        <f t="shared" si="103"/>
        <v>0</v>
      </c>
      <c r="CO119" s="10">
        <f t="shared" si="103"/>
        <v>0</v>
      </c>
      <c r="CP119" s="10">
        <f t="shared" si="103"/>
        <v>0</v>
      </c>
      <c r="CQ119" s="10">
        <f t="shared" si="103"/>
        <v>0</v>
      </c>
      <c r="CR119" s="10">
        <f t="shared" ref="CR119:CT119" si="104">CR46</f>
        <v>0</v>
      </c>
      <c r="CS119" s="10">
        <f t="shared" si="104"/>
        <v>0</v>
      </c>
      <c r="CT119" s="10">
        <f t="shared" si="104"/>
        <v>0</v>
      </c>
      <c r="CU119" s="10"/>
      <c r="CV119" s="10"/>
      <c r="CW119" s="10"/>
      <c r="CX119" s="10"/>
      <c r="CY119" s="10"/>
      <c r="CZ119" s="10"/>
      <c r="DA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</row>
    <row r="120" spans="2:151" ht="12.75" customHeight="1" x14ac:dyDescent="0.25">
      <c r="C120" t="s">
        <v>255</v>
      </c>
      <c r="H120" s="54" t="s">
        <v>3</v>
      </c>
      <c r="N120" s="25" t="e">
        <f>SUM(P120:DR120)</f>
        <v>#REF!</v>
      </c>
      <c r="P120" s="10">
        <f t="shared" ref="P120:CA120" si="105">P109</f>
        <v>0</v>
      </c>
      <c r="Q120" s="10" t="e">
        <f t="shared" si="105"/>
        <v>#REF!</v>
      </c>
      <c r="R120" s="10" t="e">
        <f t="shared" si="105"/>
        <v>#REF!</v>
      </c>
      <c r="S120" s="10" t="e">
        <f t="shared" si="105"/>
        <v>#REF!</v>
      </c>
      <c r="T120" s="10" t="e">
        <f t="shared" si="105"/>
        <v>#REF!</v>
      </c>
      <c r="U120" s="10" t="e">
        <f t="shared" si="105"/>
        <v>#REF!</v>
      </c>
      <c r="V120" s="10" t="e">
        <f t="shared" si="105"/>
        <v>#REF!</v>
      </c>
      <c r="W120" s="10" t="e">
        <f t="shared" si="105"/>
        <v>#REF!</v>
      </c>
      <c r="X120" s="10" t="e">
        <f t="shared" si="105"/>
        <v>#REF!</v>
      </c>
      <c r="Y120" s="10" t="e">
        <f t="shared" si="105"/>
        <v>#REF!</v>
      </c>
      <c r="Z120" s="10" t="e">
        <f t="shared" si="105"/>
        <v>#REF!</v>
      </c>
      <c r="AA120" s="10" t="e">
        <f t="shared" si="105"/>
        <v>#REF!</v>
      </c>
      <c r="AB120" s="10" t="e">
        <f t="shared" si="105"/>
        <v>#REF!</v>
      </c>
      <c r="AC120" s="10" t="e">
        <f t="shared" si="105"/>
        <v>#REF!</v>
      </c>
      <c r="AD120" s="10" t="e">
        <f t="shared" si="105"/>
        <v>#REF!</v>
      </c>
      <c r="AE120" s="10" t="e">
        <f t="shared" si="105"/>
        <v>#REF!</v>
      </c>
      <c r="AF120" s="10" t="e">
        <f t="shared" si="105"/>
        <v>#REF!</v>
      </c>
      <c r="AG120" s="10" t="e">
        <f t="shared" si="105"/>
        <v>#REF!</v>
      </c>
      <c r="AH120" s="10" t="e">
        <f t="shared" si="105"/>
        <v>#REF!</v>
      </c>
      <c r="AI120" s="10" t="e">
        <f t="shared" si="105"/>
        <v>#REF!</v>
      </c>
      <c r="AJ120" s="10" t="e">
        <f t="shared" si="105"/>
        <v>#REF!</v>
      </c>
      <c r="AK120" s="10" t="e">
        <f t="shared" si="105"/>
        <v>#REF!</v>
      </c>
      <c r="AL120" s="10" t="e">
        <f t="shared" si="105"/>
        <v>#REF!</v>
      </c>
      <c r="AM120" s="10" t="e">
        <f t="shared" si="105"/>
        <v>#REF!</v>
      </c>
      <c r="AN120" s="10" t="e">
        <f t="shared" si="105"/>
        <v>#REF!</v>
      </c>
      <c r="AO120" s="10" t="e">
        <f t="shared" si="105"/>
        <v>#REF!</v>
      </c>
      <c r="AP120" s="10" t="e">
        <f t="shared" si="105"/>
        <v>#REF!</v>
      </c>
      <c r="AQ120" s="10" t="e">
        <f t="shared" si="105"/>
        <v>#REF!</v>
      </c>
      <c r="AR120" s="10" t="e">
        <f t="shared" si="105"/>
        <v>#REF!</v>
      </c>
      <c r="AS120" s="10" t="e">
        <f t="shared" si="105"/>
        <v>#REF!</v>
      </c>
      <c r="AT120" s="10" t="e">
        <f t="shared" si="105"/>
        <v>#REF!</v>
      </c>
      <c r="AU120" s="10" t="e">
        <f t="shared" si="105"/>
        <v>#REF!</v>
      </c>
      <c r="AV120" s="10" t="e">
        <f t="shared" si="105"/>
        <v>#REF!</v>
      </c>
      <c r="AW120" s="10" t="e">
        <f t="shared" si="105"/>
        <v>#REF!</v>
      </c>
      <c r="AX120" s="10" t="e">
        <f t="shared" si="105"/>
        <v>#REF!</v>
      </c>
      <c r="AY120" s="10" t="e">
        <f t="shared" si="105"/>
        <v>#REF!</v>
      </c>
      <c r="AZ120" s="10" t="e">
        <f t="shared" si="105"/>
        <v>#REF!</v>
      </c>
      <c r="BA120" s="10" t="e">
        <f t="shared" si="105"/>
        <v>#REF!</v>
      </c>
      <c r="BB120" s="10" t="e">
        <f t="shared" si="105"/>
        <v>#REF!</v>
      </c>
      <c r="BC120" s="10" t="e">
        <f t="shared" si="105"/>
        <v>#REF!</v>
      </c>
      <c r="BD120" s="10" t="e">
        <f t="shared" si="105"/>
        <v>#REF!</v>
      </c>
      <c r="BE120" s="10" t="e">
        <f t="shared" si="105"/>
        <v>#REF!</v>
      </c>
      <c r="BF120" s="10" t="e">
        <f t="shared" si="105"/>
        <v>#REF!</v>
      </c>
      <c r="BG120" s="10" t="e">
        <f t="shared" si="105"/>
        <v>#REF!</v>
      </c>
      <c r="BH120" s="10" t="e">
        <f t="shared" si="105"/>
        <v>#REF!</v>
      </c>
      <c r="BI120" s="10" t="e">
        <f t="shared" si="105"/>
        <v>#REF!</v>
      </c>
      <c r="BJ120" s="10" t="e">
        <f t="shared" si="105"/>
        <v>#REF!</v>
      </c>
      <c r="BK120" s="10" t="e">
        <f t="shared" si="105"/>
        <v>#REF!</v>
      </c>
      <c r="BL120" s="10" t="e">
        <f t="shared" si="105"/>
        <v>#REF!</v>
      </c>
      <c r="BM120" s="10" t="e">
        <f t="shared" si="105"/>
        <v>#REF!</v>
      </c>
      <c r="BN120" s="10" t="e">
        <f t="shared" si="105"/>
        <v>#REF!</v>
      </c>
      <c r="BO120" s="10" t="e">
        <f t="shared" si="105"/>
        <v>#REF!</v>
      </c>
      <c r="BP120" s="10" t="e">
        <f t="shared" si="105"/>
        <v>#REF!</v>
      </c>
      <c r="BQ120" s="10" t="e">
        <f t="shared" si="105"/>
        <v>#REF!</v>
      </c>
      <c r="BR120" s="10" t="e">
        <f t="shared" si="105"/>
        <v>#REF!</v>
      </c>
      <c r="BS120" s="10" t="e">
        <f t="shared" si="105"/>
        <v>#REF!</v>
      </c>
      <c r="BT120" s="10" t="e">
        <f t="shared" si="105"/>
        <v>#REF!</v>
      </c>
      <c r="BU120" s="10" t="e">
        <f t="shared" si="105"/>
        <v>#REF!</v>
      </c>
      <c r="BV120" s="10" t="e">
        <f t="shared" si="105"/>
        <v>#REF!</v>
      </c>
      <c r="BW120" s="10" t="e">
        <f t="shared" si="105"/>
        <v>#REF!</v>
      </c>
      <c r="BX120" s="10" t="e">
        <f t="shared" si="105"/>
        <v>#REF!</v>
      </c>
      <c r="BY120" s="10" t="e">
        <f t="shared" si="105"/>
        <v>#REF!</v>
      </c>
      <c r="BZ120" s="10" t="e">
        <f t="shared" si="105"/>
        <v>#REF!</v>
      </c>
      <c r="CA120" s="10" t="e">
        <f t="shared" si="105"/>
        <v>#REF!</v>
      </c>
      <c r="CB120" s="10" t="e">
        <f t="shared" ref="CB120:CQ120" si="106">CB109</f>
        <v>#REF!</v>
      </c>
      <c r="CC120" s="10" t="e">
        <f t="shared" si="106"/>
        <v>#REF!</v>
      </c>
      <c r="CD120" s="10" t="e">
        <f t="shared" si="106"/>
        <v>#REF!</v>
      </c>
      <c r="CE120" s="10" t="e">
        <f t="shared" si="106"/>
        <v>#REF!</v>
      </c>
      <c r="CF120" s="10" t="e">
        <f t="shared" si="106"/>
        <v>#REF!</v>
      </c>
      <c r="CG120" s="10" t="e">
        <f t="shared" si="106"/>
        <v>#REF!</v>
      </c>
      <c r="CH120" s="10" t="e">
        <f t="shared" si="106"/>
        <v>#REF!</v>
      </c>
      <c r="CI120" s="10" t="e">
        <f t="shared" si="106"/>
        <v>#REF!</v>
      </c>
      <c r="CJ120" s="10" t="e">
        <f t="shared" si="106"/>
        <v>#REF!</v>
      </c>
      <c r="CK120" s="10" t="e">
        <f t="shared" si="106"/>
        <v>#REF!</v>
      </c>
      <c r="CL120" s="10" t="e">
        <f t="shared" si="106"/>
        <v>#REF!</v>
      </c>
      <c r="CM120" s="10" t="e">
        <f t="shared" si="106"/>
        <v>#REF!</v>
      </c>
      <c r="CN120" s="10" t="e">
        <f t="shared" si="106"/>
        <v>#REF!</v>
      </c>
      <c r="CO120" s="10" t="e">
        <f t="shared" si="106"/>
        <v>#REF!</v>
      </c>
      <c r="CP120" s="10" t="e">
        <f t="shared" si="106"/>
        <v>#REF!</v>
      </c>
      <c r="CQ120" s="10" t="e">
        <f t="shared" si="106"/>
        <v>#REF!</v>
      </c>
      <c r="CR120" s="10" t="e">
        <f t="shared" ref="CR120:CT120" si="107">CR109</f>
        <v>#REF!</v>
      </c>
      <c r="CS120" s="10" t="e">
        <f t="shared" si="107"/>
        <v>#REF!</v>
      </c>
      <c r="CT120" s="10" t="e">
        <f t="shared" si="107"/>
        <v>#REF!</v>
      </c>
      <c r="CU120" s="10"/>
      <c r="CV120" s="10"/>
      <c r="CW120" s="10"/>
      <c r="CX120" s="10"/>
      <c r="CY120" s="10"/>
      <c r="CZ120" s="10"/>
      <c r="DA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  <c r="DV120" s="10"/>
      <c r="DW120" s="10"/>
      <c r="DX120" s="10"/>
      <c r="DY120" s="10"/>
      <c r="DZ120" s="10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</row>
    <row r="121" spans="2:151" ht="12.75" customHeight="1" x14ac:dyDescent="0.25">
      <c r="C121" t="s">
        <v>256</v>
      </c>
      <c r="H121" s="54" t="s">
        <v>3</v>
      </c>
      <c r="N121" s="25" t="e">
        <f>SUM(P121:DR121)</f>
        <v>#REF!</v>
      </c>
      <c r="P121" s="10">
        <f>ABS(MIN(0,P119-P120))</f>
        <v>0</v>
      </c>
      <c r="Q121" s="10" t="e">
        <f t="shared" ref="Q121:CB121" si="108">ABS(MIN(0,Q119-Q120))</f>
        <v>#REF!</v>
      </c>
      <c r="R121" s="10" t="e">
        <f t="shared" si="108"/>
        <v>#REF!</v>
      </c>
      <c r="S121" s="10" t="e">
        <f t="shared" si="108"/>
        <v>#REF!</v>
      </c>
      <c r="T121" s="10" t="e">
        <f t="shared" si="108"/>
        <v>#REF!</v>
      </c>
      <c r="U121" s="10" t="e">
        <f t="shared" si="108"/>
        <v>#REF!</v>
      </c>
      <c r="V121" s="10" t="e">
        <f t="shared" si="108"/>
        <v>#REF!</v>
      </c>
      <c r="W121" s="10" t="e">
        <f t="shared" si="108"/>
        <v>#REF!</v>
      </c>
      <c r="X121" s="10" t="e">
        <f t="shared" si="108"/>
        <v>#REF!</v>
      </c>
      <c r="Y121" s="10" t="e">
        <f t="shared" si="108"/>
        <v>#REF!</v>
      </c>
      <c r="Z121" s="10" t="e">
        <f t="shared" si="108"/>
        <v>#REF!</v>
      </c>
      <c r="AA121" s="10" t="e">
        <f t="shared" si="108"/>
        <v>#REF!</v>
      </c>
      <c r="AB121" s="10" t="e">
        <f t="shared" si="108"/>
        <v>#REF!</v>
      </c>
      <c r="AC121" s="10" t="e">
        <f t="shared" si="108"/>
        <v>#REF!</v>
      </c>
      <c r="AD121" s="10" t="e">
        <f t="shared" si="108"/>
        <v>#REF!</v>
      </c>
      <c r="AE121" s="10" t="e">
        <f t="shared" si="108"/>
        <v>#REF!</v>
      </c>
      <c r="AF121" s="10" t="e">
        <f t="shared" si="108"/>
        <v>#REF!</v>
      </c>
      <c r="AG121" s="10" t="e">
        <f t="shared" si="108"/>
        <v>#REF!</v>
      </c>
      <c r="AH121" s="10" t="e">
        <f t="shared" si="108"/>
        <v>#REF!</v>
      </c>
      <c r="AI121" s="10" t="e">
        <f t="shared" si="108"/>
        <v>#REF!</v>
      </c>
      <c r="AJ121" s="10" t="e">
        <f t="shared" si="108"/>
        <v>#REF!</v>
      </c>
      <c r="AK121" s="10" t="e">
        <f t="shared" si="108"/>
        <v>#REF!</v>
      </c>
      <c r="AL121" s="10" t="e">
        <f t="shared" si="108"/>
        <v>#REF!</v>
      </c>
      <c r="AM121" s="10" t="e">
        <f t="shared" si="108"/>
        <v>#REF!</v>
      </c>
      <c r="AN121" s="10" t="e">
        <f t="shared" si="108"/>
        <v>#REF!</v>
      </c>
      <c r="AO121" s="10" t="e">
        <f t="shared" si="108"/>
        <v>#REF!</v>
      </c>
      <c r="AP121" s="10" t="e">
        <f t="shared" si="108"/>
        <v>#REF!</v>
      </c>
      <c r="AQ121" s="10" t="e">
        <f t="shared" si="108"/>
        <v>#REF!</v>
      </c>
      <c r="AR121" s="10" t="e">
        <f t="shared" si="108"/>
        <v>#REF!</v>
      </c>
      <c r="AS121" s="10" t="e">
        <f t="shared" si="108"/>
        <v>#REF!</v>
      </c>
      <c r="AT121" s="10" t="e">
        <f t="shared" si="108"/>
        <v>#REF!</v>
      </c>
      <c r="AU121" s="10" t="e">
        <f t="shared" si="108"/>
        <v>#REF!</v>
      </c>
      <c r="AV121" s="10" t="e">
        <f t="shared" si="108"/>
        <v>#REF!</v>
      </c>
      <c r="AW121" s="10" t="e">
        <f t="shared" si="108"/>
        <v>#REF!</v>
      </c>
      <c r="AX121" s="10" t="e">
        <f t="shared" si="108"/>
        <v>#REF!</v>
      </c>
      <c r="AY121" s="10" t="e">
        <f t="shared" si="108"/>
        <v>#REF!</v>
      </c>
      <c r="AZ121" s="10" t="e">
        <f t="shared" si="108"/>
        <v>#REF!</v>
      </c>
      <c r="BA121" s="10" t="e">
        <f t="shared" si="108"/>
        <v>#REF!</v>
      </c>
      <c r="BB121" s="10" t="e">
        <f t="shared" si="108"/>
        <v>#REF!</v>
      </c>
      <c r="BC121" s="10" t="e">
        <f t="shared" si="108"/>
        <v>#REF!</v>
      </c>
      <c r="BD121" s="10" t="e">
        <f t="shared" si="108"/>
        <v>#REF!</v>
      </c>
      <c r="BE121" s="10" t="e">
        <f t="shared" si="108"/>
        <v>#REF!</v>
      </c>
      <c r="BF121" s="10" t="e">
        <f t="shared" si="108"/>
        <v>#REF!</v>
      </c>
      <c r="BG121" s="10" t="e">
        <f t="shared" si="108"/>
        <v>#REF!</v>
      </c>
      <c r="BH121" s="10" t="e">
        <f t="shared" si="108"/>
        <v>#REF!</v>
      </c>
      <c r="BI121" s="10" t="e">
        <f t="shared" si="108"/>
        <v>#REF!</v>
      </c>
      <c r="BJ121" s="10" t="e">
        <f t="shared" si="108"/>
        <v>#REF!</v>
      </c>
      <c r="BK121" s="10" t="e">
        <f t="shared" si="108"/>
        <v>#REF!</v>
      </c>
      <c r="BL121" s="10" t="e">
        <f t="shared" si="108"/>
        <v>#REF!</v>
      </c>
      <c r="BM121" s="10" t="e">
        <f t="shared" si="108"/>
        <v>#REF!</v>
      </c>
      <c r="BN121" s="10" t="e">
        <f t="shared" si="108"/>
        <v>#REF!</v>
      </c>
      <c r="BO121" s="10" t="e">
        <f t="shared" si="108"/>
        <v>#REF!</v>
      </c>
      <c r="BP121" s="10" t="e">
        <f t="shared" si="108"/>
        <v>#REF!</v>
      </c>
      <c r="BQ121" s="10" t="e">
        <f t="shared" si="108"/>
        <v>#REF!</v>
      </c>
      <c r="BR121" s="10" t="e">
        <f t="shared" si="108"/>
        <v>#REF!</v>
      </c>
      <c r="BS121" s="10" t="e">
        <f t="shared" si="108"/>
        <v>#REF!</v>
      </c>
      <c r="BT121" s="10" t="e">
        <f t="shared" si="108"/>
        <v>#REF!</v>
      </c>
      <c r="BU121" s="10" t="e">
        <f t="shared" si="108"/>
        <v>#REF!</v>
      </c>
      <c r="BV121" s="10" t="e">
        <f t="shared" si="108"/>
        <v>#REF!</v>
      </c>
      <c r="BW121" s="10" t="e">
        <f t="shared" si="108"/>
        <v>#REF!</v>
      </c>
      <c r="BX121" s="10" t="e">
        <f t="shared" si="108"/>
        <v>#REF!</v>
      </c>
      <c r="BY121" s="10" t="e">
        <f t="shared" si="108"/>
        <v>#REF!</v>
      </c>
      <c r="BZ121" s="10" t="e">
        <f t="shared" si="108"/>
        <v>#REF!</v>
      </c>
      <c r="CA121" s="10" t="e">
        <f t="shared" si="108"/>
        <v>#REF!</v>
      </c>
      <c r="CB121" s="10" t="e">
        <f t="shared" si="108"/>
        <v>#REF!</v>
      </c>
      <c r="CC121" s="10" t="e">
        <f t="shared" ref="CC121:CQ121" si="109">ABS(MIN(0,CC119-CC120))</f>
        <v>#REF!</v>
      </c>
      <c r="CD121" s="10" t="e">
        <f t="shared" si="109"/>
        <v>#REF!</v>
      </c>
      <c r="CE121" s="10" t="e">
        <f t="shared" si="109"/>
        <v>#REF!</v>
      </c>
      <c r="CF121" s="10" t="e">
        <f t="shared" si="109"/>
        <v>#REF!</v>
      </c>
      <c r="CG121" s="10" t="e">
        <f t="shared" si="109"/>
        <v>#REF!</v>
      </c>
      <c r="CH121" s="10" t="e">
        <f t="shared" si="109"/>
        <v>#REF!</v>
      </c>
      <c r="CI121" s="10" t="e">
        <f t="shared" si="109"/>
        <v>#REF!</v>
      </c>
      <c r="CJ121" s="10" t="e">
        <f t="shared" si="109"/>
        <v>#REF!</v>
      </c>
      <c r="CK121" s="10" t="e">
        <f t="shared" si="109"/>
        <v>#REF!</v>
      </c>
      <c r="CL121" s="10" t="e">
        <f t="shared" si="109"/>
        <v>#REF!</v>
      </c>
      <c r="CM121" s="10" t="e">
        <f t="shared" si="109"/>
        <v>#REF!</v>
      </c>
      <c r="CN121" s="10" t="e">
        <f t="shared" si="109"/>
        <v>#REF!</v>
      </c>
      <c r="CO121" s="10" t="e">
        <f t="shared" si="109"/>
        <v>#REF!</v>
      </c>
      <c r="CP121" s="10" t="e">
        <f t="shared" si="109"/>
        <v>#REF!</v>
      </c>
      <c r="CQ121" s="10" t="e">
        <f t="shared" si="109"/>
        <v>#REF!</v>
      </c>
      <c r="CR121" s="10" t="e">
        <f t="shared" ref="CR121:CT121" si="110">ABS(MIN(0,CR119-CR120))</f>
        <v>#REF!</v>
      </c>
      <c r="CS121" s="10" t="e">
        <f t="shared" si="110"/>
        <v>#REF!</v>
      </c>
      <c r="CT121" s="10" t="e">
        <f t="shared" si="110"/>
        <v>#REF!</v>
      </c>
      <c r="CU121" s="10"/>
      <c r="CV121" s="10"/>
      <c r="CW121" s="10"/>
      <c r="CX121" s="10"/>
      <c r="CY121" s="10"/>
      <c r="CZ121" s="10"/>
      <c r="DA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  <c r="EA121" s="10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</row>
    <row r="122" spans="2:151" ht="12.75" customHeight="1" x14ac:dyDescent="0.25">
      <c r="H122" s="54"/>
      <c r="N122" s="148"/>
    </row>
    <row r="123" spans="2:151" ht="12.75" customHeight="1" x14ac:dyDescent="0.25">
      <c r="C123" t="s">
        <v>179</v>
      </c>
      <c r="H123" s="54" t="s">
        <v>3</v>
      </c>
      <c r="N123" s="148"/>
      <c r="P123" s="51">
        <f>O126</f>
        <v>0</v>
      </c>
      <c r="Q123" s="51" t="e">
        <f t="shared" ref="Q123:CB123" si="111">P126</f>
        <v>#REF!</v>
      </c>
      <c r="R123" s="51" t="e">
        <f t="shared" si="111"/>
        <v>#REF!</v>
      </c>
      <c r="S123" s="51" t="e">
        <f t="shared" si="111"/>
        <v>#REF!</v>
      </c>
      <c r="T123" s="51" t="e">
        <f t="shared" si="111"/>
        <v>#REF!</v>
      </c>
      <c r="U123" s="51" t="e">
        <f t="shared" si="111"/>
        <v>#REF!</v>
      </c>
      <c r="V123" s="51" t="e">
        <f t="shared" si="111"/>
        <v>#REF!</v>
      </c>
      <c r="W123" s="51" t="e">
        <f t="shared" si="111"/>
        <v>#REF!</v>
      </c>
      <c r="X123" s="51" t="e">
        <f t="shared" si="111"/>
        <v>#REF!</v>
      </c>
      <c r="Y123" s="51" t="e">
        <f t="shared" si="111"/>
        <v>#REF!</v>
      </c>
      <c r="Z123" s="51" t="e">
        <f t="shared" si="111"/>
        <v>#REF!</v>
      </c>
      <c r="AA123" s="51" t="e">
        <f t="shared" si="111"/>
        <v>#REF!</v>
      </c>
      <c r="AB123" s="51" t="e">
        <f t="shared" si="111"/>
        <v>#REF!</v>
      </c>
      <c r="AC123" s="51" t="e">
        <f t="shared" si="111"/>
        <v>#REF!</v>
      </c>
      <c r="AD123" s="51" t="e">
        <f t="shared" si="111"/>
        <v>#REF!</v>
      </c>
      <c r="AE123" s="51" t="e">
        <f t="shared" si="111"/>
        <v>#REF!</v>
      </c>
      <c r="AF123" s="51" t="e">
        <f t="shared" si="111"/>
        <v>#REF!</v>
      </c>
      <c r="AG123" s="51" t="e">
        <f t="shared" si="111"/>
        <v>#REF!</v>
      </c>
      <c r="AH123" s="51" t="e">
        <f t="shared" si="111"/>
        <v>#REF!</v>
      </c>
      <c r="AI123" s="51" t="e">
        <f t="shared" si="111"/>
        <v>#REF!</v>
      </c>
      <c r="AJ123" s="51" t="e">
        <f t="shared" si="111"/>
        <v>#REF!</v>
      </c>
      <c r="AK123" s="51" t="e">
        <f t="shared" si="111"/>
        <v>#REF!</v>
      </c>
      <c r="AL123" s="51" t="e">
        <f t="shared" si="111"/>
        <v>#REF!</v>
      </c>
      <c r="AM123" s="51" t="e">
        <f t="shared" si="111"/>
        <v>#REF!</v>
      </c>
      <c r="AN123" s="51" t="e">
        <f t="shared" si="111"/>
        <v>#REF!</v>
      </c>
      <c r="AO123" s="51" t="e">
        <f t="shared" si="111"/>
        <v>#REF!</v>
      </c>
      <c r="AP123" s="51" t="e">
        <f t="shared" si="111"/>
        <v>#REF!</v>
      </c>
      <c r="AQ123" s="51" t="e">
        <f t="shared" si="111"/>
        <v>#REF!</v>
      </c>
      <c r="AR123" s="51" t="e">
        <f t="shared" si="111"/>
        <v>#REF!</v>
      </c>
      <c r="AS123" s="51" t="e">
        <f t="shared" si="111"/>
        <v>#REF!</v>
      </c>
      <c r="AT123" s="51" t="e">
        <f t="shared" si="111"/>
        <v>#REF!</v>
      </c>
      <c r="AU123" s="51" t="e">
        <f t="shared" si="111"/>
        <v>#REF!</v>
      </c>
      <c r="AV123" s="51" t="e">
        <f t="shared" si="111"/>
        <v>#REF!</v>
      </c>
      <c r="AW123" s="51" t="e">
        <f t="shared" si="111"/>
        <v>#REF!</v>
      </c>
      <c r="AX123" s="51" t="e">
        <f t="shared" si="111"/>
        <v>#REF!</v>
      </c>
      <c r="AY123" s="51" t="e">
        <f t="shared" si="111"/>
        <v>#REF!</v>
      </c>
      <c r="AZ123" s="51" t="e">
        <f t="shared" si="111"/>
        <v>#REF!</v>
      </c>
      <c r="BA123" s="51" t="e">
        <f t="shared" si="111"/>
        <v>#REF!</v>
      </c>
      <c r="BB123" s="51" t="e">
        <f t="shared" si="111"/>
        <v>#REF!</v>
      </c>
      <c r="BC123" s="51" t="e">
        <f t="shared" si="111"/>
        <v>#REF!</v>
      </c>
      <c r="BD123" s="51" t="e">
        <f t="shared" si="111"/>
        <v>#REF!</v>
      </c>
      <c r="BE123" s="51" t="e">
        <f t="shared" si="111"/>
        <v>#REF!</v>
      </c>
      <c r="BF123" s="51" t="e">
        <f t="shared" si="111"/>
        <v>#REF!</v>
      </c>
      <c r="BG123" s="51" t="e">
        <f t="shared" si="111"/>
        <v>#REF!</v>
      </c>
      <c r="BH123" s="51" t="e">
        <f t="shared" si="111"/>
        <v>#REF!</v>
      </c>
      <c r="BI123" s="51" t="e">
        <f t="shared" si="111"/>
        <v>#REF!</v>
      </c>
      <c r="BJ123" s="51" t="e">
        <f t="shared" si="111"/>
        <v>#REF!</v>
      </c>
      <c r="BK123" s="51" t="e">
        <f t="shared" si="111"/>
        <v>#REF!</v>
      </c>
      <c r="BL123" s="51" t="e">
        <f t="shared" si="111"/>
        <v>#REF!</v>
      </c>
      <c r="BM123" s="51" t="e">
        <f t="shared" si="111"/>
        <v>#REF!</v>
      </c>
      <c r="BN123" s="51" t="e">
        <f t="shared" si="111"/>
        <v>#REF!</v>
      </c>
      <c r="BO123" s="51" t="e">
        <f t="shared" si="111"/>
        <v>#REF!</v>
      </c>
      <c r="BP123" s="51" t="e">
        <f t="shared" si="111"/>
        <v>#REF!</v>
      </c>
      <c r="BQ123" s="51" t="e">
        <f t="shared" si="111"/>
        <v>#REF!</v>
      </c>
      <c r="BR123" s="51" t="e">
        <f t="shared" si="111"/>
        <v>#REF!</v>
      </c>
      <c r="BS123" s="51" t="e">
        <f t="shared" si="111"/>
        <v>#REF!</v>
      </c>
      <c r="BT123" s="51" t="e">
        <f t="shared" si="111"/>
        <v>#REF!</v>
      </c>
      <c r="BU123" s="51" t="e">
        <f t="shared" si="111"/>
        <v>#REF!</v>
      </c>
      <c r="BV123" s="51" t="e">
        <f t="shared" si="111"/>
        <v>#REF!</v>
      </c>
      <c r="BW123" s="51" t="e">
        <f t="shared" si="111"/>
        <v>#REF!</v>
      </c>
      <c r="BX123" s="51" t="e">
        <f t="shared" si="111"/>
        <v>#REF!</v>
      </c>
      <c r="BY123" s="51" t="e">
        <f t="shared" si="111"/>
        <v>#REF!</v>
      </c>
      <c r="BZ123" s="51" t="e">
        <f t="shared" si="111"/>
        <v>#REF!</v>
      </c>
      <c r="CA123" s="51" t="e">
        <f t="shared" si="111"/>
        <v>#REF!</v>
      </c>
      <c r="CB123" s="51" t="e">
        <f t="shared" si="111"/>
        <v>#REF!</v>
      </c>
      <c r="CC123" s="51" t="e">
        <f t="shared" ref="CC123:CQ123" si="112">CB126</f>
        <v>#REF!</v>
      </c>
      <c r="CD123" s="51" t="e">
        <f t="shared" si="112"/>
        <v>#REF!</v>
      </c>
      <c r="CE123" s="51" t="e">
        <f t="shared" si="112"/>
        <v>#REF!</v>
      </c>
      <c r="CF123" s="51" t="e">
        <f t="shared" si="112"/>
        <v>#REF!</v>
      </c>
      <c r="CG123" s="51" t="e">
        <f t="shared" si="112"/>
        <v>#REF!</v>
      </c>
      <c r="CH123" s="51" t="e">
        <f t="shared" si="112"/>
        <v>#REF!</v>
      </c>
      <c r="CI123" s="51" t="e">
        <f t="shared" si="112"/>
        <v>#REF!</v>
      </c>
      <c r="CJ123" s="51" t="e">
        <f t="shared" si="112"/>
        <v>#REF!</v>
      </c>
      <c r="CK123" s="51" t="e">
        <f t="shared" si="112"/>
        <v>#REF!</v>
      </c>
      <c r="CL123" s="51" t="e">
        <f t="shared" si="112"/>
        <v>#REF!</v>
      </c>
      <c r="CM123" s="51" t="e">
        <f t="shared" si="112"/>
        <v>#REF!</v>
      </c>
      <c r="CN123" s="51" t="e">
        <f t="shared" si="112"/>
        <v>#REF!</v>
      </c>
      <c r="CO123" s="51" t="e">
        <f t="shared" si="112"/>
        <v>#REF!</v>
      </c>
      <c r="CP123" s="51" t="e">
        <f t="shared" si="112"/>
        <v>#REF!</v>
      </c>
      <c r="CQ123" s="51" t="e">
        <f t="shared" si="112"/>
        <v>#REF!</v>
      </c>
      <c r="CR123" s="51" t="e">
        <f t="shared" ref="CR123" si="113">CQ126</f>
        <v>#REF!</v>
      </c>
      <c r="CS123" s="51" t="e">
        <f t="shared" ref="CS123" si="114">CR126</f>
        <v>#REF!</v>
      </c>
      <c r="CT123" s="51" t="e">
        <f t="shared" ref="CT123" si="115">CS126</f>
        <v>#REF!</v>
      </c>
      <c r="CU123" s="51"/>
      <c r="CV123" s="51"/>
      <c r="CW123" s="51"/>
      <c r="CX123" s="51"/>
      <c r="CY123" s="51"/>
      <c r="CZ123" s="51"/>
      <c r="DA123" s="51"/>
      <c r="DC123" s="51"/>
      <c r="DD123" s="51"/>
      <c r="DE123" s="51"/>
      <c r="DF123" s="51"/>
      <c r="DG123" s="51"/>
      <c r="DH123" s="51"/>
      <c r="DI123" s="51"/>
      <c r="DJ123" s="51"/>
      <c r="DK123" s="51"/>
      <c r="DL123" s="51"/>
      <c r="DM123" s="51"/>
      <c r="DN123" s="51"/>
      <c r="DO123" s="51"/>
      <c r="DP123" s="51"/>
      <c r="DQ123" s="51"/>
      <c r="DR123" s="51"/>
      <c r="DS123" s="51"/>
      <c r="DT123" s="51"/>
      <c r="DU123" s="51"/>
      <c r="DV123" s="51"/>
      <c r="DW123" s="51"/>
      <c r="DX123" s="51"/>
      <c r="DY123" s="51"/>
      <c r="DZ123" s="51"/>
      <c r="EA123" s="51"/>
      <c r="EB123" s="51"/>
      <c r="EC123" s="51"/>
      <c r="ED123" s="51"/>
      <c r="EE123" s="51"/>
      <c r="EF123" s="51"/>
      <c r="EG123" s="51"/>
      <c r="EH123" s="51"/>
      <c r="EI123" s="51"/>
      <c r="EJ123" s="51"/>
      <c r="EK123" s="51"/>
      <c r="EL123" s="51"/>
      <c r="EM123" s="51"/>
      <c r="EN123" s="51"/>
      <c r="EO123" s="51"/>
      <c r="EP123" s="51"/>
      <c r="EQ123" s="51"/>
      <c r="ER123" s="51"/>
      <c r="ES123" s="51"/>
      <c r="ET123" s="51"/>
      <c r="EU123" s="51"/>
    </row>
    <row r="124" spans="2:151" ht="12.75" customHeight="1" x14ac:dyDescent="0.25">
      <c r="C124" s="54" t="s">
        <v>34</v>
      </c>
      <c r="D124" t="s">
        <v>241</v>
      </c>
      <c r="H124" s="54" t="s">
        <v>3</v>
      </c>
      <c r="N124" s="25" t="e">
        <f>SUM(P124:DR124)</f>
        <v>#REF!</v>
      </c>
      <c r="P124" s="10">
        <f>MIN($J117-P123,P121)</f>
        <v>0</v>
      </c>
      <c r="Q124" s="10" t="e">
        <f t="shared" ref="Q124:CB124" si="116">MIN($J117-Q123,Q121)</f>
        <v>#REF!</v>
      </c>
      <c r="R124" s="10" t="e">
        <f t="shared" si="116"/>
        <v>#REF!</v>
      </c>
      <c r="S124" s="10" t="e">
        <f t="shared" si="116"/>
        <v>#REF!</v>
      </c>
      <c r="T124" s="10" t="e">
        <f t="shared" si="116"/>
        <v>#REF!</v>
      </c>
      <c r="U124" s="10" t="e">
        <f t="shared" si="116"/>
        <v>#REF!</v>
      </c>
      <c r="V124" s="10" t="e">
        <f t="shared" si="116"/>
        <v>#REF!</v>
      </c>
      <c r="W124" s="10" t="e">
        <f t="shared" si="116"/>
        <v>#REF!</v>
      </c>
      <c r="X124" s="10" t="e">
        <f t="shared" si="116"/>
        <v>#REF!</v>
      </c>
      <c r="Y124" s="10" t="e">
        <f t="shared" si="116"/>
        <v>#REF!</v>
      </c>
      <c r="Z124" s="10" t="e">
        <f t="shared" si="116"/>
        <v>#REF!</v>
      </c>
      <c r="AA124" s="10" t="e">
        <f t="shared" si="116"/>
        <v>#REF!</v>
      </c>
      <c r="AB124" s="10" t="e">
        <f t="shared" si="116"/>
        <v>#REF!</v>
      </c>
      <c r="AC124" s="10" t="e">
        <f t="shared" si="116"/>
        <v>#REF!</v>
      </c>
      <c r="AD124" s="10" t="e">
        <f t="shared" si="116"/>
        <v>#REF!</v>
      </c>
      <c r="AE124" s="10" t="e">
        <f t="shared" si="116"/>
        <v>#REF!</v>
      </c>
      <c r="AF124" s="10" t="e">
        <f t="shared" si="116"/>
        <v>#REF!</v>
      </c>
      <c r="AG124" s="10" t="e">
        <f t="shared" si="116"/>
        <v>#REF!</v>
      </c>
      <c r="AH124" s="10" t="e">
        <f t="shared" si="116"/>
        <v>#REF!</v>
      </c>
      <c r="AI124" s="10" t="e">
        <f t="shared" si="116"/>
        <v>#REF!</v>
      </c>
      <c r="AJ124" s="10" t="e">
        <f t="shared" si="116"/>
        <v>#REF!</v>
      </c>
      <c r="AK124" s="10" t="e">
        <f t="shared" si="116"/>
        <v>#REF!</v>
      </c>
      <c r="AL124" s="10" t="e">
        <f t="shared" si="116"/>
        <v>#REF!</v>
      </c>
      <c r="AM124" s="10" t="e">
        <f t="shared" si="116"/>
        <v>#REF!</v>
      </c>
      <c r="AN124" s="10" t="e">
        <f t="shared" si="116"/>
        <v>#REF!</v>
      </c>
      <c r="AO124" s="10" t="e">
        <f t="shared" si="116"/>
        <v>#REF!</v>
      </c>
      <c r="AP124" s="10" t="e">
        <f t="shared" si="116"/>
        <v>#REF!</v>
      </c>
      <c r="AQ124" s="10" t="e">
        <f t="shared" si="116"/>
        <v>#REF!</v>
      </c>
      <c r="AR124" s="10" t="e">
        <f t="shared" si="116"/>
        <v>#REF!</v>
      </c>
      <c r="AS124" s="10" t="e">
        <f t="shared" si="116"/>
        <v>#REF!</v>
      </c>
      <c r="AT124" s="10" t="e">
        <f t="shared" si="116"/>
        <v>#REF!</v>
      </c>
      <c r="AU124" s="10" t="e">
        <f t="shared" si="116"/>
        <v>#REF!</v>
      </c>
      <c r="AV124" s="10" t="e">
        <f t="shared" si="116"/>
        <v>#REF!</v>
      </c>
      <c r="AW124" s="10" t="e">
        <f t="shared" si="116"/>
        <v>#REF!</v>
      </c>
      <c r="AX124" s="10" t="e">
        <f t="shared" si="116"/>
        <v>#REF!</v>
      </c>
      <c r="AY124" s="10" t="e">
        <f t="shared" si="116"/>
        <v>#REF!</v>
      </c>
      <c r="AZ124" s="10" t="e">
        <f t="shared" si="116"/>
        <v>#REF!</v>
      </c>
      <c r="BA124" s="10" t="e">
        <f t="shared" si="116"/>
        <v>#REF!</v>
      </c>
      <c r="BB124" s="10" t="e">
        <f t="shared" si="116"/>
        <v>#REF!</v>
      </c>
      <c r="BC124" s="10" t="e">
        <f t="shared" si="116"/>
        <v>#REF!</v>
      </c>
      <c r="BD124" s="10" t="e">
        <f t="shared" si="116"/>
        <v>#REF!</v>
      </c>
      <c r="BE124" s="10" t="e">
        <f t="shared" si="116"/>
        <v>#REF!</v>
      </c>
      <c r="BF124" s="10" t="e">
        <f t="shared" si="116"/>
        <v>#REF!</v>
      </c>
      <c r="BG124" s="10" t="e">
        <f t="shared" si="116"/>
        <v>#REF!</v>
      </c>
      <c r="BH124" s="10" t="e">
        <f t="shared" si="116"/>
        <v>#REF!</v>
      </c>
      <c r="BI124" s="10" t="e">
        <f t="shared" si="116"/>
        <v>#REF!</v>
      </c>
      <c r="BJ124" s="10" t="e">
        <f t="shared" si="116"/>
        <v>#REF!</v>
      </c>
      <c r="BK124" s="10" t="e">
        <f t="shared" si="116"/>
        <v>#REF!</v>
      </c>
      <c r="BL124" s="10" t="e">
        <f t="shared" si="116"/>
        <v>#REF!</v>
      </c>
      <c r="BM124" s="10" t="e">
        <f t="shared" si="116"/>
        <v>#REF!</v>
      </c>
      <c r="BN124" s="10" t="e">
        <f t="shared" si="116"/>
        <v>#REF!</v>
      </c>
      <c r="BO124" s="10" t="e">
        <f t="shared" si="116"/>
        <v>#REF!</v>
      </c>
      <c r="BP124" s="10" t="e">
        <f t="shared" si="116"/>
        <v>#REF!</v>
      </c>
      <c r="BQ124" s="10" t="e">
        <f t="shared" si="116"/>
        <v>#REF!</v>
      </c>
      <c r="BR124" s="10" t="e">
        <f t="shared" si="116"/>
        <v>#REF!</v>
      </c>
      <c r="BS124" s="10" t="e">
        <f t="shared" si="116"/>
        <v>#REF!</v>
      </c>
      <c r="BT124" s="10" t="e">
        <f t="shared" si="116"/>
        <v>#REF!</v>
      </c>
      <c r="BU124" s="10" t="e">
        <f t="shared" si="116"/>
        <v>#REF!</v>
      </c>
      <c r="BV124" s="10" t="e">
        <f t="shared" si="116"/>
        <v>#REF!</v>
      </c>
      <c r="BW124" s="10" t="e">
        <f t="shared" si="116"/>
        <v>#REF!</v>
      </c>
      <c r="BX124" s="10" t="e">
        <f t="shared" si="116"/>
        <v>#REF!</v>
      </c>
      <c r="BY124" s="10" t="e">
        <f t="shared" si="116"/>
        <v>#REF!</v>
      </c>
      <c r="BZ124" s="10" t="e">
        <f t="shared" si="116"/>
        <v>#REF!</v>
      </c>
      <c r="CA124" s="10" t="e">
        <f t="shared" si="116"/>
        <v>#REF!</v>
      </c>
      <c r="CB124" s="10" t="e">
        <f t="shared" si="116"/>
        <v>#REF!</v>
      </c>
      <c r="CC124" s="10" t="e">
        <f t="shared" ref="CC124:CQ124" si="117">MIN($J117-CC123,CC121)</f>
        <v>#REF!</v>
      </c>
      <c r="CD124" s="10" t="e">
        <f t="shared" si="117"/>
        <v>#REF!</v>
      </c>
      <c r="CE124" s="10" t="e">
        <f t="shared" si="117"/>
        <v>#REF!</v>
      </c>
      <c r="CF124" s="10" t="e">
        <f t="shared" si="117"/>
        <v>#REF!</v>
      </c>
      <c r="CG124" s="10" t="e">
        <f t="shared" si="117"/>
        <v>#REF!</v>
      </c>
      <c r="CH124" s="10" t="e">
        <f t="shared" si="117"/>
        <v>#REF!</v>
      </c>
      <c r="CI124" s="10" t="e">
        <f t="shared" si="117"/>
        <v>#REF!</v>
      </c>
      <c r="CJ124" s="10" t="e">
        <f t="shared" si="117"/>
        <v>#REF!</v>
      </c>
      <c r="CK124" s="10" t="e">
        <f t="shared" si="117"/>
        <v>#REF!</v>
      </c>
      <c r="CL124" s="10" t="e">
        <f t="shared" si="117"/>
        <v>#REF!</v>
      </c>
      <c r="CM124" s="10" t="e">
        <f t="shared" si="117"/>
        <v>#REF!</v>
      </c>
      <c r="CN124" s="10" t="e">
        <f t="shared" si="117"/>
        <v>#REF!</v>
      </c>
      <c r="CO124" s="10" t="e">
        <f t="shared" si="117"/>
        <v>#REF!</v>
      </c>
      <c r="CP124" s="10" t="e">
        <f t="shared" si="117"/>
        <v>#REF!</v>
      </c>
      <c r="CQ124" s="10" t="e">
        <f t="shared" si="117"/>
        <v>#REF!</v>
      </c>
      <c r="CR124" s="10" t="e">
        <f t="shared" ref="CR124:CT124" si="118">MIN($J117-CR123,CR121)</f>
        <v>#REF!</v>
      </c>
      <c r="CS124" s="10" t="e">
        <f t="shared" si="118"/>
        <v>#REF!</v>
      </c>
      <c r="CT124" s="10" t="e">
        <f t="shared" si="118"/>
        <v>#REF!</v>
      </c>
      <c r="CU124" s="10"/>
      <c r="CV124" s="10"/>
      <c r="CW124" s="10"/>
      <c r="CX124" s="10"/>
      <c r="CY124" s="10"/>
      <c r="CZ124" s="10"/>
      <c r="DA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</row>
    <row r="125" spans="2:151" ht="12.75" customHeight="1" x14ac:dyDescent="0.25">
      <c r="C125" s="54" t="s">
        <v>32</v>
      </c>
      <c r="D125" t="s">
        <v>257</v>
      </c>
      <c r="H125" s="54" t="s">
        <v>3</v>
      </c>
      <c r="N125" s="25" t="e">
        <f>SUM(P125:DR125)</f>
        <v>#REF!</v>
      </c>
      <c r="P125" s="10" t="e">
        <f>MIN(P123,P128)</f>
        <v>#REF!</v>
      </c>
      <c r="Q125" s="10" t="e">
        <f t="shared" ref="Q125:CB125" si="119">MIN(Q123,Q128)</f>
        <v>#REF!</v>
      </c>
      <c r="R125" s="10" t="e">
        <f t="shared" si="119"/>
        <v>#REF!</v>
      </c>
      <c r="S125" s="10" t="e">
        <f t="shared" si="119"/>
        <v>#REF!</v>
      </c>
      <c r="T125" s="10" t="e">
        <f t="shared" si="119"/>
        <v>#REF!</v>
      </c>
      <c r="U125" s="10" t="e">
        <f t="shared" si="119"/>
        <v>#REF!</v>
      </c>
      <c r="V125" s="10" t="e">
        <f t="shared" si="119"/>
        <v>#REF!</v>
      </c>
      <c r="W125" s="10" t="e">
        <f t="shared" si="119"/>
        <v>#REF!</v>
      </c>
      <c r="X125" s="10" t="e">
        <f t="shared" si="119"/>
        <v>#REF!</v>
      </c>
      <c r="Y125" s="10" t="e">
        <f t="shared" si="119"/>
        <v>#REF!</v>
      </c>
      <c r="Z125" s="10" t="e">
        <f t="shared" si="119"/>
        <v>#REF!</v>
      </c>
      <c r="AA125" s="10" t="e">
        <f t="shared" si="119"/>
        <v>#REF!</v>
      </c>
      <c r="AB125" s="10" t="e">
        <f t="shared" si="119"/>
        <v>#REF!</v>
      </c>
      <c r="AC125" s="10" t="e">
        <f t="shared" si="119"/>
        <v>#REF!</v>
      </c>
      <c r="AD125" s="10" t="e">
        <f t="shared" si="119"/>
        <v>#REF!</v>
      </c>
      <c r="AE125" s="10" t="e">
        <f t="shared" si="119"/>
        <v>#REF!</v>
      </c>
      <c r="AF125" s="10" t="e">
        <f t="shared" si="119"/>
        <v>#REF!</v>
      </c>
      <c r="AG125" s="10" t="e">
        <f t="shared" si="119"/>
        <v>#REF!</v>
      </c>
      <c r="AH125" s="10" t="e">
        <f t="shared" si="119"/>
        <v>#REF!</v>
      </c>
      <c r="AI125" s="10" t="e">
        <f t="shared" si="119"/>
        <v>#REF!</v>
      </c>
      <c r="AJ125" s="10" t="e">
        <f t="shared" si="119"/>
        <v>#REF!</v>
      </c>
      <c r="AK125" s="10" t="e">
        <f t="shared" si="119"/>
        <v>#REF!</v>
      </c>
      <c r="AL125" s="10" t="e">
        <f t="shared" si="119"/>
        <v>#REF!</v>
      </c>
      <c r="AM125" s="10" t="e">
        <f t="shared" si="119"/>
        <v>#REF!</v>
      </c>
      <c r="AN125" s="10" t="e">
        <f t="shared" si="119"/>
        <v>#REF!</v>
      </c>
      <c r="AO125" s="10" t="e">
        <f t="shared" si="119"/>
        <v>#REF!</v>
      </c>
      <c r="AP125" s="10" t="e">
        <f t="shared" si="119"/>
        <v>#REF!</v>
      </c>
      <c r="AQ125" s="10" t="e">
        <f t="shared" si="119"/>
        <v>#REF!</v>
      </c>
      <c r="AR125" s="10" t="e">
        <f t="shared" si="119"/>
        <v>#REF!</v>
      </c>
      <c r="AS125" s="10" t="e">
        <f t="shared" si="119"/>
        <v>#REF!</v>
      </c>
      <c r="AT125" s="10" t="e">
        <f t="shared" si="119"/>
        <v>#REF!</v>
      </c>
      <c r="AU125" s="10" t="e">
        <f t="shared" si="119"/>
        <v>#REF!</v>
      </c>
      <c r="AV125" s="10" t="e">
        <f t="shared" si="119"/>
        <v>#REF!</v>
      </c>
      <c r="AW125" s="10" t="e">
        <f t="shared" si="119"/>
        <v>#REF!</v>
      </c>
      <c r="AX125" s="10" t="e">
        <f t="shared" si="119"/>
        <v>#REF!</v>
      </c>
      <c r="AY125" s="10" t="e">
        <f t="shared" si="119"/>
        <v>#REF!</v>
      </c>
      <c r="AZ125" s="10" t="e">
        <f t="shared" si="119"/>
        <v>#REF!</v>
      </c>
      <c r="BA125" s="10" t="e">
        <f t="shared" si="119"/>
        <v>#REF!</v>
      </c>
      <c r="BB125" s="10" t="e">
        <f t="shared" si="119"/>
        <v>#REF!</v>
      </c>
      <c r="BC125" s="10" t="e">
        <f t="shared" si="119"/>
        <v>#REF!</v>
      </c>
      <c r="BD125" s="10" t="e">
        <f t="shared" si="119"/>
        <v>#REF!</v>
      </c>
      <c r="BE125" s="10" t="e">
        <f t="shared" si="119"/>
        <v>#REF!</v>
      </c>
      <c r="BF125" s="10" t="e">
        <f t="shared" si="119"/>
        <v>#REF!</v>
      </c>
      <c r="BG125" s="10" t="e">
        <f t="shared" si="119"/>
        <v>#REF!</v>
      </c>
      <c r="BH125" s="10" t="e">
        <f t="shared" si="119"/>
        <v>#REF!</v>
      </c>
      <c r="BI125" s="10" t="e">
        <f t="shared" si="119"/>
        <v>#REF!</v>
      </c>
      <c r="BJ125" s="10" t="e">
        <f t="shared" si="119"/>
        <v>#REF!</v>
      </c>
      <c r="BK125" s="10" t="e">
        <f t="shared" si="119"/>
        <v>#REF!</v>
      </c>
      <c r="BL125" s="10" t="e">
        <f t="shared" si="119"/>
        <v>#REF!</v>
      </c>
      <c r="BM125" s="10" t="e">
        <f t="shared" si="119"/>
        <v>#REF!</v>
      </c>
      <c r="BN125" s="10" t="e">
        <f t="shared" si="119"/>
        <v>#REF!</v>
      </c>
      <c r="BO125" s="10" t="e">
        <f t="shared" si="119"/>
        <v>#REF!</v>
      </c>
      <c r="BP125" s="10" t="e">
        <f t="shared" si="119"/>
        <v>#REF!</v>
      </c>
      <c r="BQ125" s="10" t="e">
        <f t="shared" si="119"/>
        <v>#REF!</v>
      </c>
      <c r="BR125" s="10" t="e">
        <f t="shared" si="119"/>
        <v>#REF!</v>
      </c>
      <c r="BS125" s="10" t="e">
        <f t="shared" si="119"/>
        <v>#REF!</v>
      </c>
      <c r="BT125" s="10" t="e">
        <f t="shared" si="119"/>
        <v>#REF!</v>
      </c>
      <c r="BU125" s="10" t="e">
        <f t="shared" si="119"/>
        <v>#REF!</v>
      </c>
      <c r="BV125" s="10" t="e">
        <f t="shared" si="119"/>
        <v>#REF!</v>
      </c>
      <c r="BW125" s="10" t="e">
        <f t="shared" si="119"/>
        <v>#REF!</v>
      </c>
      <c r="BX125" s="10" t="e">
        <f t="shared" si="119"/>
        <v>#REF!</v>
      </c>
      <c r="BY125" s="10" t="e">
        <f t="shared" si="119"/>
        <v>#REF!</v>
      </c>
      <c r="BZ125" s="10" t="e">
        <f t="shared" si="119"/>
        <v>#REF!</v>
      </c>
      <c r="CA125" s="10" t="e">
        <f t="shared" si="119"/>
        <v>#REF!</v>
      </c>
      <c r="CB125" s="10" t="e">
        <f t="shared" si="119"/>
        <v>#REF!</v>
      </c>
      <c r="CC125" s="10" t="e">
        <f t="shared" ref="CC125:CQ125" si="120">MIN(CC123,CC128)</f>
        <v>#REF!</v>
      </c>
      <c r="CD125" s="10" t="e">
        <f t="shared" si="120"/>
        <v>#REF!</v>
      </c>
      <c r="CE125" s="10" t="e">
        <f t="shared" si="120"/>
        <v>#REF!</v>
      </c>
      <c r="CF125" s="10" t="e">
        <f t="shared" si="120"/>
        <v>#REF!</v>
      </c>
      <c r="CG125" s="10" t="e">
        <f t="shared" si="120"/>
        <v>#REF!</v>
      </c>
      <c r="CH125" s="10" t="e">
        <f t="shared" si="120"/>
        <v>#REF!</v>
      </c>
      <c r="CI125" s="10" t="e">
        <f t="shared" si="120"/>
        <v>#REF!</v>
      </c>
      <c r="CJ125" s="10" t="e">
        <f t="shared" si="120"/>
        <v>#REF!</v>
      </c>
      <c r="CK125" s="10" t="e">
        <f t="shared" si="120"/>
        <v>#REF!</v>
      </c>
      <c r="CL125" s="10" t="e">
        <f t="shared" si="120"/>
        <v>#REF!</v>
      </c>
      <c r="CM125" s="10" t="e">
        <f t="shared" si="120"/>
        <v>#REF!</v>
      </c>
      <c r="CN125" s="10" t="e">
        <f t="shared" si="120"/>
        <v>#REF!</v>
      </c>
      <c r="CO125" s="10" t="e">
        <f t="shared" si="120"/>
        <v>#REF!</v>
      </c>
      <c r="CP125" s="10" t="e">
        <f t="shared" si="120"/>
        <v>#REF!</v>
      </c>
      <c r="CQ125" s="10" t="e">
        <f t="shared" si="120"/>
        <v>#REF!</v>
      </c>
      <c r="CR125" s="10" t="e">
        <f t="shared" ref="CR125:CT125" si="121">MIN(CR123,CR128)</f>
        <v>#REF!</v>
      </c>
      <c r="CS125" s="10" t="e">
        <f t="shared" si="121"/>
        <v>#REF!</v>
      </c>
      <c r="CT125" s="10" t="e">
        <f t="shared" si="121"/>
        <v>#REF!</v>
      </c>
      <c r="CU125" s="10"/>
      <c r="CV125" s="10"/>
      <c r="CW125" s="10"/>
      <c r="CX125" s="10"/>
      <c r="CY125" s="10"/>
      <c r="CZ125" s="10"/>
      <c r="DA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10"/>
      <c r="EA125" s="10"/>
      <c r="EB125" s="10"/>
      <c r="EC125" s="10"/>
      <c r="ED125" s="10"/>
      <c r="EE125" s="10"/>
      <c r="EF125" s="10"/>
      <c r="EG125" s="10"/>
      <c r="EH125" s="10"/>
      <c r="EI125" s="10"/>
      <c r="EJ125" s="10"/>
      <c r="EK125" s="10"/>
      <c r="EL125" s="10"/>
      <c r="EM125" s="10"/>
      <c r="EN125" s="10"/>
      <c r="EO125" s="10"/>
      <c r="EP125" s="10"/>
      <c r="EQ125" s="10"/>
      <c r="ER125" s="10"/>
      <c r="ES125" s="10"/>
      <c r="ET125" s="10"/>
      <c r="EU125" s="10"/>
    </row>
    <row r="126" spans="2:151" ht="12.75" customHeight="1" x14ac:dyDescent="0.25">
      <c r="C126" t="s">
        <v>183</v>
      </c>
      <c r="H126" s="54" t="s">
        <v>3</v>
      </c>
      <c r="N126" s="148"/>
      <c r="P126" s="51" t="e">
        <f>P123+P124-P125</f>
        <v>#REF!</v>
      </c>
      <c r="Q126" s="51" t="e">
        <f t="shared" ref="Q126:CB126" si="122">Q123+Q124-Q125</f>
        <v>#REF!</v>
      </c>
      <c r="R126" s="51" t="e">
        <f t="shared" si="122"/>
        <v>#REF!</v>
      </c>
      <c r="S126" s="51" t="e">
        <f t="shared" si="122"/>
        <v>#REF!</v>
      </c>
      <c r="T126" s="51" t="e">
        <f t="shared" si="122"/>
        <v>#REF!</v>
      </c>
      <c r="U126" s="51" t="e">
        <f t="shared" si="122"/>
        <v>#REF!</v>
      </c>
      <c r="V126" s="51" t="e">
        <f t="shared" si="122"/>
        <v>#REF!</v>
      </c>
      <c r="W126" s="51" t="e">
        <f t="shared" si="122"/>
        <v>#REF!</v>
      </c>
      <c r="X126" s="51" t="e">
        <f t="shared" si="122"/>
        <v>#REF!</v>
      </c>
      <c r="Y126" s="51" t="e">
        <f t="shared" si="122"/>
        <v>#REF!</v>
      </c>
      <c r="Z126" s="51" t="e">
        <f t="shared" si="122"/>
        <v>#REF!</v>
      </c>
      <c r="AA126" s="51" t="e">
        <f t="shared" si="122"/>
        <v>#REF!</v>
      </c>
      <c r="AB126" s="51" t="e">
        <f t="shared" si="122"/>
        <v>#REF!</v>
      </c>
      <c r="AC126" s="51" t="e">
        <f t="shared" si="122"/>
        <v>#REF!</v>
      </c>
      <c r="AD126" s="51" t="e">
        <f t="shared" si="122"/>
        <v>#REF!</v>
      </c>
      <c r="AE126" s="51" t="e">
        <f t="shared" si="122"/>
        <v>#REF!</v>
      </c>
      <c r="AF126" s="51" t="e">
        <f t="shared" si="122"/>
        <v>#REF!</v>
      </c>
      <c r="AG126" s="51" t="e">
        <f t="shared" si="122"/>
        <v>#REF!</v>
      </c>
      <c r="AH126" s="51" t="e">
        <f t="shared" si="122"/>
        <v>#REF!</v>
      </c>
      <c r="AI126" s="51" t="e">
        <f t="shared" si="122"/>
        <v>#REF!</v>
      </c>
      <c r="AJ126" s="51" t="e">
        <f t="shared" si="122"/>
        <v>#REF!</v>
      </c>
      <c r="AK126" s="51" t="e">
        <f t="shared" si="122"/>
        <v>#REF!</v>
      </c>
      <c r="AL126" s="51" t="e">
        <f t="shared" si="122"/>
        <v>#REF!</v>
      </c>
      <c r="AM126" s="51" t="e">
        <f t="shared" si="122"/>
        <v>#REF!</v>
      </c>
      <c r="AN126" s="51" t="e">
        <f t="shared" si="122"/>
        <v>#REF!</v>
      </c>
      <c r="AO126" s="51" t="e">
        <f t="shared" si="122"/>
        <v>#REF!</v>
      </c>
      <c r="AP126" s="51" t="e">
        <f t="shared" si="122"/>
        <v>#REF!</v>
      </c>
      <c r="AQ126" s="51" t="e">
        <f t="shared" si="122"/>
        <v>#REF!</v>
      </c>
      <c r="AR126" s="51" t="e">
        <f t="shared" si="122"/>
        <v>#REF!</v>
      </c>
      <c r="AS126" s="51" t="e">
        <f t="shared" si="122"/>
        <v>#REF!</v>
      </c>
      <c r="AT126" s="51" t="e">
        <f t="shared" si="122"/>
        <v>#REF!</v>
      </c>
      <c r="AU126" s="51" t="e">
        <f t="shared" si="122"/>
        <v>#REF!</v>
      </c>
      <c r="AV126" s="51" t="e">
        <f t="shared" si="122"/>
        <v>#REF!</v>
      </c>
      <c r="AW126" s="51" t="e">
        <f t="shared" si="122"/>
        <v>#REF!</v>
      </c>
      <c r="AX126" s="51" t="e">
        <f t="shared" si="122"/>
        <v>#REF!</v>
      </c>
      <c r="AY126" s="51" t="e">
        <f t="shared" si="122"/>
        <v>#REF!</v>
      </c>
      <c r="AZ126" s="51" t="e">
        <f t="shared" si="122"/>
        <v>#REF!</v>
      </c>
      <c r="BA126" s="51" t="e">
        <f t="shared" si="122"/>
        <v>#REF!</v>
      </c>
      <c r="BB126" s="51" t="e">
        <f t="shared" si="122"/>
        <v>#REF!</v>
      </c>
      <c r="BC126" s="51" t="e">
        <f t="shared" si="122"/>
        <v>#REF!</v>
      </c>
      <c r="BD126" s="51" t="e">
        <f t="shared" si="122"/>
        <v>#REF!</v>
      </c>
      <c r="BE126" s="51" t="e">
        <f t="shared" si="122"/>
        <v>#REF!</v>
      </c>
      <c r="BF126" s="51" t="e">
        <f t="shared" si="122"/>
        <v>#REF!</v>
      </c>
      <c r="BG126" s="51" t="e">
        <f t="shared" si="122"/>
        <v>#REF!</v>
      </c>
      <c r="BH126" s="51" t="e">
        <f t="shared" si="122"/>
        <v>#REF!</v>
      </c>
      <c r="BI126" s="51" t="e">
        <f t="shared" si="122"/>
        <v>#REF!</v>
      </c>
      <c r="BJ126" s="51" t="e">
        <f t="shared" si="122"/>
        <v>#REF!</v>
      </c>
      <c r="BK126" s="51" t="e">
        <f t="shared" si="122"/>
        <v>#REF!</v>
      </c>
      <c r="BL126" s="51" t="e">
        <f t="shared" si="122"/>
        <v>#REF!</v>
      </c>
      <c r="BM126" s="51" t="e">
        <f t="shared" si="122"/>
        <v>#REF!</v>
      </c>
      <c r="BN126" s="51" t="e">
        <f t="shared" si="122"/>
        <v>#REF!</v>
      </c>
      <c r="BO126" s="51" t="e">
        <f t="shared" si="122"/>
        <v>#REF!</v>
      </c>
      <c r="BP126" s="51" t="e">
        <f t="shared" si="122"/>
        <v>#REF!</v>
      </c>
      <c r="BQ126" s="51" t="e">
        <f t="shared" si="122"/>
        <v>#REF!</v>
      </c>
      <c r="BR126" s="51" t="e">
        <f t="shared" si="122"/>
        <v>#REF!</v>
      </c>
      <c r="BS126" s="51" t="e">
        <f t="shared" si="122"/>
        <v>#REF!</v>
      </c>
      <c r="BT126" s="51" t="e">
        <f t="shared" si="122"/>
        <v>#REF!</v>
      </c>
      <c r="BU126" s="51" t="e">
        <f t="shared" si="122"/>
        <v>#REF!</v>
      </c>
      <c r="BV126" s="51" t="e">
        <f t="shared" si="122"/>
        <v>#REF!</v>
      </c>
      <c r="BW126" s="51" t="e">
        <f t="shared" si="122"/>
        <v>#REF!</v>
      </c>
      <c r="BX126" s="51" t="e">
        <f t="shared" si="122"/>
        <v>#REF!</v>
      </c>
      <c r="BY126" s="51" t="e">
        <f t="shared" si="122"/>
        <v>#REF!</v>
      </c>
      <c r="BZ126" s="51" t="e">
        <f t="shared" si="122"/>
        <v>#REF!</v>
      </c>
      <c r="CA126" s="51" t="e">
        <f t="shared" si="122"/>
        <v>#REF!</v>
      </c>
      <c r="CB126" s="51" t="e">
        <f t="shared" si="122"/>
        <v>#REF!</v>
      </c>
      <c r="CC126" s="51" t="e">
        <f t="shared" ref="CC126:CQ126" si="123">CC123+CC124-CC125</f>
        <v>#REF!</v>
      </c>
      <c r="CD126" s="51" t="e">
        <f t="shared" si="123"/>
        <v>#REF!</v>
      </c>
      <c r="CE126" s="51" t="e">
        <f t="shared" si="123"/>
        <v>#REF!</v>
      </c>
      <c r="CF126" s="51" t="e">
        <f t="shared" si="123"/>
        <v>#REF!</v>
      </c>
      <c r="CG126" s="51" t="e">
        <f t="shared" si="123"/>
        <v>#REF!</v>
      </c>
      <c r="CH126" s="51" t="e">
        <f t="shared" si="123"/>
        <v>#REF!</v>
      </c>
      <c r="CI126" s="51" t="e">
        <f t="shared" si="123"/>
        <v>#REF!</v>
      </c>
      <c r="CJ126" s="51" t="e">
        <f t="shared" si="123"/>
        <v>#REF!</v>
      </c>
      <c r="CK126" s="51" t="e">
        <f t="shared" si="123"/>
        <v>#REF!</v>
      </c>
      <c r="CL126" s="51" t="e">
        <f t="shared" si="123"/>
        <v>#REF!</v>
      </c>
      <c r="CM126" s="51" t="e">
        <f t="shared" si="123"/>
        <v>#REF!</v>
      </c>
      <c r="CN126" s="51" t="e">
        <f t="shared" si="123"/>
        <v>#REF!</v>
      </c>
      <c r="CO126" s="51" t="e">
        <f t="shared" si="123"/>
        <v>#REF!</v>
      </c>
      <c r="CP126" s="51" t="e">
        <f t="shared" si="123"/>
        <v>#REF!</v>
      </c>
      <c r="CQ126" s="51" t="e">
        <f t="shared" si="123"/>
        <v>#REF!</v>
      </c>
      <c r="CR126" s="51" t="e">
        <f t="shared" ref="CR126:CT126" si="124">CR123+CR124-CR125</f>
        <v>#REF!</v>
      </c>
      <c r="CS126" s="51" t="e">
        <f t="shared" si="124"/>
        <v>#REF!</v>
      </c>
      <c r="CT126" s="51" t="e">
        <f t="shared" si="124"/>
        <v>#REF!</v>
      </c>
      <c r="CU126" s="51"/>
      <c r="CV126" s="51"/>
      <c r="CW126" s="51"/>
      <c r="CX126" s="51"/>
      <c r="CY126" s="51"/>
      <c r="CZ126" s="51"/>
      <c r="DA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  <c r="DS126" s="51"/>
      <c r="DT126" s="51"/>
      <c r="DU126" s="51"/>
      <c r="DV126" s="51"/>
      <c r="DW126" s="51"/>
      <c r="DX126" s="51"/>
      <c r="DY126" s="51"/>
      <c r="DZ126" s="51"/>
      <c r="EA126" s="51"/>
      <c r="EB126" s="51"/>
      <c r="EC126" s="51"/>
      <c r="ED126" s="51"/>
      <c r="EE126" s="51"/>
      <c r="EF126" s="51"/>
      <c r="EG126" s="51"/>
      <c r="EH126" s="51"/>
      <c r="EI126" s="51"/>
      <c r="EJ126" s="51"/>
      <c r="EK126" s="51"/>
      <c r="EL126" s="51"/>
      <c r="EM126" s="51"/>
      <c r="EN126" s="51"/>
      <c r="EO126" s="51"/>
      <c r="EP126" s="51"/>
      <c r="EQ126" s="51"/>
      <c r="ER126" s="51"/>
      <c r="ES126" s="51"/>
      <c r="ET126" s="51"/>
      <c r="EU126" s="51"/>
    </row>
    <row r="127" spans="2:151" ht="12.75" customHeight="1" x14ac:dyDescent="0.25">
      <c r="H127" s="54"/>
      <c r="N127" s="148"/>
    </row>
    <row r="128" spans="2:151" ht="12.75" customHeight="1" x14ac:dyDescent="0.25">
      <c r="C128" t="s">
        <v>245</v>
      </c>
      <c r="H128" s="54" t="s">
        <v>3</v>
      </c>
      <c r="N128" s="25" t="e">
        <f>SUM(P128:DR128)</f>
        <v>#REF!</v>
      </c>
      <c r="P128" s="10" t="e">
        <f>CF!P36</f>
        <v>#REF!</v>
      </c>
      <c r="Q128" s="10" t="e">
        <f>CF!Q36</f>
        <v>#REF!</v>
      </c>
      <c r="R128" s="10" t="e">
        <f>CF!R36</f>
        <v>#REF!</v>
      </c>
      <c r="S128" s="10" t="e">
        <f>CF!S36</f>
        <v>#REF!</v>
      </c>
      <c r="T128" s="10" t="e">
        <f>CF!T36</f>
        <v>#REF!</v>
      </c>
      <c r="U128" s="10" t="e">
        <f>CF!U36</f>
        <v>#REF!</v>
      </c>
      <c r="V128" s="10" t="e">
        <f>CF!V36</f>
        <v>#REF!</v>
      </c>
      <c r="W128" s="10" t="e">
        <f>CF!W36</f>
        <v>#REF!</v>
      </c>
      <c r="X128" s="10" t="e">
        <f>CF!X36</f>
        <v>#REF!</v>
      </c>
      <c r="Y128" s="10" t="e">
        <f>CF!Y36</f>
        <v>#REF!</v>
      </c>
      <c r="Z128" s="10" t="e">
        <f>CF!Z36</f>
        <v>#REF!</v>
      </c>
      <c r="AA128" s="10" t="e">
        <f>CF!AA36</f>
        <v>#REF!</v>
      </c>
      <c r="AB128" s="10" t="e">
        <f>CF!AB36</f>
        <v>#REF!</v>
      </c>
      <c r="AC128" s="10" t="e">
        <f>CF!AC36</f>
        <v>#REF!</v>
      </c>
      <c r="AD128" s="10" t="e">
        <f>CF!AD36</f>
        <v>#REF!</v>
      </c>
      <c r="AE128" s="10" t="e">
        <f>CF!AE36</f>
        <v>#REF!</v>
      </c>
      <c r="AF128" s="10" t="e">
        <f>CF!AF36</f>
        <v>#REF!</v>
      </c>
      <c r="AG128" s="10" t="e">
        <f>CF!AG36</f>
        <v>#REF!</v>
      </c>
      <c r="AH128" s="10" t="e">
        <f>CF!AH36</f>
        <v>#REF!</v>
      </c>
      <c r="AI128" s="10" t="e">
        <f>CF!AI36</f>
        <v>#REF!</v>
      </c>
      <c r="AJ128" s="10" t="e">
        <f>CF!AJ36</f>
        <v>#REF!</v>
      </c>
      <c r="AK128" s="10" t="e">
        <f>CF!AK36</f>
        <v>#REF!</v>
      </c>
      <c r="AL128" s="10" t="e">
        <f>CF!AL36</f>
        <v>#REF!</v>
      </c>
      <c r="AM128" s="10" t="e">
        <f>CF!AM36</f>
        <v>#REF!</v>
      </c>
      <c r="AN128" s="10" t="e">
        <f>CF!AN36</f>
        <v>#REF!</v>
      </c>
      <c r="AO128" s="10" t="e">
        <f>CF!AO36</f>
        <v>#REF!</v>
      </c>
      <c r="AP128" s="10" t="e">
        <f>CF!AP36</f>
        <v>#REF!</v>
      </c>
      <c r="AQ128" s="10" t="e">
        <f>CF!AQ36</f>
        <v>#REF!</v>
      </c>
      <c r="AR128" s="10" t="e">
        <f>CF!AR36</f>
        <v>#REF!</v>
      </c>
      <c r="AS128" s="10" t="e">
        <f>CF!AS36</f>
        <v>#REF!</v>
      </c>
      <c r="AT128" s="10" t="e">
        <f>CF!AT36</f>
        <v>#REF!</v>
      </c>
      <c r="AU128" s="10" t="e">
        <f>CF!AU36</f>
        <v>#REF!</v>
      </c>
      <c r="AV128" s="10" t="e">
        <f>CF!AV36</f>
        <v>#REF!</v>
      </c>
      <c r="AW128" s="10" t="e">
        <f>CF!AW36</f>
        <v>#REF!</v>
      </c>
      <c r="AX128" s="10" t="e">
        <f>CF!AX36</f>
        <v>#REF!</v>
      </c>
      <c r="AY128" s="10" t="e">
        <f>CF!AY36</f>
        <v>#REF!</v>
      </c>
      <c r="AZ128" s="10" t="e">
        <f>CF!AZ36</f>
        <v>#REF!</v>
      </c>
      <c r="BA128" s="10" t="e">
        <f>CF!BA36</f>
        <v>#REF!</v>
      </c>
      <c r="BB128" s="10" t="e">
        <f>CF!BB36</f>
        <v>#REF!</v>
      </c>
      <c r="BC128" s="10" t="e">
        <f>CF!BC36</f>
        <v>#REF!</v>
      </c>
      <c r="BD128" s="10" t="e">
        <f>CF!BD36</f>
        <v>#REF!</v>
      </c>
      <c r="BE128" s="10" t="e">
        <f>CF!BE36</f>
        <v>#REF!</v>
      </c>
      <c r="BF128" s="10" t="e">
        <f>CF!BF36</f>
        <v>#REF!</v>
      </c>
      <c r="BG128" s="10" t="e">
        <f>CF!BG36</f>
        <v>#REF!</v>
      </c>
      <c r="BH128" s="10" t="e">
        <f>CF!BH36</f>
        <v>#REF!</v>
      </c>
      <c r="BI128" s="10" t="e">
        <f>CF!BI36</f>
        <v>#REF!</v>
      </c>
      <c r="BJ128" s="10" t="e">
        <f>CF!BJ36</f>
        <v>#REF!</v>
      </c>
      <c r="BK128" s="10" t="e">
        <f>CF!BK36</f>
        <v>#REF!</v>
      </c>
      <c r="BL128" s="10" t="e">
        <f>CF!BL36</f>
        <v>#REF!</v>
      </c>
      <c r="BM128" s="10" t="e">
        <f>CF!BM36</f>
        <v>#REF!</v>
      </c>
      <c r="BN128" s="10" t="e">
        <f>CF!BN36</f>
        <v>#REF!</v>
      </c>
      <c r="BO128" s="10" t="e">
        <f>CF!BO36</f>
        <v>#REF!</v>
      </c>
      <c r="BP128" s="10" t="e">
        <f>CF!BP36</f>
        <v>#REF!</v>
      </c>
      <c r="BQ128" s="10" t="e">
        <f>CF!BQ36</f>
        <v>#REF!</v>
      </c>
      <c r="BR128" s="10" t="e">
        <f>CF!BR36</f>
        <v>#REF!</v>
      </c>
      <c r="BS128" s="10" t="e">
        <f>CF!BS36</f>
        <v>#REF!</v>
      </c>
      <c r="BT128" s="10" t="e">
        <f>CF!BT36</f>
        <v>#REF!</v>
      </c>
      <c r="BU128" s="10" t="e">
        <f>CF!BU36</f>
        <v>#REF!</v>
      </c>
      <c r="BV128" s="10" t="e">
        <f>CF!BV36</f>
        <v>#REF!</v>
      </c>
      <c r="BW128" s="10" t="e">
        <f>CF!BW36</f>
        <v>#REF!</v>
      </c>
      <c r="BX128" s="10" t="e">
        <f>CF!BX36</f>
        <v>#REF!</v>
      </c>
      <c r="BY128" s="10" t="e">
        <f>CF!BY36</f>
        <v>#REF!</v>
      </c>
      <c r="BZ128" s="10" t="e">
        <f>CF!BZ36</f>
        <v>#REF!</v>
      </c>
      <c r="CA128" s="10" t="e">
        <f>CF!CA36</f>
        <v>#REF!</v>
      </c>
      <c r="CB128" s="10" t="e">
        <f>CF!CB36</f>
        <v>#REF!</v>
      </c>
      <c r="CC128" s="10" t="e">
        <f>CF!CC36</f>
        <v>#REF!</v>
      </c>
      <c r="CD128" s="10" t="e">
        <f>CF!CD36</f>
        <v>#REF!</v>
      </c>
      <c r="CE128" s="10" t="e">
        <f>CF!CE36</f>
        <v>#REF!</v>
      </c>
      <c r="CF128" s="10" t="e">
        <f>CF!CF36</f>
        <v>#REF!</v>
      </c>
      <c r="CG128" s="10" t="e">
        <f>CF!CG36</f>
        <v>#REF!</v>
      </c>
      <c r="CH128" s="10" t="e">
        <f>CF!CH36</f>
        <v>#REF!</v>
      </c>
      <c r="CI128" s="10" t="e">
        <f>CF!CI36</f>
        <v>#REF!</v>
      </c>
      <c r="CJ128" s="10" t="e">
        <f>CF!CJ36</f>
        <v>#REF!</v>
      </c>
      <c r="CK128" s="10" t="e">
        <f>CF!CK36</f>
        <v>#REF!</v>
      </c>
      <c r="CL128" s="10" t="e">
        <f>CF!CL36</f>
        <v>#REF!</v>
      </c>
      <c r="CM128" s="10" t="e">
        <f>CF!CM36</f>
        <v>#REF!</v>
      </c>
      <c r="CN128" s="10" t="e">
        <f>CF!CN36</f>
        <v>#REF!</v>
      </c>
      <c r="CO128" s="10" t="e">
        <f>CF!CO36</f>
        <v>#REF!</v>
      </c>
      <c r="CP128" s="10" t="e">
        <f>CF!CP36</f>
        <v>#REF!</v>
      </c>
      <c r="CQ128" s="10" t="e">
        <f>CF!CQ36</f>
        <v>#REF!</v>
      </c>
      <c r="CR128" s="10" t="e">
        <f>CF!CR36</f>
        <v>#REF!</v>
      </c>
      <c r="CS128" s="10" t="e">
        <f>CF!CS36</f>
        <v>#REF!</v>
      </c>
      <c r="CT128" s="10" t="e">
        <f>CF!CT36</f>
        <v>#REF!</v>
      </c>
      <c r="CU128" s="10"/>
      <c r="CV128" s="10"/>
      <c r="CW128" s="10"/>
      <c r="CX128" s="10"/>
      <c r="CY128" s="10"/>
      <c r="CZ128" s="10"/>
      <c r="DA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10"/>
      <c r="EA128" s="10"/>
      <c r="EB128" s="10"/>
      <c r="EC128" s="10"/>
      <c r="ED128" s="10"/>
      <c r="EE128" s="10"/>
      <c r="EF128" s="10"/>
      <c r="EG128" s="10"/>
      <c r="EH128" s="10"/>
      <c r="EI128" s="10"/>
      <c r="EJ128" s="10"/>
      <c r="EK128" s="10"/>
      <c r="EL128" s="10"/>
      <c r="EM128" s="10"/>
      <c r="EN128" s="10"/>
      <c r="EO128" s="10"/>
      <c r="EP128" s="10"/>
      <c r="EQ128" s="10"/>
      <c r="ER128" s="10"/>
      <c r="ES128" s="10"/>
      <c r="ET128" s="10"/>
      <c r="EU128" s="10"/>
    </row>
    <row r="129" spans="1:151" ht="12.75" customHeight="1" x14ac:dyDescent="0.25">
      <c r="H129" s="54"/>
      <c r="N129" s="148"/>
    </row>
    <row r="130" spans="1:151" ht="12.75" customHeight="1" x14ac:dyDescent="0.25">
      <c r="C130" t="s">
        <v>258</v>
      </c>
      <c r="H130" s="54" t="s">
        <v>3</v>
      </c>
      <c r="N130" s="148"/>
      <c r="P130" s="10">
        <f>($J117-P123)*P115</f>
        <v>0</v>
      </c>
      <c r="Q130" s="10" t="e">
        <f t="shared" ref="Q130:CB130" si="125">($J117-Q123)*Q115</f>
        <v>#REF!</v>
      </c>
      <c r="R130" s="10" t="e">
        <f t="shared" si="125"/>
        <v>#REF!</v>
      </c>
      <c r="S130" s="10" t="e">
        <f t="shared" si="125"/>
        <v>#REF!</v>
      </c>
      <c r="T130" s="10" t="e">
        <f t="shared" si="125"/>
        <v>#REF!</v>
      </c>
      <c r="U130" s="10" t="e">
        <f t="shared" si="125"/>
        <v>#REF!</v>
      </c>
      <c r="V130" s="10" t="e">
        <f t="shared" si="125"/>
        <v>#REF!</v>
      </c>
      <c r="W130" s="10" t="e">
        <f t="shared" si="125"/>
        <v>#REF!</v>
      </c>
      <c r="X130" s="10" t="e">
        <f t="shared" si="125"/>
        <v>#REF!</v>
      </c>
      <c r="Y130" s="10" t="e">
        <f t="shared" si="125"/>
        <v>#REF!</v>
      </c>
      <c r="Z130" s="10" t="e">
        <f t="shared" si="125"/>
        <v>#REF!</v>
      </c>
      <c r="AA130" s="10" t="e">
        <f t="shared" si="125"/>
        <v>#REF!</v>
      </c>
      <c r="AB130" s="10" t="e">
        <f t="shared" si="125"/>
        <v>#REF!</v>
      </c>
      <c r="AC130" s="10" t="e">
        <f t="shared" si="125"/>
        <v>#REF!</v>
      </c>
      <c r="AD130" s="10" t="e">
        <f t="shared" si="125"/>
        <v>#REF!</v>
      </c>
      <c r="AE130" s="10" t="e">
        <f t="shared" si="125"/>
        <v>#REF!</v>
      </c>
      <c r="AF130" s="10" t="e">
        <f t="shared" si="125"/>
        <v>#REF!</v>
      </c>
      <c r="AG130" s="10" t="e">
        <f t="shared" si="125"/>
        <v>#REF!</v>
      </c>
      <c r="AH130" s="10" t="e">
        <f t="shared" si="125"/>
        <v>#REF!</v>
      </c>
      <c r="AI130" s="10" t="e">
        <f t="shared" si="125"/>
        <v>#REF!</v>
      </c>
      <c r="AJ130" s="10" t="e">
        <f t="shared" si="125"/>
        <v>#REF!</v>
      </c>
      <c r="AK130" s="10" t="e">
        <f t="shared" si="125"/>
        <v>#REF!</v>
      </c>
      <c r="AL130" s="10" t="e">
        <f t="shared" si="125"/>
        <v>#REF!</v>
      </c>
      <c r="AM130" s="10" t="e">
        <f t="shared" si="125"/>
        <v>#REF!</v>
      </c>
      <c r="AN130" s="10" t="e">
        <f t="shared" si="125"/>
        <v>#REF!</v>
      </c>
      <c r="AO130" s="10" t="e">
        <f t="shared" si="125"/>
        <v>#REF!</v>
      </c>
      <c r="AP130" s="10" t="e">
        <f t="shared" si="125"/>
        <v>#REF!</v>
      </c>
      <c r="AQ130" s="10" t="e">
        <f t="shared" si="125"/>
        <v>#REF!</v>
      </c>
      <c r="AR130" s="10" t="e">
        <f t="shared" si="125"/>
        <v>#REF!</v>
      </c>
      <c r="AS130" s="10" t="e">
        <f t="shared" si="125"/>
        <v>#REF!</v>
      </c>
      <c r="AT130" s="10" t="e">
        <f t="shared" si="125"/>
        <v>#REF!</v>
      </c>
      <c r="AU130" s="10" t="e">
        <f t="shared" si="125"/>
        <v>#REF!</v>
      </c>
      <c r="AV130" s="10" t="e">
        <f t="shared" si="125"/>
        <v>#REF!</v>
      </c>
      <c r="AW130" s="10" t="e">
        <f t="shared" si="125"/>
        <v>#REF!</v>
      </c>
      <c r="AX130" s="10" t="e">
        <f t="shared" si="125"/>
        <v>#REF!</v>
      </c>
      <c r="AY130" s="10" t="e">
        <f t="shared" si="125"/>
        <v>#REF!</v>
      </c>
      <c r="AZ130" s="10" t="e">
        <f t="shared" si="125"/>
        <v>#REF!</v>
      </c>
      <c r="BA130" s="10" t="e">
        <f t="shared" si="125"/>
        <v>#REF!</v>
      </c>
      <c r="BB130" s="10" t="e">
        <f t="shared" si="125"/>
        <v>#REF!</v>
      </c>
      <c r="BC130" s="10" t="e">
        <f t="shared" si="125"/>
        <v>#REF!</v>
      </c>
      <c r="BD130" s="10" t="e">
        <f t="shared" si="125"/>
        <v>#REF!</v>
      </c>
      <c r="BE130" s="10" t="e">
        <f t="shared" si="125"/>
        <v>#REF!</v>
      </c>
      <c r="BF130" s="10" t="e">
        <f t="shared" si="125"/>
        <v>#REF!</v>
      </c>
      <c r="BG130" s="10" t="e">
        <f t="shared" si="125"/>
        <v>#REF!</v>
      </c>
      <c r="BH130" s="10" t="e">
        <f t="shared" si="125"/>
        <v>#REF!</v>
      </c>
      <c r="BI130" s="10" t="e">
        <f t="shared" si="125"/>
        <v>#REF!</v>
      </c>
      <c r="BJ130" s="10" t="e">
        <f t="shared" si="125"/>
        <v>#REF!</v>
      </c>
      <c r="BK130" s="10" t="e">
        <f t="shared" si="125"/>
        <v>#REF!</v>
      </c>
      <c r="BL130" s="10" t="e">
        <f t="shared" si="125"/>
        <v>#REF!</v>
      </c>
      <c r="BM130" s="10" t="e">
        <f t="shared" si="125"/>
        <v>#REF!</v>
      </c>
      <c r="BN130" s="10" t="e">
        <f t="shared" si="125"/>
        <v>#REF!</v>
      </c>
      <c r="BO130" s="10" t="e">
        <f t="shared" si="125"/>
        <v>#REF!</v>
      </c>
      <c r="BP130" s="10" t="e">
        <f t="shared" si="125"/>
        <v>#REF!</v>
      </c>
      <c r="BQ130" s="10" t="e">
        <f t="shared" si="125"/>
        <v>#REF!</v>
      </c>
      <c r="BR130" s="10" t="e">
        <f t="shared" si="125"/>
        <v>#REF!</v>
      </c>
      <c r="BS130" s="10" t="e">
        <f t="shared" si="125"/>
        <v>#REF!</v>
      </c>
      <c r="BT130" s="10" t="e">
        <f t="shared" si="125"/>
        <v>#REF!</v>
      </c>
      <c r="BU130" s="10" t="e">
        <f t="shared" si="125"/>
        <v>#REF!</v>
      </c>
      <c r="BV130" s="10" t="e">
        <f t="shared" si="125"/>
        <v>#REF!</v>
      </c>
      <c r="BW130" s="10" t="e">
        <f t="shared" si="125"/>
        <v>#REF!</v>
      </c>
      <c r="BX130" s="10" t="e">
        <f t="shared" si="125"/>
        <v>#REF!</v>
      </c>
      <c r="BY130" s="10" t="e">
        <f t="shared" si="125"/>
        <v>#REF!</v>
      </c>
      <c r="BZ130" s="10" t="e">
        <f t="shared" si="125"/>
        <v>#REF!</v>
      </c>
      <c r="CA130" s="10" t="e">
        <f t="shared" si="125"/>
        <v>#REF!</v>
      </c>
      <c r="CB130" s="10" t="e">
        <f t="shared" si="125"/>
        <v>#REF!</v>
      </c>
      <c r="CC130" s="10" t="e">
        <f t="shared" ref="CC130:CQ130" si="126">($J117-CC123)*CC115</f>
        <v>#REF!</v>
      </c>
      <c r="CD130" s="10" t="e">
        <f t="shared" si="126"/>
        <v>#REF!</v>
      </c>
      <c r="CE130" s="10" t="e">
        <f t="shared" si="126"/>
        <v>#REF!</v>
      </c>
      <c r="CF130" s="10" t="e">
        <f t="shared" si="126"/>
        <v>#REF!</v>
      </c>
      <c r="CG130" s="10" t="e">
        <f t="shared" si="126"/>
        <v>#REF!</v>
      </c>
      <c r="CH130" s="10" t="e">
        <f t="shared" si="126"/>
        <v>#REF!</v>
      </c>
      <c r="CI130" s="10" t="e">
        <f t="shared" si="126"/>
        <v>#REF!</v>
      </c>
      <c r="CJ130" s="10" t="e">
        <f t="shared" si="126"/>
        <v>#REF!</v>
      </c>
      <c r="CK130" s="10" t="e">
        <f t="shared" si="126"/>
        <v>#REF!</v>
      </c>
      <c r="CL130" s="10" t="e">
        <f t="shared" si="126"/>
        <v>#REF!</v>
      </c>
      <c r="CM130" s="10" t="e">
        <f t="shared" si="126"/>
        <v>#REF!</v>
      </c>
      <c r="CN130" s="10" t="e">
        <f t="shared" si="126"/>
        <v>#REF!</v>
      </c>
      <c r="CO130" s="10" t="e">
        <f t="shared" si="126"/>
        <v>#REF!</v>
      </c>
      <c r="CP130" s="10" t="e">
        <f t="shared" si="126"/>
        <v>#REF!</v>
      </c>
      <c r="CQ130" s="10" t="e">
        <f t="shared" si="126"/>
        <v>#REF!</v>
      </c>
      <c r="CR130" s="10" t="e">
        <f t="shared" ref="CR130:CT130" si="127">($J117-CR123)*CR115</f>
        <v>#REF!</v>
      </c>
      <c r="CS130" s="10" t="e">
        <f t="shared" si="127"/>
        <v>#REF!</v>
      </c>
      <c r="CT130" s="10" t="e">
        <f t="shared" si="127"/>
        <v>#REF!</v>
      </c>
      <c r="CU130" s="10"/>
      <c r="CV130" s="10"/>
      <c r="CW130" s="10"/>
      <c r="CX130" s="10"/>
      <c r="CY130" s="10"/>
      <c r="CZ130" s="10"/>
      <c r="DA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10"/>
      <c r="EA130" s="10"/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10"/>
      <c r="EP130" s="10"/>
      <c r="EQ130" s="10"/>
      <c r="ER130" s="10"/>
      <c r="ES130" s="10"/>
      <c r="ET130" s="10"/>
      <c r="EU130" s="10"/>
    </row>
    <row r="131" spans="1:151" ht="12.75" customHeight="1" x14ac:dyDescent="0.25">
      <c r="H131" s="54"/>
      <c r="N131" s="148"/>
    </row>
    <row r="132" spans="1:151" ht="12.75" customHeight="1" x14ac:dyDescent="0.25">
      <c r="B132" s="21" t="s">
        <v>265</v>
      </c>
      <c r="H132" s="54"/>
      <c r="N132" s="148"/>
    </row>
    <row r="133" spans="1:151" ht="12.75" customHeight="1" x14ac:dyDescent="0.25">
      <c r="H133" s="54"/>
      <c r="N133" s="148"/>
    </row>
    <row r="134" spans="1:151" ht="12.75" customHeight="1" x14ac:dyDescent="0.25">
      <c r="C134" t="s">
        <v>218</v>
      </c>
      <c r="H134" s="54" t="s">
        <v>6</v>
      </c>
      <c r="N134" s="148"/>
      <c r="P134" s="82">
        <f>P99</f>
        <v>0</v>
      </c>
      <c r="Q134" s="82">
        <f t="shared" ref="Q134:CB134" si="128">Q99</f>
        <v>0</v>
      </c>
      <c r="R134" s="82">
        <f t="shared" si="128"/>
        <v>0</v>
      </c>
      <c r="S134" s="82">
        <f t="shared" si="128"/>
        <v>0.01</v>
      </c>
      <c r="T134" s="82">
        <f t="shared" si="128"/>
        <v>0.01</v>
      </c>
      <c r="U134" s="82">
        <f t="shared" si="128"/>
        <v>0.01</v>
      </c>
      <c r="V134" s="82">
        <f t="shared" si="128"/>
        <v>0.01</v>
      </c>
      <c r="W134" s="82">
        <f t="shared" si="128"/>
        <v>0.01</v>
      </c>
      <c r="X134" s="82">
        <f t="shared" si="128"/>
        <v>0.01</v>
      </c>
      <c r="Y134" s="82">
        <f t="shared" si="128"/>
        <v>0.01</v>
      </c>
      <c r="Z134" s="82">
        <f t="shared" si="128"/>
        <v>0.01</v>
      </c>
      <c r="AA134" s="82">
        <f t="shared" si="128"/>
        <v>0.01</v>
      </c>
      <c r="AB134" s="82">
        <f t="shared" si="128"/>
        <v>0.01</v>
      </c>
      <c r="AC134" s="82">
        <f t="shared" si="128"/>
        <v>0.01</v>
      </c>
      <c r="AD134" s="82">
        <f t="shared" si="128"/>
        <v>0.01</v>
      </c>
      <c r="AE134" s="82">
        <f t="shared" si="128"/>
        <v>0.01</v>
      </c>
      <c r="AF134" s="82">
        <f t="shared" si="128"/>
        <v>0.01</v>
      </c>
      <c r="AG134" s="82">
        <f t="shared" si="128"/>
        <v>0.01</v>
      </c>
      <c r="AH134" s="82">
        <f t="shared" si="128"/>
        <v>0.01</v>
      </c>
      <c r="AI134" s="82">
        <f t="shared" si="128"/>
        <v>0.01</v>
      </c>
      <c r="AJ134" s="82">
        <f t="shared" si="128"/>
        <v>0.01</v>
      </c>
      <c r="AK134" s="82">
        <f t="shared" si="128"/>
        <v>0.01</v>
      </c>
      <c r="AL134" s="82">
        <f t="shared" si="128"/>
        <v>0.01</v>
      </c>
      <c r="AM134" s="82">
        <f t="shared" si="128"/>
        <v>0.01</v>
      </c>
      <c r="AN134" s="82">
        <f t="shared" si="128"/>
        <v>0.01</v>
      </c>
      <c r="AO134" s="82">
        <f t="shared" si="128"/>
        <v>0.01</v>
      </c>
      <c r="AP134" s="82">
        <f t="shared" si="128"/>
        <v>0.01</v>
      </c>
      <c r="AQ134" s="82">
        <f t="shared" si="128"/>
        <v>0.01</v>
      </c>
      <c r="AR134" s="82">
        <f t="shared" si="128"/>
        <v>0</v>
      </c>
      <c r="AS134" s="82">
        <f t="shared" si="128"/>
        <v>0</v>
      </c>
      <c r="AT134" s="82">
        <f t="shared" si="128"/>
        <v>0</v>
      </c>
      <c r="AU134" s="82">
        <f t="shared" si="128"/>
        <v>0</v>
      </c>
      <c r="AV134" s="82">
        <f t="shared" si="128"/>
        <v>0</v>
      </c>
      <c r="AW134" s="82">
        <f t="shared" si="128"/>
        <v>0</v>
      </c>
      <c r="AX134" s="82">
        <f t="shared" si="128"/>
        <v>0</v>
      </c>
      <c r="AY134" s="82">
        <f t="shared" si="128"/>
        <v>0</v>
      </c>
      <c r="AZ134" s="82">
        <f t="shared" si="128"/>
        <v>0</v>
      </c>
      <c r="BA134" s="82">
        <f t="shared" si="128"/>
        <v>0</v>
      </c>
      <c r="BB134" s="82">
        <f t="shared" si="128"/>
        <v>0</v>
      </c>
      <c r="BC134" s="82">
        <f t="shared" si="128"/>
        <v>0</v>
      </c>
      <c r="BD134" s="82">
        <f t="shared" si="128"/>
        <v>0</v>
      </c>
      <c r="BE134" s="82">
        <f t="shared" si="128"/>
        <v>0</v>
      </c>
      <c r="BF134" s="82">
        <f t="shared" si="128"/>
        <v>0</v>
      </c>
      <c r="BG134" s="82">
        <f t="shared" si="128"/>
        <v>0</v>
      </c>
      <c r="BH134" s="82">
        <f t="shared" si="128"/>
        <v>0</v>
      </c>
      <c r="BI134" s="82">
        <f t="shared" si="128"/>
        <v>0</v>
      </c>
      <c r="BJ134" s="82">
        <f t="shared" si="128"/>
        <v>0</v>
      </c>
      <c r="BK134" s="82">
        <f t="shared" si="128"/>
        <v>0</v>
      </c>
      <c r="BL134" s="82">
        <f t="shared" si="128"/>
        <v>0</v>
      </c>
      <c r="BM134" s="82">
        <f t="shared" si="128"/>
        <v>0</v>
      </c>
      <c r="BN134" s="82">
        <f t="shared" si="128"/>
        <v>0</v>
      </c>
      <c r="BO134" s="82">
        <f t="shared" si="128"/>
        <v>0</v>
      </c>
      <c r="BP134" s="82">
        <f t="shared" si="128"/>
        <v>0</v>
      </c>
      <c r="BQ134" s="82">
        <f t="shared" si="128"/>
        <v>0</v>
      </c>
      <c r="BR134" s="82">
        <f t="shared" si="128"/>
        <v>0</v>
      </c>
      <c r="BS134" s="82">
        <f t="shared" si="128"/>
        <v>0</v>
      </c>
      <c r="BT134" s="82">
        <f t="shared" si="128"/>
        <v>0</v>
      </c>
      <c r="BU134" s="82">
        <f t="shared" si="128"/>
        <v>0</v>
      </c>
      <c r="BV134" s="82">
        <f t="shared" si="128"/>
        <v>0</v>
      </c>
      <c r="BW134" s="82">
        <f t="shared" si="128"/>
        <v>0</v>
      </c>
      <c r="BX134" s="82">
        <f t="shared" si="128"/>
        <v>0</v>
      </c>
      <c r="BY134" s="82">
        <f t="shared" si="128"/>
        <v>0</v>
      </c>
      <c r="BZ134" s="82">
        <f t="shared" si="128"/>
        <v>0</v>
      </c>
      <c r="CA134" s="82">
        <f t="shared" si="128"/>
        <v>0</v>
      </c>
      <c r="CB134" s="82">
        <f t="shared" si="128"/>
        <v>0</v>
      </c>
      <c r="CC134" s="82">
        <f t="shared" ref="CC134:CQ134" si="129">CC99</f>
        <v>0</v>
      </c>
      <c r="CD134" s="82">
        <f t="shared" si="129"/>
        <v>0</v>
      </c>
      <c r="CE134" s="82">
        <f t="shared" si="129"/>
        <v>0</v>
      </c>
      <c r="CF134" s="82">
        <f t="shared" si="129"/>
        <v>0</v>
      </c>
      <c r="CG134" s="82">
        <f t="shared" si="129"/>
        <v>0</v>
      </c>
      <c r="CH134" s="82">
        <f t="shared" si="129"/>
        <v>0</v>
      </c>
      <c r="CI134" s="82">
        <f t="shared" si="129"/>
        <v>0</v>
      </c>
      <c r="CJ134" s="82">
        <f t="shared" si="129"/>
        <v>0</v>
      </c>
      <c r="CK134" s="82">
        <f t="shared" si="129"/>
        <v>0</v>
      </c>
      <c r="CL134" s="82">
        <f t="shared" si="129"/>
        <v>0</v>
      </c>
      <c r="CM134" s="82">
        <f t="shared" si="129"/>
        <v>0</v>
      </c>
      <c r="CN134" s="82">
        <f t="shared" si="129"/>
        <v>0</v>
      </c>
      <c r="CO134" s="82">
        <f t="shared" si="129"/>
        <v>0</v>
      </c>
      <c r="CP134" s="82">
        <f t="shared" si="129"/>
        <v>0</v>
      </c>
      <c r="CQ134" s="82">
        <f t="shared" si="129"/>
        <v>0</v>
      </c>
      <c r="CR134" s="82">
        <f t="shared" ref="CR134:CT134" si="130">CR99</f>
        <v>0</v>
      </c>
      <c r="CS134" s="82">
        <f t="shared" si="130"/>
        <v>0</v>
      </c>
      <c r="CT134" s="82">
        <f t="shared" si="130"/>
        <v>0</v>
      </c>
      <c r="CU134" s="82"/>
      <c r="CV134" s="82"/>
      <c r="CW134" s="82"/>
      <c r="CX134" s="82"/>
      <c r="CY134" s="82"/>
      <c r="CZ134" s="82"/>
      <c r="DA134" s="82"/>
      <c r="DC134" s="82"/>
      <c r="DD134" s="82"/>
      <c r="DE134" s="82"/>
      <c r="DF134" s="82"/>
      <c r="DG134" s="82"/>
      <c r="DH134" s="82"/>
      <c r="DI134" s="82"/>
      <c r="DJ134" s="82"/>
      <c r="DK134" s="82"/>
      <c r="DL134" s="82"/>
      <c r="DM134" s="82"/>
      <c r="DN134" s="82"/>
      <c r="DO134" s="82"/>
      <c r="DP134" s="82"/>
      <c r="DQ134" s="82"/>
      <c r="DR134" s="82"/>
      <c r="DS134" s="82"/>
      <c r="DT134" s="82"/>
      <c r="DU134" s="82"/>
      <c r="DV134" s="82"/>
      <c r="DW134" s="82"/>
      <c r="DX134" s="82"/>
      <c r="DY134" s="82"/>
      <c r="DZ134" s="82"/>
      <c r="EA134" s="82"/>
      <c r="EB134" s="82"/>
      <c r="EC134" s="82"/>
      <c r="ED134" s="82"/>
      <c r="EE134" s="82"/>
      <c r="EF134" s="82"/>
      <c r="EG134" s="82"/>
      <c r="EH134" s="82"/>
      <c r="EI134" s="82"/>
      <c r="EJ134" s="82"/>
      <c r="EK134" s="82"/>
      <c r="EL134" s="82"/>
      <c r="EM134" s="82"/>
      <c r="EN134" s="82"/>
      <c r="EO134" s="82"/>
      <c r="EP134" s="82"/>
      <c r="EQ134" s="82"/>
      <c r="ER134" s="82"/>
      <c r="ES134" s="82"/>
      <c r="ET134" s="82"/>
      <c r="EU134" s="82"/>
    </row>
    <row r="135" spans="1:151" ht="12.75" customHeight="1" x14ac:dyDescent="0.25">
      <c r="C135" t="s">
        <v>259</v>
      </c>
      <c r="H135" s="54" t="s">
        <v>6</v>
      </c>
      <c r="J135" s="196">
        <f>InputC!K131</f>
        <v>0.02</v>
      </c>
      <c r="N135" s="148"/>
      <c r="P135" s="82">
        <f>$J135*P115</f>
        <v>0</v>
      </c>
      <c r="Q135" s="82">
        <f t="shared" ref="Q135:CB135" si="131">$J135*Q115</f>
        <v>0</v>
      </c>
      <c r="R135" s="82">
        <f t="shared" si="131"/>
        <v>0</v>
      </c>
      <c r="S135" s="82">
        <f t="shared" si="131"/>
        <v>0.02</v>
      </c>
      <c r="T135" s="82">
        <f t="shared" si="131"/>
        <v>0.02</v>
      </c>
      <c r="U135" s="82">
        <f t="shared" si="131"/>
        <v>0.02</v>
      </c>
      <c r="V135" s="82">
        <f t="shared" si="131"/>
        <v>0.02</v>
      </c>
      <c r="W135" s="82">
        <f t="shared" si="131"/>
        <v>0.02</v>
      </c>
      <c r="X135" s="82">
        <f t="shared" si="131"/>
        <v>0.02</v>
      </c>
      <c r="Y135" s="82">
        <f t="shared" si="131"/>
        <v>0.02</v>
      </c>
      <c r="Z135" s="82">
        <f t="shared" si="131"/>
        <v>0.02</v>
      </c>
      <c r="AA135" s="82">
        <f t="shared" si="131"/>
        <v>0.02</v>
      </c>
      <c r="AB135" s="82">
        <f t="shared" si="131"/>
        <v>0.02</v>
      </c>
      <c r="AC135" s="82">
        <f t="shared" si="131"/>
        <v>0.02</v>
      </c>
      <c r="AD135" s="82">
        <f t="shared" si="131"/>
        <v>0.02</v>
      </c>
      <c r="AE135" s="82">
        <f t="shared" si="131"/>
        <v>0.02</v>
      </c>
      <c r="AF135" s="82">
        <f t="shared" si="131"/>
        <v>0.02</v>
      </c>
      <c r="AG135" s="82">
        <f t="shared" si="131"/>
        <v>0.02</v>
      </c>
      <c r="AH135" s="82">
        <f t="shared" si="131"/>
        <v>0.02</v>
      </c>
      <c r="AI135" s="82">
        <f t="shared" si="131"/>
        <v>0.02</v>
      </c>
      <c r="AJ135" s="82">
        <f t="shared" si="131"/>
        <v>0.02</v>
      </c>
      <c r="AK135" s="82">
        <f t="shared" si="131"/>
        <v>0.02</v>
      </c>
      <c r="AL135" s="82">
        <f t="shared" si="131"/>
        <v>0.02</v>
      </c>
      <c r="AM135" s="82">
        <f t="shared" si="131"/>
        <v>0.02</v>
      </c>
      <c r="AN135" s="82">
        <f t="shared" si="131"/>
        <v>0.02</v>
      </c>
      <c r="AO135" s="82">
        <f t="shared" si="131"/>
        <v>0.02</v>
      </c>
      <c r="AP135" s="82">
        <f t="shared" si="131"/>
        <v>0.02</v>
      </c>
      <c r="AQ135" s="82">
        <f t="shared" si="131"/>
        <v>0.02</v>
      </c>
      <c r="AR135" s="82">
        <f t="shared" si="131"/>
        <v>0</v>
      </c>
      <c r="AS135" s="82">
        <f t="shared" si="131"/>
        <v>0</v>
      </c>
      <c r="AT135" s="82">
        <f t="shared" si="131"/>
        <v>0</v>
      </c>
      <c r="AU135" s="82">
        <f t="shared" si="131"/>
        <v>0</v>
      </c>
      <c r="AV135" s="82">
        <f t="shared" si="131"/>
        <v>0</v>
      </c>
      <c r="AW135" s="82">
        <f t="shared" si="131"/>
        <v>0</v>
      </c>
      <c r="AX135" s="82">
        <f t="shared" si="131"/>
        <v>0</v>
      </c>
      <c r="AY135" s="82">
        <f t="shared" si="131"/>
        <v>0</v>
      </c>
      <c r="AZ135" s="82">
        <f t="shared" si="131"/>
        <v>0</v>
      </c>
      <c r="BA135" s="82">
        <f t="shared" si="131"/>
        <v>0</v>
      </c>
      <c r="BB135" s="82">
        <f t="shared" si="131"/>
        <v>0</v>
      </c>
      <c r="BC135" s="82">
        <f t="shared" si="131"/>
        <v>0</v>
      </c>
      <c r="BD135" s="82">
        <f t="shared" si="131"/>
        <v>0</v>
      </c>
      <c r="BE135" s="82">
        <f t="shared" si="131"/>
        <v>0</v>
      </c>
      <c r="BF135" s="82">
        <f t="shared" si="131"/>
        <v>0</v>
      </c>
      <c r="BG135" s="82">
        <f t="shared" si="131"/>
        <v>0</v>
      </c>
      <c r="BH135" s="82">
        <f t="shared" si="131"/>
        <v>0</v>
      </c>
      <c r="BI135" s="82">
        <f t="shared" si="131"/>
        <v>0</v>
      </c>
      <c r="BJ135" s="82">
        <f t="shared" si="131"/>
        <v>0</v>
      </c>
      <c r="BK135" s="82">
        <f t="shared" si="131"/>
        <v>0</v>
      </c>
      <c r="BL135" s="82">
        <f t="shared" si="131"/>
        <v>0</v>
      </c>
      <c r="BM135" s="82">
        <f t="shared" si="131"/>
        <v>0</v>
      </c>
      <c r="BN135" s="82">
        <f t="shared" si="131"/>
        <v>0</v>
      </c>
      <c r="BO135" s="82">
        <f t="shared" si="131"/>
        <v>0</v>
      </c>
      <c r="BP135" s="82">
        <f t="shared" si="131"/>
        <v>0</v>
      </c>
      <c r="BQ135" s="82">
        <f t="shared" si="131"/>
        <v>0</v>
      </c>
      <c r="BR135" s="82">
        <f t="shared" si="131"/>
        <v>0</v>
      </c>
      <c r="BS135" s="82">
        <f t="shared" si="131"/>
        <v>0</v>
      </c>
      <c r="BT135" s="82">
        <f t="shared" si="131"/>
        <v>0</v>
      </c>
      <c r="BU135" s="82">
        <f t="shared" si="131"/>
        <v>0</v>
      </c>
      <c r="BV135" s="82">
        <f t="shared" si="131"/>
        <v>0</v>
      </c>
      <c r="BW135" s="82">
        <f t="shared" si="131"/>
        <v>0</v>
      </c>
      <c r="BX135" s="82">
        <f t="shared" si="131"/>
        <v>0</v>
      </c>
      <c r="BY135" s="82">
        <f t="shared" si="131"/>
        <v>0</v>
      </c>
      <c r="BZ135" s="82">
        <f t="shared" si="131"/>
        <v>0</v>
      </c>
      <c r="CA135" s="82">
        <f t="shared" si="131"/>
        <v>0</v>
      </c>
      <c r="CB135" s="82">
        <f t="shared" si="131"/>
        <v>0</v>
      </c>
      <c r="CC135" s="82">
        <f t="shared" ref="CC135:CQ135" si="132">$J135*CC115</f>
        <v>0</v>
      </c>
      <c r="CD135" s="82">
        <f t="shared" si="132"/>
        <v>0</v>
      </c>
      <c r="CE135" s="82">
        <f t="shared" si="132"/>
        <v>0</v>
      </c>
      <c r="CF135" s="82">
        <f t="shared" si="132"/>
        <v>0</v>
      </c>
      <c r="CG135" s="82">
        <f t="shared" si="132"/>
        <v>0</v>
      </c>
      <c r="CH135" s="82">
        <f t="shared" si="132"/>
        <v>0</v>
      </c>
      <c r="CI135" s="82">
        <f t="shared" si="132"/>
        <v>0</v>
      </c>
      <c r="CJ135" s="82">
        <f t="shared" si="132"/>
        <v>0</v>
      </c>
      <c r="CK135" s="82">
        <f t="shared" si="132"/>
        <v>0</v>
      </c>
      <c r="CL135" s="82">
        <f t="shared" si="132"/>
        <v>0</v>
      </c>
      <c r="CM135" s="82">
        <f t="shared" si="132"/>
        <v>0</v>
      </c>
      <c r="CN135" s="82">
        <f t="shared" si="132"/>
        <v>0</v>
      </c>
      <c r="CO135" s="82">
        <f t="shared" si="132"/>
        <v>0</v>
      </c>
      <c r="CP135" s="82">
        <f t="shared" si="132"/>
        <v>0</v>
      </c>
      <c r="CQ135" s="82">
        <f t="shared" si="132"/>
        <v>0</v>
      </c>
      <c r="CR135" s="82">
        <f t="shared" ref="CR135:CT135" si="133">$J135*CR115</f>
        <v>0</v>
      </c>
      <c r="CS135" s="82">
        <f t="shared" si="133"/>
        <v>0</v>
      </c>
      <c r="CT135" s="82">
        <f t="shared" si="133"/>
        <v>0</v>
      </c>
      <c r="CU135" s="82"/>
      <c r="CV135" s="82"/>
      <c r="CW135" s="82"/>
      <c r="CX135" s="82"/>
      <c r="CY135" s="82"/>
      <c r="CZ135" s="82"/>
      <c r="DA135" s="82"/>
      <c r="DC135" s="82"/>
      <c r="DD135" s="82"/>
      <c r="DE135" s="82"/>
      <c r="DF135" s="82"/>
      <c r="DG135" s="82"/>
      <c r="DH135" s="82"/>
      <c r="DI135" s="82"/>
      <c r="DJ135" s="82"/>
      <c r="DK135" s="82"/>
      <c r="DL135" s="82"/>
      <c r="DM135" s="82"/>
      <c r="DN135" s="82"/>
      <c r="DO135" s="82"/>
      <c r="DP135" s="82"/>
      <c r="DQ135" s="82"/>
      <c r="DR135" s="82"/>
      <c r="DS135" s="82"/>
      <c r="DT135" s="82"/>
      <c r="DU135" s="82"/>
      <c r="DV135" s="82"/>
      <c r="DW135" s="82"/>
      <c r="DX135" s="82"/>
      <c r="DY135" s="82"/>
      <c r="DZ135" s="82"/>
      <c r="EA135" s="82"/>
      <c r="EB135" s="82"/>
      <c r="EC135" s="82"/>
      <c r="ED135" s="82"/>
      <c r="EE135" s="82"/>
      <c r="EF135" s="82"/>
      <c r="EG135" s="82"/>
      <c r="EH135" s="82"/>
      <c r="EI135" s="82"/>
      <c r="EJ135" s="82"/>
      <c r="EK135" s="82"/>
      <c r="EL135" s="82"/>
      <c r="EM135" s="82"/>
      <c r="EN135" s="82"/>
      <c r="EO135" s="82"/>
      <c r="EP135" s="82"/>
      <c r="EQ135" s="82"/>
      <c r="ER135" s="82"/>
      <c r="ES135" s="82"/>
      <c r="ET135" s="82"/>
      <c r="EU135" s="82"/>
    </row>
    <row r="136" spans="1:151" ht="12.75" customHeight="1" x14ac:dyDescent="0.25">
      <c r="C136" t="s">
        <v>220</v>
      </c>
      <c r="H136" s="54" t="s">
        <v>6</v>
      </c>
      <c r="N136" s="148"/>
      <c r="P136" s="191">
        <f>SUM(P134:P135)</f>
        <v>0</v>
      </c>
      <c r="Q136" s="191">
        <f t="shared" ref="Q136:CB136" si="134">SUM(Q134:Q135)</f>
        <v>0</v>
      </c>
      <c r="R136" s="191">
        <f t="shared" si="134"/>
        <v>0</v>
      </c>
      <c r="S136" s="191">
        <f t="shared" si="134"/>
        <v>0.03</v>
      </c>
      <c r="T136" s="191">
        <f t="shared" si="134"/>
        <v>0.03</v>
      </c>
      <c r="U136" s="191">
        <f t="shared" si="134"/>
        <v>0.03</v>
      </c>
      <c r="V136" s="191">
        <f t="shared" si="134"/>
        <v>0.03</v>
      </c>
      <c r="W136" s="191">
        <f t="shared" si="134"/>
        <v>0.03</v>
      </c>
      <c r="X136" s="191">
        <f t="shared" si="134"/>
        <v>0.03</v>
      </c>
      <c r="Y136" s="191">
        <f t="shared" si="134"/>
        <v>0.03</v>
      </c>
      <c r="Z136" s="191">
        <f t="shared" si="134"/>
        <v>0.03</v>
      </c>
      <c r="AA136" s="191">
        <f t="shared" si="134"/>
        <v>0.03</v>
      </c>
      <c r="AB136" s="191">
        <f t="shared" si="134"/>
        <v>0.03</v>
      </c>
      <c r="AC136" s="191">
        <f t="shared" si="134"/>
        <v>0.03</v>
      </c>
      <c r="AD136" s="191">
        <f t="shared" si="134"/>
        <v>0.03</v>
      </c>
      <c r="AE136" s="191">
        <f t="shared" si="134"/>
        <v>0.03</v>
      </c>
      <c r="AF136" s="191">
        <f t="shared" si="134"/>
        <v>0.03</v>
      </c>
      <c r="AG136" s="191">
        <f t="shared" si="134"/>
        <v>0.03</v>
      </c>
      <c r="AH136" s="191">
        <f t="shared" si="134"/>
        <v>0.03</v>
      </c>
      <c r="AI136" s="191">
        <f t="shared" si="134"/>
        <v>0.03</v>
      </c>
      <c r="AJ136" s="191">
        <f t="shared" si="134"/>
        <v>0.03</v>
      </c>
      <c r="AK136" s="191">
        <f t="shared" si="134"/>
        <v>0.03</v>
      </c>
      <c r="AL136" s="191">
        <f t="shared" si="134"/>
        <v>0.03</v>
      </c>
      <c r="AM136" s="191">
        <f t="shared" si="134"/>
        <v>0.03</v>
      </c>
      <c r="AN136" s="191">
        <f t="shared" si="134"/>
        <v>0.03</v>
      </c>
      <c r="AO136" s="191">
        <f t="shared" si="134"/>
        <v>0.03</v>
      </c>
      <c r="AP136" s="191">
        <f t="shared" si="134"/>
        <v>0.03</v>
      </c>
      <c r="AQ136" s="191">
        <f t="shared" si="134"/>
        <v>0.03</v>
      </c>
      <c r="AR136" s="191">
        <f t="shared" si="134"/>
        <v>0</v>
      </c>
      <c r="AS136" s="191">
        <f t="shared" si="134"/>
        <v>0</v>
      </c>
      <c r="AT136" s="191">
        <f t="shared" si="134"/>
        <v>0</v>
      </c>
      <c r="AU136" s="191">
        <f t="shared" si="134"/>
        <v>0</v>
      </c>
      <c r="AV136" s="191">
        <f t="shared" si="134"/>
        <v>0</v>
      </c>
      <c r="AW136" s="191">
        <f t="shared" si="134"/>
        <v>0</v>
      </c>
      <c r="AX136" s="191">
        <f t="shared" si="134"/>
        <v>0</v>
      </c>
      <c r="AY136" s="191">
        <f t="shared" si="134"/>
        <v>0</v>
      </c>
      <c r="AZ136" s="191">
        <f t="shared" si="134"/>
        <v>0</v>
      </c>
      <c r="BA136" s="191">
        <f t="shared" si="134"/>
        <v>0</v>
      </c>
      <c r="BB136" s="191">
        <f t="shared" si="134"/>
        <v>0</v>
      </c>
      <c r="BC136" s="191">
        <f t="shared" si="134"/>
        <v>0</v>
      </c>
      <c r="BD136" s="191">
        <f t="shared" si="134"/>
        <v>0</v>
      </c>
      <c r="BE136" s="191">
        <f t="shared" si="134"/>
        <v>0</v>
      </c>
      <c r="BF136" s="191">
        <f t="shared" si="134"/>
        <v>0</v>
      </c>
      <c r="BG136" s="191">
        <f t="shared" si="134"/>
        <v>0</v>
      </c>
      <c r="BH136" s="191">
        <f t="shared" si="134"/>
        <v>0</v>
      </c>
      <c r="BI136" s="191">
        <f t="shared" si="134"/>
        <v>0</v>
      </c>
      <c r="BJ136" s="191">
        <f t="shared" si="134"/>
        <v>0</v>
      </c>
      <c r="BK136" s="191">
        <f t="shared" si="134"/>
        <v>0</v>
      </c>
      <c r="BL136" s="191">
        <f t="shared" si="134"/>
        <v>0</v>
      </c>
      <c r="BM136" s="191">
        <f t="shared" si="134"/>
        <v>0</v>
      </c>
      <c r="BN136" s="191">
        <f t="shared" si="134"/>
        <v>0</v>
      </c>
      <c r="BO136" s="191">
        <f t="shared" si="134"/>
        <v>0</v>
      </c>
      <c r="BP136" s="191">
        <f t="shared" si="134"/>
        <v>0</v>
      </c>
      <c r="BQ136" s="191">
        <f t="shared" si="134"/>
        <v>0</v>
      </c>
      <c r="BR136" s="191">
        <f t="shared" si="134"/>
        <v>0</v>
      </c>
      <c r="BS136" s="191">
        <f t="shared" si="134"/>
        <v>0</v>
      </c>
      <c r="BT136" s="191">
        <f t="shared" si="134"/>
        <v>0</v>
      </c>
      <c r="BU136" s="191">
        <f t="shared" si="134"/>
        <v>0</v>
      </c>
      <c r="BV136" s="191">
        <f t="shared" si="134"/>
        <v>0</v>
      </c>
      <c r="BW136" s="191">
        <f t="shared" si="134"/>
        <v>0</v>
      </c>
      <c r="BX136" s="191">
        <f t="shared" si="134"/>
        <v>0</v>
      </c>
      <c r="BY136" s="191">
        <f t="shared" si="134"/>
        <v>0</v>
      </c>
      <c r="BZ136" s="191">
        <f t="shared" si="134"/>
        <v>0</v>
      </c>
      <c r="CA136" s="191">
        <f t="shared" si="134"/>
        <v>0</v>
      </c>
      <c r="CB136" s="191">
        <f t="shared" si="134"/>
        <v>0</v>
      </c>
      <c r="CC136" s="191">
        <f t="shared" ref="CC136:CQ136" si="135">SUM(CC134:CC135)</f>
        <v>0</v>
      </c>
      <c r="CD136" s="191">
        <f t="shared" si="135"/>
        <v>0</v>
      </c>
      <c r="CE136" s="191">
        <f t="shared" si="135"/>
        <v>0</v>
      </c>
      <c r="CF136" s="191">
        <f t="shared" si="135"/>
        <v>0</v>
      </c>
      <c r="CG136" s="191">
        <f t="shared" si="135"/>
        <v>0</v>
      </c>
      <c r="CH136" s="191">
        <f t="shared" si="135"/>
        <v>0</v>
      </c>
      <c r="CI136" s="191">
        <f t="shared" si="135"/>
        <v>0</v>
      </c>
      <c r="CJ136" s="191">
        <f t="shared" si="135"/>
        <v>0</v>
      </c>
      <c r="CK136" s="191">
        <f t="shared" si="135"/>
        <v>0</v>
      </c>
      <c r="CL136" s="191">
        <f t="shared" si="135"/>
        <v>0</v>
      </c>
      <c r="CM136" s="191">
        <f t="shared" si="135"/>
        <v>0</v>
      </c>
      <c r="CN136" s="191">
        <f t="shared" si="135"/>
        <v>0</v>
      </c>
      <c r="CO136" s="191">
        <f t="shared" si="135"/>
        <v>0</v>
      </c>
      <c r="CP136" s="191">
        <f t="shared" si="135"/>
        <v>0</v>
      </c>
      <c r="CQ136" s="191">
        <f t="shared" si="135"/>
        <v>0</v>
      </c>
      <c r="CR136" s="191">
        <f t="shared" ref="CR136:CT136" si="136">SUM(CR134:CR135)</f>
        <v>0</v>
      </c>
      <c r="CS136" s="191">
        <f t="shared" si="136"/>
        <v>0</v>
      </c>
      <c r="CT136" s="191">
        <f t="shared" si="136"/>
        <v>0</v>
      </c>
      <c r="CU136" s="191"/>
      <c r="CV136" s="191"/>
      <c r="CW136" s="191"/>
      <c r="CX136" s="191"/>
      <c r="CY136" s="191"/>
      <c r="CZ136" s="191"/>
      <c r="DA136" s="191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/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8"/>
      <c r="EG136" s="198"/>
      <c r="EH136" s="198"/>
      <c r="EI136" s="198"/>
      <c r="EJ136" s="198"/>
      <c r="EK136" s="198"/>
      <c r="EL136" s="198"/>
      <c r="EM136" s="198"/>
      <c r="EN136" s="198"/>
      <c r="EO136" s="198"/>
      <c r="EP136" s="198"/>
      <c r="EQ136" s="198"/>
      <c r="ER136" s="198"/>
      <c r="ES136" s="198"/>
      <c r="ET136" s="198"/>
      <c r="EU136" s="198"/>
    </row>
    <row r="137" spans="1:151" ht="12.75" customHeight="1" x14ac:dyDescent="0.25">
      <c r="H137" s="54"/>
      <c r="N137" s="148"/>
    </row>
    <row r="138" spans="1:151" ht="12.75" customHeight="1" x14ac:dyDescent="0.25">
      <c r="C138" t="s">
        <v>260</v>
      </c>
      <c r="H138" s="54" t="s">
        <v>3</v>
      </c>
      <c r="N138" s="25" t="e">
        <f>SUM(P138:DA138)</f>
        <v>#REF!</v>
      </c>
      <c r="P138" s="10">
        <f>P136*P123</f>
        <v>0</v>
      </c>
      <c r="Q138" s="10" t="e">
        <f t="shared" ref="Q138:CB138" si="137">Q136*Q123</f>
        <v>#REF!</v>
      </c>
      <c r="R138" s="10" t="e">
        <f t="shared" si="137"/>
        <v>#REF!</v>
      </c>
      <c r="S138" s="10" t="e">
        <f t="shared" si="137"/>
        <v>#REF!</v>
      </c>
      <c r="T138" s="10" t="e">
        <f t="shared" si="137"/>
        <v>#REF!</v>
      </c>
      <c r="U138" s="10" t="e">
        <f t="shared" si="137"/>
        <v>#REF!</v>
      </c>
      <c r="V138" s="10" t="e">
        <f t="shared" si="137"/>
        <v>#REF!</v>
      </c>
      <c r="W138" s="10" t="e">
        <f t="shared" si="137"/>
        <v>#REF!</v>
      </c>
      <c r="X138" s="10" t="e">
        <f t="shared" si="137"/>
        <v>#REF!</v>
      </c>
      <c r="Y138" s="10" t="e">
        <f t="shared" si="137"/>
        <v>#REF!</v>
      </c>
      <c r="Z138" s="10" t="e">
        <f t="shared" si="137"/>
        <v>#REF!</v>
      </c>
      <c r="AA138" s="10" t="e">
        <f t="shared" si="137"/>
        <v>#REF!</v>
      </c>
      <c r="AB138" s="10" t="e">
        <f t="shared" si="137"/>
        <v>#REF!</v>
      </c>
      <c r="AC138" s="10" t="e">
        <f t="shared" si="137"/>
        <v>#REF!</v>
      </c>
      <c r="AD138" s="10" t="e">
        <f t="shared" si="137"/>
        <v>#REF!</v>
      </c>
      <c r="AE138" s="10" t="e">
        <f t="shared" si="137"/>
        <v>#REF!</v>
      </c>
      <c r="AF138" s="10" t="e">
        <f t="shared" si="137"/>
        <v>#REF!</v>
      </c>
      <c r="AG138" s="10" t="e">
        <f t="shared" si="137"/>
        <v>#REF!</v>
      </c>
      <c r="AH138" s="10" t="e">
        <f t="shared" si="137"/>
        <v>#REF!</v>
      </c>
      <c r="AI138" s="10" t="e">
        <f t="shared" si="137"/>
        <v>#REF!</v>
      </c>
      <c r="AJ138" s="10" t="e">
        <f t="shared" si="137"/>
        <v>#REF!</v>
      </c>
      <c r="AK138" s="10" t="e">
        <f t="shared" si="137"/>
        <v>#REF!</v>
      </c>
      <c r="AL138" s="10" t="e">
        <f t="shared" si="137"/>
        <v>#REF!</v>
      </c>
      <c r="AM138" s="10" t="e">
        <f t="shared" si="137"/>
        <v>#REF!</v>
      </c>
      <c r="AN138" s="10" t="e">
        <f t="shared" si="137"/>
        <v>#REF!</v>
      </c>
      <c r="AO138" s="10" t="e">
        <f t="shared" si="137"/>
        <v>#REF!</v>
      </c>
      <c r="AP138" s="10" t="e">
        <f t="shared" si="137"/>
        <v>#REF!</v>
      </c>
      <c r="AQ138" s="10" t="e">
        <f t="shared" si="137"/>
        <v>#REF!</v>
      </c>
      <c r="AR138" s="10" t="e">
        <f t="shared" si="137"/>
        <v>#REF!</v>
      </c>
      <c r="AS138" s="10" t="e">
        <f t="shared" si="137"/>
        <v>#REF!</v>
      </c>
      <c r="AT138" s="10" t="e">
        <f t="shared" si="137"/>
        <v>#REF!</v>
      </c>
      <c r="AU138" s="10" t="e">
        <f t="shared" si="137"/>
        <v>#REF!</v>
      </c>
      <c r="AV138" s="10" t="e">
        <f t="shared" si="137"/>
        <v>#REF!</v>
      </c>
      <c r="AW138" s="10" t="e">
        <f t="shared" si="137"/>
        <v>#REF!</v>
      </c>
      <c r="AX138" s="10" t="e">
        <f t="shared" si="137"/>
        <v>#REF!</v>
      </c>
      <c r="AY138" s="10" t="e">
        <f t="shared" si="137"/>
        <v>#REF!</v>
      </c>
      <c r="AZ138" s="10" t="e">
        <f t="shared" si="137"/>
        <v>#REF!</v>
      </c>
      <c r="BA138" s="10" t="e">
        <f t="shared" si="137"/>
        <v>#REF!</v>
      </c>
      <c r="BB138" s="10" t="e">
        <f t="shared" si="137"/>
        <v>#REF!</v>
      </c>
      <c r="BC138" s="10" t="e">
        <f t="shared" si="137"/>
        <v>#REF!</v>
      </c>
      <c r="BD138" s="10" t="e">
        <f t="shared" si="137"/>
        <v>#REF!</v>
      </c>
      <c r="BE138" s="10" t="e">
        <f t="shared" si="137"/>
        <v>#REF!</v>
      </c>
      <c r="BF138" s="10" t="e">
        <f t="shared" si="137"/>
        <v>#REF!</v>
      </c>
      <c r="BG138" s="10" t="e">
        <f t="shared" si="137"/>
        <v>#REF!</v>
      </c>
      <c r="BH138" s="10" t="e">
        <f t="shared" si="137"/>
        <v>#REF!</v>
      </c>
      <c r="BI138" s="10" t="e">
        <f t="shared" si="137"/>
        <v>#REF!</v>
      </c>
      <c r="BJ138" s="10" t="e">
        <f t="shared" si="137"/>
        <v>#REF!</v>
      </c>
      <c r="BK138" s="10" t="e">
        <f t="shared" si="137"/>
        <v>#REF!</v>
      </c>
      <c r="BL138" s="10" t="e">
        <f t="shared" si="137"/>
        <v>#REF!</v>
      </c>
      <c r="BM138" s="10" t="e">
        <f t="shared" si="137"/>
        <v>#REF!</v>
      </c>
      <c r="BN138" s="10" t="e">
        <f t="shared" si="137"/>
        <v>#REF!</v>
      </c>
      <c r="BO138" s="10" t="e">
        <f t="shared" si="137"/>
        <v>#REF!</v>
      </c>
      <c r="BP138" s="10" t="e">
        <f t="shared" si="137"/>
        <v>#REF!</v>
      </c>
      <c r="BQ138" s="10" t="e">
        <f t="shared" si="137"/>
        <v>#REF!</v>
      </c>
      <c r="BR138" s="10" t="e">
        <f t="shared" si="137"/>
        <v>#REF!</v>
      </c>
      <c r="BS138" s="10" t="e">
        <f t="shared" si="137"/>
        <v>#REF!</v>
      </c>
      <c r="BT138" s="10" t="e">
        <f t="shared" si="137"/>
        <v>#REF!</v>
      </c>
      <c r="BU138" s="10" t="e">
        <f t="shared" si="137"/>
        <v>#REF!</v>
      </c>
      <c r="BV138" s="10" t="e">
        <f t="shared" si="137"/>
        <v>#REF!</v>
      </c>
      <c r="BW138" s="10" t="e">
        <f t="shared" si="137"/>
        <v>#REF!</v>
      </c>
      <c r="BX138" s="10" t="e">
        <f t="shared" si="137"/>
        <v>#REF!</v>
      </c>
      <c r="BY138" s="10" t="e">
        <f t="shared" si="137"/>
        <v>#REF!</v>
      </c>
      <c r="BZ138" s="10" t="e">
        <f t="shared" si="137"/>
        <v>#REF!</v>
      </c>
      <c r="CA138" s="10" t="e">
        <f t="shared" si="137"/>
        <v>#REF!</v>
      </c>
      <c r="CB138" s="10" t="e">
        <f t="shared" si="137"/>
        <v>#REF!</v>
      </c>
      <c r="CC138" s="10" t="e">
        <f t="shared" ref="CC138:CQ138" si="138">CC136*CC123</f>
        <v>#REF!</v>
      </c>
      <c r="CD138" s="10" t="e">
        <f t="shared" si="138"/>
        <v>#REF!</v>
      </c>
      <c r="CE138" s="10" t="e">
        <f t="shared" si="138"/>
        <v>#REF!</v>
      </c>
      <c r="CF138" s="10" t="e">
        <f t="shared" si="138"/>
        <v>#REF!</v>
      </c>
      <c r="CG138" s="10" t="e">
        <f t="shared" si="138"/>
        <v>#REF!</v>
      </c>
      <c r="CH138" s="10" t="e">
        <f t="shared" si="138"/>
        <v>#REF!</v>
      </c>
      <c r="CI138" s="10" t="e">
        <f t="shared" si="138"/>
        <v>#REF!</v>
      </c>
      <c r="CJ138" s="10" t="e">
        <f t="shared" si="138"/>
        <v>#REF!</v>
      </c>
      <c r="CK138" s="10" t="e">
        <f t="shared" si="138"/>
        <v>#REF!</v>
      </c>
      <c r="CL138" s="10" t="e">
        <f t="shared" si="138"/>
        <v>#REF!</v>
      </c>
      <c r="CM138" s="10" t="e">
        <f t="shared" si="138"/>
        <v>#REF!</v>
      </c>
      <c r="CN138" s="10" t="e">
        <f t="shared" si="138"/>
        <v>#REF!</v>
      </c>
      <c r="CO138" s="10" t="e">
        <f t="shared" si="138"/>
        <v>#REF!</v>
      </c>
      <c r="CP138" s="10" t="e">
        <f t="shared" si="138"/>
        <v>#REF!</v>
      </c>
      <c r="CQ138" s="10" t="e">
        <f t="shared" si="138"/>
        <v>#REF!</v>
      </c>
      <c r="CR138" s="10" t="e">
        <f t="shared" ref="CR138:CT138" si="139">CR136*CR123</f>
        <v>#REF!</v>
      </c>
      <c r="CS138" s="10" t="e">
        <f t="shared" si="139"/>
        <v>#REF!</v>
      </c>
      <c r="CT138" s="10" t="e">
        <f t="shared" si="139"/>
        <v>#REF!</v>
      </c>
      <c r="CU138" s="10"/>
      <c r="CV138" s="10"/>
      <c r="CW138" s="10"/>
      <c r="CX138" s="10"/>
      <c r="CY138" s="10"/>
      <c r="CZ138" s="10"/>
      <c r="DA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</row>
    <row r="139" spans="1:151" ht="12.75" customHeight="1" x14ac:dyDescent="0.25">
      <c r="H139" s="54"/>
      <c r="N139" s="19"/>
    </row>
    <row r="140" spans="1:151" ht="12.75" customHeight="1" x14ac:dyDescent="0.25">
      <c r="H140" s="54"/>
      <c r="N140" s="19"/>
    </row>
    <row r="141" spans="1:151" s="292" customFormat="1" ht="12.75" customHeight="1" x14ac:dyDescent="0.25">
      <c r="A141" s="299" t="s">
        <v>53</v>
      </c>
      <c r="I141" s="313"/>
      <c r="J141" s="284"/>
    </row>
  </sheetData>
  <conditionalFormatting sqref="CU7:DD7">
    <cfRule type="expression" dxfId="98" priority="18">
      <formula>CU7="Ops"</formula>
    </cfRule>
    <cfRule type="expression" dxfId="97" priority="19">
      <formula>CU7="Const"</formula>
    </cfRule>
  </conditionalFormatting>
  <conditionalFormatting sqref="P7:CT7">
    <cfRule type="expression" dxfId="96" priority="16">
      <formula>P7="Ops"</formula>
    </cfRule>
    <cfRule type="expression" dxfId="95" priority="17">
      <formula>P7="Const"</formula>
    </cfRule>
  </conditionalFormatting>
  <conditionalFormatting sqref="J55:J56">
    <cfRule type="expression" dxfId="94" priority="13">
      <formula>#REF!=TRUE</formula>
    </cfRule>
  </conditionalFormatting>
  <conditionalFormatting sqref="J63">
    <cfRule type="expression" dxfId="93" priority="12">
      <formula>#REF!=TRUE</formula>
    </cfRule>
  </conditionalFormatting>
  <conditionalFormatting sqref="J64">
    <cfRule type="expression" dxfId="92" priority="11">
      <formula>#REF!=TRUE</formula>
    </cfRule>
  </conditionalFormatting>
  <conditionalFormatting sqref="J68">
    <cfRule type="expression" dxfId="91" priority="10">
      <formula>#REF!=TRUE</formula>
    </cfRule>
  </conditionalFormatting>
  <conditionalFormatting sqref="P27:DD27">
    <cfRule type="containsText" dxfId="90" priority="8" operator="containsText" text="TRUE">
      <formula>NOT(ISERROR(SEARCH("TRUE",P27)))</formula>
    </cfRule>
    <cfRule type="containsText" dxfId="89" priority="9" operator="containsText" text="FALSE">
      <formula>NOT(ISERROR(SEARCH("FALSE",P27)))</formula>
    </cfRule>
  </conditionalFormatting>
  <conditionalFormatting sqref="J27">
    <cfRule type="containsText" dxfId="88" priority="6" operator="containsText" text="TRUE">
      <formula>NOT(ISERROR(SEARCH("TRUE",J27)))</formula>
    </cfRule>
    <cfRule type="containsText" dxfId="87" priority="7" operator="containsText" text="FALSE">
      <formula>NOT(ISERROR(SEARCH("FALSE",J27)))</formula>
    </cfRule>
  </conditionalFormatting>
  <conditionalFormatting sqref="J46">
    <cfRule type="containsText" dxfId="86" priority="4" operator="containsText" text="TRUE">
      <formula>NOT(ISERROR(SEARCH("TRUE",J46)))</formula>
    </cfRule>
    <cfRule type="containsText" dxfId="85" priority="5" operator="containsText" text="FALSE">
      <formula>NOT(ISERROR(SEARCH("FALSE",J46)))</formula>
    </cfRule>
  </conditionalFormatting>
  <conditionalFormatting sqref="J2:J3">
    <cfRule type="expression" dxfId="84" priority="3">
      <formula>#REF!=TRUE</formula>
    </cfRule>
  </conditionalFormatting>
  <conditionalFormatting sqref="J5:J6">
    <cfRule type="expression" dxfId="83" priority="2">
      <formula>#REF!=TRUE</formula>
    </cfRule>
  </conditionalFormatting>
  <conditionalFormatting sqref="J7">
    <cfRule type="expression" dxfId="82" priority="1">
      <formula>#REF!=TRUE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BB7460-ED6B-418C-AF9E-2B16E9E377B6}">
          <x14:formula1>
            <xm:f>InputC!$B$170:$B$171</xm:f>
          </x14:formula1>
          <xm:sqref>J11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767A-F231-4314-BBA5-558736F9E887}">
  <sheetPr codeName="Sheet9">
    <tabColor theme="3" tint="-0.499984740745262"/>
  </sheetPr>
  <dimension ref="A1:DD49"/>
  <sheetViews>
    <sheetView showGridLines="0" zoomScale="50" zoomScaleNormal="50" workbookViewId="0">
      <pane xSplit="14" ySplit="8" topLeftCell="O9" activePane="bottomRight" state="frozen"/>
      <selection activeCell="I6" sqref="I6"/>
      <selection pane="topRight" activeCell="I6" sqref="I6"/>
      <selection pane="bottomLeft" activeCell="I6" sqref="I6"/>
      <selection pane="bottomRight" activeCell="A49" sqref="A49:XFD49"/>
    </sheetView>
  </sheetViews>
  <sheetFormatPr defaultColWidth="0" defaultRowHeight="12.75" customHeight="1" zeroHeight="1" x14ac:dyDescent="0.25"/>
  <cols>
    <col min="1" max="2" width="3.28515625" customWidth="1"/>
    <col min="3" max="3" width="3.28515625" style="184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5" width="14.28515625" customWidth="1"/>
    <col min="96" max="98" width="11.140625" customWidth="1"/>
    <col min="99" max="16384" width="9.140625" hidden="1"/>
  </cols>
  <sheetData>
    <row r="1" spans="1:108" s="282" customFormat="1" ht="12.75" customHeight="1" x14ac:dyDescent="0.2">
      <c r="C1" s="283"/>
      <c r="H1" s="284"/>
    </row>
    <row r="2" spans="1:108" s="282" customFormat="1" ht="12.75" customHeight="1" x14ac:dyDescent="0.2">
      <c r="C2" s="283"/>
      <c r="H2" s="284"/>
      <c r="J2" s="285"/>
    </row>
    <row r="3" spans="1:108" s="282" customFormat="1" ht="12.75" customHeight="1" x14ac:dyDescent="0.2">
      <c r="C3" s="283"/>
      <c r="H3" s="284"/>
      <c r="J3" s="286"/>
    </row>
    <row r="4" spans="1:108" s="282" customFormat="1" ht="12.75" customHeight="1" x14ac:dyDescent="0.2">
      <c r="C4" s="283"/>
      <c r="H4" s="284"/>
    </row>
    <row r="5" spans="1:108" s="282" customFormat="1" ht="12.75" customHeight="1" x14ac:dyDescent="0.2">
      <c r="C5" s="283"/>
      <c r="H5" s="284"/>
      <c r="J5" s="285"/>
      <c r="M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C6" s="283"/>
      <c r="H6" s="284"/>
      <c r="J6" s="286"/>
      <c r="M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C7" s="283"/>
      <c r="H7" s="284"/>
      <c r="J7" s="286"/>
      <c r="M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C8" s="283"/>
      <c r="H8" s="284"/>
    </row>
    <row r="9" spans="1:108" s="5" customFormat="1" ht="12.75" customHeight="1" x14ac:dyDescent="0.2">
      <c r="A9" s="5" t="s">
        <v>266</v>
      </c>
      <c r="C9" s="6"/>
      <c r="H9" s="137"/>
      <c r="I9" s="8"/>
    </row>
    <row r="10" spans="1:108" ht="12.75" customHeight="1" x14ac:dyDescent="0.25">
      <c r="H10" s="54"/>
      <c r="N10" s="19"/>
    </row>
    <row r="11" spans="1:108" ht="12.75" customHeight="1" x14ac:dyDescent="0.25">
      <c r="C11" s="184" t="s">
        <v>267</v>
      </c>
      <c r="H11" s="54" t="s">
        <v>3</v>
      </c>
      <c r="N11" s="25" t="e">
        <f>SUM(P11:DD11)</f>
        <v>#REF!</v>
      </c>
      <c r="O11" s="10"/>
      <c r="P11" s="10" t="e">
        <f>IS!P23</f>
        <v>#REF!</v>
      </c>
      <c r="Q11" s="10" t="e">
        <f>IS!Q23</f>
        <v>#REF!</v>
      </c>
      <c r="R11" s="10" t="e">
        <f>IS!R23</f>
        <v>#REF!</v>
      </c>
      <c r="S11" s="10" t="e">
        <f>IS!S23</f>
        <v>#REF!</v>
      </c>
      <c r="T11" s="10" t="e">
        <f>IS!T23</f>
        <v>#REF!</v>
      </c>
      <c r="U11" s="10" t="e">
        <f>IS!U23</f>
        <v>#REF!</v>
      </c>
      <c r="V11" s="10" t="e">
        <f>IS!V23</f>
        <v>#REF!</v>
      </c>
      <c r="W11" s="10" t="e">
        <f>IS!W23</f>
        <v>#REF!</v>
      </c>
      <c r="X11" s="10" t="e">
        <f>IS!X23</f>
        <v>#REF!</v>
      </c>
      <c r="Y11" s="10" t="e">
        <f>IS!Y23</f>
        <v>#REF!</v>
      </c>
      <c r="Z11" s="10" t="e">
        <f>IS!Z23</f>
        <v>#REF!</v>
      </c>
      <c r="AA11" s="10" t="e">
        <f>IS!AA23</f>
        <v>#REF!</v>
      </c>
      <c r="AB11" s="10" t="e">
        <f>IS!AB23</f>
        <v>#REF!</v>
      </c>
      <c r="AC11" s="10" t="e">
        <f>IS!AC23</f>
        <v>#REF!</v>
      </c>
      <c r="AD11" s="10" t="e">
        <f>IS!AD23</f>
        <v>#REF!</v>
      </c>
      <c r="AE11" s="10" t="e">
        <f>IS!AE23</f>
        <v>#REF!</v>
      </c>
      <c r="AF11" s="10" t="e">
        <f>IS!AF23</f>
        <v>#REF!</v>
      </c>
      <c r="AG11" s="10" t="e">
        <f>IS!AG23</f>
        <v>#REF!</v>
      </c>
      <c r="AH11" s="10" t="e">
        <f>IS!AH23</f>
        <v>#REF!</v>
      </c>
      <c r="AI11" s="10" t="e">
        <f>IS!AI23</f>
        <v>#REF!</v>
      </c>
      <c r="AJ11" s="10" t="e">
        <f>IS!AJ23</f>
        <v>#REF!</v>
      </c>
      <c r="AK11" s="10" t="e">
        <f>IS!AK23</f>
        <v>#REF!</v>
      </c>
      <c r="AL11" s="10" t="e">
        <f>IS!AL23</f>
        <v>#REF!</v>
      </c>
      <c r="AM11" s="10" t="e">
        <f>IS!AM23</f>
        <v>#REF!</v>
      </c>
      <c r="AN11" s="10" t="e">
        <f>IS!AN23</f>
        <v>#REF!</v>
      </c>
      <c r="AO11" s="10" t="e">
        <f>IS!AO23</f>
        <v>#REF!</v>
      </c>
      <c r="AP11" s="10" t="e">
        <f>IS!AP23</f>
        <v>#REF!</v>
      </c>
      <c r="AQ11" s="10" t="e">
        <f>IS!AQ23</f>
        <v>#REF!</v>
      </c>
      <c r="AR11" s="10" t="e">
        <f>IS!AR23</f>
        <v>#REF!</v>
      </c>
      <c r="AS11" s="10" t="e">
        <f>IS!AS23</f>
        <v>#REF!</v>
      </c>
      <c r="AT11" s="10" t="e">
        <f>IS!AT23</f>
        <v>#REF!</v>
      </c>
      <c r="AU11" s="10" t="e">
        <f>IS!AU23</f>
        <v>#REF!</v>
      </c>
      <c r="AV11" s="10" t="e">
        <f>IS!AV23</f>
        <v>#REF!</v>
      </c>
      <c r="AW11" s="10" t="e">
        <f>IS!AW23</f>
        <v>#REF!</v>
      </c>
      <c r="AX11" s="10" t="e">
        <f>IS!AX23</f>
        <v>#REF!</v>
      </c>
      <c r="AY11" s="10" t="e">
        <f>IS!AY23</f>
        <v>#REF!</v>
      </c>
      <c r="AZ11" s="10" t="e">
        <f>IS!AZ23</f>
        <v>#REF!</v>
      </c>
      <c r="BA11" s="10" t="e">
        <f>IS!BA23</f>
        <v>#REF!</v>
      </c>
      <c r="BB11" s="10" t="e">
        <f>IS!BB23</f>
        <v>#REF!</v>
      </c>
      <c r="BC11" s="10" t="e">
        <f>IS!BC23</f>
        <v>#REF!</v>
      </c>
      <c r="BD11" s="10" t="e">
        <f>IS!BD23</f>
        <v>#REF!</v>
      </c>
      <c r="BE11" s="10" t="e">
        <f>IS!BE23</f>
        <v>#REF!</v>
      </c>
      <c r="BF11" s="10" t="e">
        <f>IS!BF23</f>
        <v>#REF!</v>
      </c>
      <c r="BG11" s="10" t="e">
        <f>IS!BG23</f>
        <v>#REF!</v>
      </c>
      <c r="BH11" s="10" t="e">
        <f>IS!BH23</f>
        <v>#REF!</v>
      </c>
      <c r="BI11" s="10" t="e">
        <f>IS!BI23</f>
        <v>#REF!</v>
      </c>
      <c r="BJ11" s="10" t="e">
        <f>IS!BJ23</f>
        <v>#REF!</v>
      </c>
      <c r="BK11" s="10" t="e">
        <f>IS!BK23</f>
        <v>#REF!</v>
      </c>
      <c r="BL11" s="10" t="e">
        <f>IS!BL23</f>
        <v>#REF!</v>
      </c>
      <c r="BM11" s="10" t="e">
        <f>IS!BM23</f>
        <v>#REF!</v>
      </c>
      <c r="BN11" s="10" t="e">
        <f>IS!BN23</f>
        <v>#REF!</v>
      </c>
      <c r="BO11" s="10" t="e">
        <f>IS!BO23</f>
        <v>#REF!</v>
      </c>
      <c r="BP11" s="10" t="e">
        <f>IS!BP23</f>
        <v>#REF!</v>
      </c>
      <c r="BQ11" s="10" t="e">
        <f>IS!BQ23</f>
        <v>#REF!</v>
      </c>
      <c r="BR11" s="10" t="e">
        <f>IS!BR23</f>
        <v>#REF!</v>
      </c>
      <c r="BS11" s="10" t="e">
        <f>IS!BS23</f>
        <v>#REF!</v>
      </c>
      <c r="BT11" s="10" t="e">
        <f>IS!BT23</f>
        <v>#REF!</v>
      </c>
      <c r="BU11" s="10" t="e">
        <f>IS!BU23</f>
        <v>#REF!</v>
      </c>
      <c r="BV11" s="10" t="e">
        <f>IS!BV23</f>
        <v>#REF!</v>
      </c>
      <c r="BW11" s="10" t="e">
        <f>IS!BW23</f>
        <v>#REF!</v>
      </c>
      <c r="BX11" s="10" t="e">
        <f>IS!BX23</f>
        <v>#REF!</v>
      </c>
      <c r="BY11" s="10" t="e">
        <f>IS!BY23</f>
        <v>#REF!</v>
      </c>
      <c r="BZ11" s="10" t="e">
        <f>IS!BZ23</f>
        <v>#REF!</v>
      </c>
      <c r="CA11" s="10" t="e">
        <f>IS!CA23</f>
        <v>#REF!</v>
      </c>
      <c r="CB11" s="10" t="e">
        <f>IS!CB23</f>
        <v>#REF!</v>
      </c>
      <c r="CC11" s="10" t="e">
        <f>IS!CC23</f>
        <v>#REF!</v>
      </c>
      <c r="CD11" s="10" t="e">
        <f>IS!CD23</f>
        <v>#REF!</v>
      </c>
      <c r="CE11" s="10" t="e">
        <f>IS!CE23</f>
        <v>#REF!</v>
      </c>
      <c r="CF11" s="10" t="e">
        <f>IS!CF23</f>
        <v>#REF!</v>
      </c>
      <c r="CG11" s="10" t="e">
        <f>IS!CG23</f>
        <v>#REF!</v>
      </c>
      <c r="CH11" s="10" t="e">
        <f>IS!CH23</f>
        <v>#REF!</v>
      </c>
      <c r="CI11" s="10" t="e">
        <f>IS!CI23</f>
        <v>#REF!</v>
      </c>
      <c r="CJ11" s="10" t="e">
        <f>IS!CJ23</f>
        <v>#REF!</v>
      </c>
      <c r="CK11" s="10" t="e">
        <f>IS!CK23</f>
        <v>#REF!</v>
      </c>
      <c r="CL11" s="10" t="e">
        <f>IS!CL23</f>
        <v>#REF!</v>
      </c>
      <c r="CM11" s="10" t="e">
        <f>IS!CM23</f>
        <v>#REF!</v>
      </c>
      <c r="CN11" s="10" t="e">
        <f>IS!CN23</f>
        <v>#REF!</v>
      </c>
      <c r="CO11" s="10" t="e">
        <f>IS!CO23</f>
        <v>#REF!</v>
      </c>
      <c r="CP11" s="10" t="e">
        <f>IS!CP23</f>
        <v>#REF!</v>
      </c>
      <c r="CQ11" s="10" t="e">
        <f>IS!CQ23</f>
        <v>#REF!</v>
      </c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</row>
    <row r="12" spans="1:108" ht="12.75" customHeight="1" x14ac:dyDescent="0.25">
      <c r="H12" s="54"/>
      <c r="N12" s="19"/>
    </row>
    <row r="13" spans="1:108" ht="12.75" customHeight="1" x14ac:dyDescent="0.25">
      <c r="B13" s="21" t="s">
        <v>268</v>
      </c>
      <c r="H13" s="54"/>
      <c r="N13" s="19"/>
    </row>
    <row r="14" spans="1:108" ht="12.75" customHeight="1" x14ac:dyDescent="0.25">
      <c r="H14" s="54"/>
      <c r="N14" s="19"/>
    </row>
    <row r="15" spans="1:108" ht="12.75" customHeight="1" x14ac:dyDescent="0.25">
      <c r="C15" s="184" t="s">
        <v>179</v>
      </c>
      <c r="H15" s="54" t="s">
        <v>3</v>
      </c>
      <c r="N15" s="19"/>
      <c r="O15" s="10"/>
      <c r="P15" s="10">
        <v>0</v>
      </c>
      <c r="Q15" s="10" t="e">
        <f t="shared" ref="Q15:CB15" si="1">P18</f>
        <v>#REF!</v>
      </c>
      <c r="R15" s="10" t="e">
        <f t="shared" si="1"/>
        <v>#REF!</v>
      </c>
      <c r="S15" s="10" t="e">
        <f t="shared" si="1"/>
        <v>#REF!</v>
      </c>
      <c r="T15" s="10" t="e">
        <f t="shared" si="1"/>
        <v>#REF!</v>
      </c>
      <c r="U15" s="10" t="e">
        <f t="shared" si="1"/>
        <v>#REF!</v>
      </c>
      <c r="V15" s="10" t="e">
        <f t="shared" si="1"/>
        <v>#REF!</v>
      </c>
      <c r="W15" s="10" t="e">
        <f t="shared" si="1"/>
        <v>#REF!</v>
      </c>
      <c r="X15" s="10" t="e">
        <f t="shared" si="1"/>
        <v>#REF!</v>
      </c>
      <c r="Y15" s="10" t="e">
        <f t="shared" si="1"/>
        <v>#REF!</v>
      </c>
      <c r="Z15" s="10" t="e">
        <f t="shared" si="1"/>
        <v>#REF!</v>
      </c>
      <c r="AA15" s="10" t="e">
        <f t="shared" si="1"/>
        <v>#REF!</v>
      </c>
      <c r="AB15" s="10" t="e">
        <f t="shared" si="1"/>
        <v>#REF!</v>
      </c>
      <c r="AC15" s="10" t="e">
        <f t="shared" si="1"/>
        <v>#REF!</v>
      </c>
      <c r="AD15" s="10" t="e">
        <f t="shared" si="1"/>
        <v>#REF!</v>
      </c>
      <c r="AE15" s="10" t="e">
        <f t="shared" si="1"/>
        <v>#REF!</v>
      </c>
      <c r="AF15" s="10" t="e">
        <f t="shared" si="1"/>
        <v>#REF!</v>
      </c>
      <c r="AG15" s="10" t="e">
        <f t="shared" si="1"/>
        <v>#REF!</v>
      </c>
      <c r="AH15" s="10" t="e">
        <f t="shared" si="1"/>
        <v>#REF!</v>
      </c>
      <c r="AI15" s="10" t="e">
        <f t="shared" si="1"/>
        <v>#REF!</v>
      </c>
      <c r="AJ15" s="10" t="e">
        <f t="shared" si="1"/>
        <v>#REF!</v>
      </c>
      <c r="AK15" s="10" t="e">
        <f t="shared" si="1"/>
        <v>#REF!</v>
      </c>
      <c r="AL15" s="10" t="e">
        <f t="shared" si="1"/>
        <v>#REF!</v>
      </c>
      <c r="AM15" s="10" t="e">
        <f t="shared" si="1"/>
        <v>#REF!</v>
      </c>
      <c r="AN15" s="10" t="e">
        <f t="shared" si="1"/>
        <v>#REF!</v>
      </c>
      <c r="AO15" s="10" t="e">
        <f t="shared" si="1"/>
        <v>#REF!</v>
      </c>
      <c r="AP15" s="10" t="e">
        <f t="shared" si="1"/>
        <v>#REF!</v>
      </c>
      <c r="AQ15" s="10" t="e">
        <f t="shared" si="1"/>
        <v>#REF!</v>
      </c>
      <c r="AR15" s="10" t="e">
        <f t="shared" si="1"/>
        <v>#REF!</v>
      </c>
      <c r="AS15" s="10" t="e">
        <f t="shared" si="1"/>
        <v>#REF!</v>
      </c>
      <c r="AT15" s="10" t="e">
        <f t="shared" si="1"/>
        <v>#REF!</v>
      </c>
      <c r="AU15" s="10" t="e">
        <f t="shared" si="1"/>
        <v>#REF!</v>
      </c>
      <c r="AV15" s="10" t="e">
        <f t="shared" si="1"/>
        <v>#REF!</v>
      </c>
      <c r="AW15" s="10" t="e">
        <f t="shared" si="1"/>
        <v>#REF!</v>
      </c>
      <c r="AX15" s="10" t="e">
        <f t="shared" si="1"/>
        <v>#REF!</v>
      </c>
      <c r="AY15" s="10" t="e">
        <f t="shared" si="1"/>
        <v>#REF!</v>
      </c>
      <c r="AZ15" s="10" t="e">
        <f t="shared" si="1"/>
        <v>#REF!</v>
      </c>
      <c r="BA15" s="10" t="e">
        <f t="shared" si="1"/>
        <v>#REF!</v>
      </c>
      <c r="BB15" s="10" t="e">
        <f t="shared" si="1"/>
        <v>#REF!</v>
      </c>
      <c r="BC15" s="10" t="e">
        <f t="shared" si="1"/>
        <v>#REF!</v>
      </c>
      <c r="BD15" s="10" t="e">
        <f t="shared" si="1"/>
        <v>#REF!</v>
      </c>
      <c r="BE15" s="10" t="e">
        <f t="shared" si="1"/>
        <v>#REF!</v>
      </c>
      <c r="BF15" s="10" t="e">
        <f t="shared" si="1"/>
        <v>#REF!</v>
      </c>
      <c r="BG15" s="10" t="e">
        <f t="shared" si="1"/>
        <v>#REF!</v>
      </c>
      <c r="BH15" s="10" t="e">
        <f t="shared" si="1"/>
        <v>#REF!</v>
      </c>
      <c r="BI15" s="10" t="e">
        <f t="shared" si="1"/>
        <v>#REF!</v>
      </c>
      <c r="BJ15" s="10" t="e">
        <f t="shared" si="1"/>
        <v>#REF!</v>
      </c>
      <c r="BK15" s="10" t="e">
        <f t="shared" si="1"/>
        <v>#REF!</v>
      </c>
      <c r="BL15" s="10" t="e">
        <f t="shared" si="1"/>
        <v>#REF!</v>
      </c>
      <c r="BM15" s="10" t="e">
        <f t="shared" si="1"/>
        <v>#REF!</v>
      </c>
      <c r="BN15" s="10" t="e">
        <f t="shared" si="1"/>
        <v>#REF!</v>
      </c>
      <c r="BO15" s="10" t="e">
        <f t="shared" si="1"/>
        <v>#REF!</v>
      </c>
      <c r="BP15" s="10" t="e">
        <f t="shared" si="1"/>
        <v>#REF!</v>
      </c>
      <c r="BQ15" s="10" t="e">
        <f t="shared" si="1"/>
        <v>#REF!</v>
      </c>
      <c r="BR15" s="10" t="e">
        <f t="shared" si="1"/>
        <v>#REF!</v>
      </c>
      <c r="BS15" s="10" t="e">
        <f t="shared" si="1"/>
        <v>#REF!</v>
      </c>
      <c r="BT15" s="10" t="e">
        <f t="shared" si="1"/>
        <v>#REF!</v>
      </c>
      <c r="BU15" s="10" t="e">
        <f t="shared" si="1"/>
        <v>#REF!</v>
      </c>
      <c r="BV15" s="10" t="e">
        <f t="shared" si="1"/>
        <v>#REF!</v>
      </c>
      <c r="BW15" s="10" t="e">
        <f t="shared" si="1"/>
        <v>#REF!</v>
      </c>
      <c r="BX15" s="10" t="e">
        <f t="shared" si="1"/>
        <v>#REF!</v>
      </c>
      <c r="BY15" s="10" t="e">
        <f t="shared" si="1"/>
        <v>#REF!</v>
      </c>
      <c r="BZ15" s="10" t="e">
        <f t="shared" si="1"/>
        <v>#REF!</v>
      </c>
      <c r="CA15" s="10" t="e">
        <f t="shared" si="1"/>
        <v>#REF!</v>
      </c>
      <c r="CB15" s="10" t="e">
        <f t="shared" si="1"/>
        <v>#REF!</v>
      </c>
      <c r="CC15" s="10" t="e">
        <f t="shared" ref="CC15:CQ15" si="2">CB18</f>
        <v>#REF!</v>
      </c>
      <c r="CD15" s="10" t="e">
        <f t="shared" si="2"/>
        <v>#REF!</v>
      </c>
      <c r="CE15" s="10" t="e">
        <f t="shared" si="2"/>
        <v>#REF!</v>
      </c>
      <c r="CF15" s="10" t="e">
        <f t="shared" si="2"/>
        <v>#REF!</v>
      </c>
      <c r="CG15" s="10" t="e">
        <f t="shared" si="2"/>
        <v>#REF!</v>
      </c>
      <c r="CH15" s="10" t="e">
        <f t="shared" si="2"/>
        <v>#REF!</v>
      </c>
      <c r="CI15" s="10" t="e">
        <f t="shared" si="2"/>
        <v>#REF!</v>
      </c>
      <c r="CJ15" s="10" t="e">
        <f t="shared" si="2"/>
        <v>#REF!</v>
      </c>
      <c r="CK15" s="10" t="e">
        <f t="shared" si="2"/>
        <v>#REF!</v>
      </c>
      <c r="CL15" s="10" t="e">
        <f t="shared" si="2"/>
        <v>#REF!</v>
      </c>
      <c r="CM15" s="10" t="e">
        <f t="shared" si="2"/>
        <v>#REF!</v>
      </c>
      <c r="CN15" s="10" t="e">
        <f t="shared" si="2"/>
        <v>#REF!</v>
      </c>
      <c r="CO15" s="10" t="e">
        <f t="shared" si="2"/>
        <v>#REF!</v>
      </c>
      <c r="CP15" s="10" t="e">
        <f t="shared" si="2"/>
        <v>#REF!</v>
      </c>
      <c r="CQ15" s="10" t="e">
        <f t="shared" si="2"/>
        <v>#REF!</v>
      </c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</row>
    <row r="16" spans="1:108" ht="12.75" customHeight="1" x14ac:dyDescent="0.25">
      <c r="C16" s="17" t="s">
        <v>34</v>
      </c>
      <c r="D16" t="s">
        <v>269</v>
      </c>
      <c r="H16" s="54" t="s">
        <v>3</v>
      </c>
      <c r="N16" s="25" t="e">
        <f>SUM(P16:DD16)</f>
        <v>#REF!</v>
      </c>
      <c r="O16" s="10"/>
      <c r="P16" s="10" t="e">
        <f t="shared" ref="P16" si="3">ABS(MIN(P11,0))</f>
        <v>#REF!</v>
      </c>
      <c r="Q16" s="10" t="e">
        <f t="shared" ref="Q16:CB16" si="4">ABS(MIN(Q11,0))</f>
        <v>#REF!</v>
      </c>
      <c r="R16" s="10" t="e">
        <f t="shared" si="4"/>
        <v>#REF!</v>
      </c>
      <c r="S16" s="10" t="e">
        <f t="shared" si="4"/>
        <v>#REF!</v>
      </c>
      <c r="T16" s="10" t="e">
        <f t="shared" si="4"/>
        <v>#REF!</v>
      </c>
      <c r="U16" s="10" t="e">
        <f t="shared" si="4"/>
        <v>#REF!</v>
      </c>
      <c r="V16" s="10" t="e">
        <f t="shared" si="4"/>
        <v>#REF!</v>
      </c>
      <c r="W16" s="10" t="e">
        <f t="shared" si="4"/>
        <v>#REF!</v>
      </c>
      <c r="X16" s="10" t="e">
        <f t="shared" si="4"/>
        <v>#REF!</v>
      </c>
      <c r="Y16" s="10" t="e">
        <f t="shared" si="4"/>
        <v>#REF!</v>
      </c>
      <c r="Z16" s="10" t="e">
        <f t="shared" si="4"/>
        <v>#REF!</v>
      </c>
      <c r="AA16" s="10" t="e">
        <f t="shared" si="4"/>
        <v>#REF!</v>
      </c>
      <c r="AB16" s="10" t="e">
        <f t="shared" si="4"/>
        <v>#REF!</v>
      </c>
      <c r="AC16" s="10" t="e">
        <f t="shared" si="4"/>
        <v>#REF!</v>
      </c>
      <c r="AD16" s="10" t="e">
        <f t="shared" si="4"/>
        <v>#REF!</v>
      </c>
      <c r="AE16" s="10" t="e">
        <f t="shared" si="4"/>
        <v>#REF!</v>
      </c>
      <c r="AF16" s="10" t="e">
        <f t="shared" si="4"/>
        <v>#REF!</v>
      </c>
      <c r="AG16" s="10" t="e">
        <f t="shared" si="4"/>
        <v>#REF!</v>
      </c>
      <c r="AH16" s="10" t="e">
        <f t="shared" si="4"/>
        <v>#REF!</v>
      </c>
      <c r="AI16" s="10" t="e">
        <f t="shared" si="4"/>
        <v>#REF!</v>
      </c>
      <c r="AJ16" s="10" t="e">
        <f t="shared" si="4"/>
        <v>#REF!</v>
      </c>
      <c r="AK16" s="10" t="e">
        <f t="shared" si="4"/>
        <v>#REF!</v>
      </c>
      <c r="AL16" s="10" t="e">
        <f t="shared" si="4"/>
        <v>#REF!</v>
      </c>
      <c r="AM16" s="10" t="e">
        <f t="shared" si="4"/>
        <v>#REF!</v>
      </c>
      <c r="AN16" s="10" t="e">
        <f t="shared" si="4"/>
        <v>#REF!</v>
      </c>
      <c r="AO16" s="10" t="e">
        <f t="shared" si="4"/>
        <v>#REF!</v>
      </c>
      <c r="AP16" s="10" t="e">
        <f t="shared" si="4"/>
        <v>#REF!</v>
      </c>
      <c r="AQ16" s="10" t="e">
        <f t="shared" si="4"/>
        <v>#REF!</v>
      </c>
      <c r="AR16" s="10" t="e">
        <f t="shared" si="4"/>
        <v>#REF!</v>
      </c>
      <c r="AS16" s="10" t="e">
        <f t="shared" si="4"/>
        <v>#REF!</v>
      </c>
      <c r="AT16" s="10" t="e">
        <f t="shared" si="4"/>
        <v>#REF!</v>
      </c>
      <c r="AU16" s="10" t="e">
        <f t="shared" si="4"/>
        <v>#REF!</v>
      </c>
      <c r="AV16" s="10" t="e">
        <f t="shared" si="4"/>
        <v>#REF!</v>
      </c>
      <c r="AW16" s="10" t="e">
        <f t="shared" si="4"/>
        <v>#REF!</v>
      </c>
      <c r="AX16" s="10" t="e">
        <f t="shared" si="4"/>
        <v>#REF!</v>
      </c>
      <c r="AY16" s="10" t="e">
        <f t="shared" si="4"/>
        <v>#REF!</v>
      </c>
      <c r="AZ16" s="10" t="e">
        <f t="shared" si="4"/>
        <v>#REF!</v>
      </c>
      <c r="BA16" s="10" t="e">
        <f t="shared" si="4"/>
        <v>#REF!</v>
      </c>
      <c r="BB16" s="10" t="e">
        <f t="shared" si="4"/>
        <v>#REF!</v>
      </c>
      <c r="BC16" s="10" t="e">
        <f t="shared" si="4"/>
        <v>#REF!</v>
      </c>
      <c r="BD16" s="10" t="e">
        <f t="shared" si="4"/>
        <v>#REF!</v>
      </c>
      <c r="BE16" s="10" t="e">
        <f t="shared" si="4"/>
        <v>#REF!</v>
      </c>
      <c r="BF16" s="10" t="e">
        <f t="shared" si="4"/>
        <v>#REF!</v>
      </c>
      <c r="BG16" s="10" t="e">
        <f t="shared" si="4"/>
        <v>#REF!</v>
      </c>
      <c r="BH16" s="10" t="e">
        <f t="shared" si="4"/>
        <v>#REF!</v>
      </c>
      <c r="BI16" s="10" t="e">
        <f t="shared" si="4"/>
        <v>#REF!</v>
      </c>
      <c r="BJ16" s="10" t="e">
        <f t="shared" si="4"/>
        <v>#REF!</v>
      </c>
      <c r="BK16" s="10" t="e">
        <f t="shared" si="4"/>
        <v>#REF!</v>
      </c>
      <c r="BL16" s="10" t="e">
        <f t="shared" si="4"/>
        <v>#REF!</v>
      </c>
      <c r="BM16" s="10" t="e">
        <f t="shared" si="4"/>
        <v>#REF!</v>
      </c>
      <c r="BN16" s="10" t="e">
        <f t="shared" si="4"/>
        <v>#REF!</v>
      </c>
      <c r="BO16" s="10" t="e">
        <f t="shared" si="4"/>
        <v>#REF!</v>
      </c>
      <c r="BP16" s="10" t="e">
        <f t="shared" si="4"/>
        <v>#REF!</v>
      </c>
      <c r="BQ16" s="10" t="e">
        <f t="shared" si="4"/>
        <v>#REF!</v>
      </c>
      <c r="BR16" s="10" t="e">
        <f t="shared" si="4"/>
        <v>#REF!</v>
      </c>
      <c r="BS16" s="10" t="e">
        <f t="shared" si="4"/>
        <v>#REF!</v>
      </c>
      <c r="BT16" s="10" t="e">
        <f t="shared" si="4"/>
        <v>#REF!</v>
      </c>
      <c r="BU16" s="10" t="e">
        <f t="shared" si="4"/>
        <v>#REF!</v>
      </c>
      <c r="BV16" s="10" t="e">
        <f t="shared" si="4"/>
        <v>#REF!</v>
      </c>
      <c r="BW16" s="10" t="e">
        <f t="shared" si="4"/>
        <v>#REF!</v>
      </c>
      <c r="BX16" s="10" t="e">
        <f t="shared" si="4"/>
        <v>#REF!</v>
      </c>
      <c r="BY16" s="10" t="e">
        <f t="shared" si="4"/>
        <v>#REF!</v>
      </c>
      <c r="BZ16" s="10" t="e">
        <f t="shared" si="4"/>
        <v>#REF!</v>
      </c>
      <c r="CA16" s="10" t="e">
        <f t="shared" si="4"/>
        <v>#REF!</v>
      </c>
      <c r="CB16" s="10" t="e">
        <f t="shared" si="4"/>
        <v>#REF!</v>
      </c>
      <c r="CC16" s="10" t="e">
        <f t="shared" ref="CC16:CQ16" si="5">ABS(MIN(CC11,0))</f>
        <v>#REF!</v>
      </c>
      <c r="CD16" s="10" t="e">
        <f t="shared" si="5"/>
        <v>#REF!</v>
      </c>
      <c r="CE16" s="10" t="e">
        <f t="shared" si="5"/>
        <v>#REF!</v>
      </c>
      <c r="CF16" s="10" t="e">
        <f t="shared" si="5"/>
        <v>#REF!</v>
      </c>
      <c r="CG16" s="10" t="e">
        <f t="shared" si="5"/>
        <v>#REF!</v>
      </c>
      <c r="CH16" s="10" t="e">
        <f t="shared" si="5"/>
        <v>#REF!</v>
      </c>
      <c r="CI16" s="10" t="e">
        <f t="shared" si="5"/>
        <v>#REF!</v>
      </c>
      <c r="CJ16" s="10" t="e">
        <f t="shared" si="5"/>
        <v>#REF!</v>
      </c>
      <c r="CK16" s="10" t="e">
        <f t="shared" si="5"/>
        <v>#REF!</v>
      </c>
      <c r="CL16" s="10" t="e">
        <f t="shared" si="5"/>
        <v>#REF!</v>
      </c>
      <c r="CM16" s="10" t="e">
        <f t="shared" si="5"/>
        <v>#REF!</v>
      </c>
      <c r="CN16" s="10" t="e">
        <f t="shared" si="5"/>
        <v>#REF!</v>
      </c>
      <c r="CO16" s="10" t="e">
        <f t="shared" si="5"/>
        <v>#REF!</v>
      </c>
      <c r="CP16" s="10" t="e">
        <f t="shared" si="5"/>
        <v>#REF!</v>
      </c>
      <c r="CQ16" s="10" t="e">
        <f t="shared" si="5"/>
        <v>#REF!</v>
      </c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</row>
    <row r="17" spans="1:108" ht="12.75" customHeight="1" x14ac:dyDescent="0.25">
      <c r="C17" s="17" t="s">
        <v>32</v>
      </c>
      <c r="D17" t="s">
        <v>270</v>
      </c>
      <c r="H17" s="54" t="s">
        <v>3</v>
      </c>
      <c r="N17" s="25" t="e">
        <f>SUM(P17:DD17)</f>
        <v>#REF!</v>
      </c>
      <c r="O17" s="10"/>
      <c r="P17" s="10" t="e">
        <f t="shared" ref="P17" si="6">IF(P11&gt;0,MIN(P15,P11),0)</f>
        <v>#REF!</v>
      </c>
      <c r="Q17" s="10" t="e">
        <f t="shared" ref="Q17:CB17" si="7">IF(Q11&gt;0,MIN(Q15,Q11),0)</f>
        <v>#REF!</v>
      </c>
      <c r="R17" s="10" t="e">
        <f t="shared" si="7"/>
        <v>#REF!</v>
      </c>
      <c r="S17" s="10" t="e">
        <f t="shared" si="7"/>
        <v>#REF!</v>
      </c>
      <c r="T17" s="10" t="e">
        <f t="shared" si="7"/>
        <v>#REF!</v>
      </c>
      <c r="U17" s="10" t="e">
        <f t="shared" si="7"/>
        <v>#REF!</v>
      </c>
      <c r="V17" s="10" t="e">
        <f t="shared" si="7"/>
        <v>#REF!</v>
      </c>
      <c r="W17" s="10" t="e">
        <f t="shared" si="7"/>
        <v>#REF!</v>
      </c>
      <c r="X17" s="10" t="e">
        <f t="shared" si="7"/>
        <v>#REF!</v>
      </c>
      <c r="Y17" s="10" t="e">
        <f t="shared" si="7"/>
        <v>#REF!</v>
      </c>
      <c r="Z17" s="10" t="e">
        <f t="shared" si="7"/>
        <v>#REF!</v>
      </c>
      <c r="AA17" s="10" t="e">
        <f t="shared" si="7"/>
        <v>#REF!</v>
      </c>
      <c r="AB17" s="10" t="e">
        <f t="shared" si="7"/>
        <v>#REF!</v>
      </c>
      <c r="AC17" s="10" t="e">
        <f t="shared" si="7"/>
        <v>#REF!</v>
      </c>
      <c r="AD17" s="10" t="e">
        <f t="shared" si="7"/>
        <v>#REF!</v>
      </c>
      <c r="AE17" s="10" t="e">
        <f t="shared" si="7"/>
        <v>#REF!</v>
      </c>
      <c r="AF17" s="10" t="e">
        <f t="shared" si="7"/>
        <v>#REF!</v>
      </c>
      <c r="AG17" s="10" t="e">
        <f t="shared" si="7"/>
        <v>#REF!</v>
      </c>
      <c r="AH17" s="10" t="e">
        <f t="shared" si="7"/>
        <v>#REF!</v>
      </c>
      <c r="AI17" s="10" t="e">
        <f t="shared" si="7"/>
        <v>#REF!</v>
      </c>
      <c r="AJ17" s="10" t="e">
        <f t="shared" si="7"/>
        <v>#REF!</v>
      </c>
      <c r="AK17" s="10" t="e">
        <f t="shared" si="7"/>
        <v>#REF!</v>
      </c>
      <c r="AL17" s="10" t="e">
        <f t="shared" si="7"/>
        <v>#REF!</v>
      </c>
      <c r="AM17" s="10" t="e">
        <f t="shared" si="7"/>
        <v>#REF!</v>
      </c>
      <c r="AN17" s="10" t="e">
        <f t="shared" si="7"/>
        <v>#REF!</v>
      </c>
      <c r="AO17" s="10" t="e">
        <f t="shared" si="7"/>
        <v>#REF!</v>
      </c>
      <c r="AP17" s="10" t="e">
        <f t="shared" si="7"/>
        <v>#REF!</v>
      </c>
      <c r="AQ17" s="10" t="e">
        <f t="shared" si="7"/>
        <v>#REF!</v>
      </c>
      <c r="AR17" s="10" t="e">
        <f t="shared" si="7"/>
        <v>#REF!</v>
      </c>
      <c r="AS17" s="10" t="e">
        <f t="shared" si="7"/>
        <v>#REF!</v>
      </c>
      <c r="AT17" s="10" t="e">
        <f t="shared" si="7"/>
        <v>#REF!</v>
      </c>
      <c r="AU17" s="10" t="e">
        <f t="shared" si="7"/>
        <v>#REF!</v>
      </c>
      <c r="AV17" s="10" t="e">
        <f t="shared" si="7"/>
        <v>#REF!</v>
      </c>
      <c r="AW17" s="10" t="e">
        <f t="shared" si="7"/>
        <v>#REF!</v>
      </c>
      <c r="AX17" s="10" t="e">
        <f t="shared" si="7"/>
        <v>#REF!</v>
      </c>
      <c r="AY17" s="10" t="e">
        <f t="shared" si="7"/>
        <v>#REF!</v>
      </c>
      <c r="AZ17" s="10" t="e">
        <f t="shared" si="7"/>
        <v>#REF!</v>
      </c>
      <c r="BA17" s="10" t="e">
        <f t="shared" si="7"/>
        <v>#REF!</v>
      </c>
      <c r="BB17" s="10" t="e">
        <f t="shared" si="7"/>
        <v>#REF!</v>
      </c>
      <c r="BC17" s="10" t="e">
        <f t="shared" si="7"/>
        <v>#REF!</v>
      </c>
      <c r="BD17" s="10" t="e">
        <f t="shared" si="7"/>
        <v>#REF!</v>
      </c>
      <c r="BE17" s="10" t="e">
        <f t="shared" si="7"/>
        <v>#REF!</v>
      </c>
      <c r="BF17" s="10" t="e">
        <f t="shared" si="7"/>
        <v>#REF!</v>
      </c>
      <c r="BG17" s="10" t="e">
        <f t="shared" si="7"/>
        <v>#REF!</v>
      </c>
      <c r="BH17" s="10" t="e">
        <f t="shared" si="7"/>
        <v>#REF!</v>
      </c>
      <c r="BI17" s="10" t="e">
        <f t="shared" si="7"/>
        <v>#REF!</v>
      </c>
      <c r="BJ17" s="10" t="e">
        <f t="shared" si="7"/>
        <v>#REF!</v>
      </c>
      <c r="BK17" s="10" t="e">
        <f t="shared" si="7"/>
        <v>#REF!</v>
      </c>
      <c r="BL17" s="10" t="e">
        <f t="shared" si="7"/>
        <v>#REF!</v>
      </c>
      <c r="BM17" s="10" t="e">
        <f t="shared" si="7"/>
        <v>#REF!</v>
      </c>
      <c r="BN17" s="10" t="e">
        <f t="shared" si="7"/>
        <v>#REF!</v>
      </c>
      <c r="BO17" s="10" t="e">
        <f t="shared" si="7"/>
        <v>#REF!</v>
      </c>
      <c r="BP17" s="10" t="e">
        <f t="shared" si="7"/>
        <v>#REF!</v>
      </c>
      <c r="BQ17" s="10" t="e">
        <f t="shared" si="7"/>
        <v>#REF!</v>
      </c>
      <c r="BR17" s="10" t="e">
        <f t="shared" si="7"/>
        <v>#REF!</v>
      </c>
      <c r="BS17" s="10" t="e">
        <f t="shared" si="7"/>
        <v>#REF!</v>
      </c>
      <c r="BT17" s="10" t="e">
        <f t="shared" si="7"/>
        <v>#REF!</v>
      </c>
      <c r="BU17" s="10" t="e">
        <f t="shared" si="7"/>
        <v>#REF!</v>
      </c>
      <c r="BV17" s="10" t="e">
        <f t="shared" si="7"/>
        <v>#REF!</v>
      </c>
      <c r="BW17" s="10" t="e">
        <f t="shared" si="7"/>
        <v>#REF!</v>
      </c>
      <c r="BX17" s="10" t="e">
        <f t="shared" si="7"/>
        <v>#REF!</v>
      </c>
      <c r="BY17" s="10" t="e">
        <f t="shared" si="7"/>
        <v>#REF!</v>
      </c>
      <c r="BZ17" s="10" t="e">
        <f t="shared" si="7"/>
        <v>#REF!</v>
      </c>
      <c r="CA17" s="10" t="e">
        <f t="shared" si="7"/>
        <v>#REF!</v>
      </c>
      <c r="CB17" s="10" t="e">
        <f t="shared" si="7"/>
        <v>#REF!</v>
      </c>
      <c r="CC17" s="10" t="e">
        <f t="shared" ref="CC17:CQ17" si="8">IF(CC11&gt;0,MIN(CC15,CC11),0)</f>
        <v>#REF!</v>
      </c>
      <c r="CD17" s="10" t="e">
        <f t="shared" si="8"/>
        <v>#REF!</v>
      </c>
      <c r="CE17" s="10" t="e">
        <f t="shared" si="8"/>
        <v>#REF!</v>
      </c>
      <c r="CF17" s="10" t="e">
        <f t="shared" si="8"/>
        <v>#REF!</v>
      </c>
      <c r="CG17" s="10" t="e">
        <f t="shared" si="8"/>
        <v>#REF!</v>
      </c>
      <c r="CH17" s="10" t="e">
        <f t="shared" si="8"/>
        <v>#REF!</v>
      </c>
      <c r="CI17" s="10" t="e">
        <f t="shared" si="8"/>
        <v>#REF!</v>
      </c>
      <c r="CJ17" s="10" t="e">
        <f t="shared" si="8"/>
        <v>#REF!</v>
      </c>
      <c r="CK17" s="10" t="e">
        <f t="shared" si="8"/>
        <v>#REF!</v>
      </c>
      <c r="CL17" s="10" t="e">
        <f t="shared" si="8"/>
        <v>#REF!</v>
      </c>
      <c r="CM17" s="10" t="e">
        <f t="shared" si="8"/>
        <v>#REF!</v>
      </c>
      <c r="CN17" s="10" t="e">
        <f t="shared" si="8"/>
        <v>#REF!</v>
      </c>
      <c r="CO17" s="10" t="e">
        <f t="shared" si="8"/>
        <v>#REF!</v>
      </c>
      <c r="CP17" s="10" t="e">
        <f t="shared" si="8"/>
        <v>#REF!</v>
      </c>
      <c r="CQ17" s="10" t="e">
        <f t="shared" si="8"/>
        <v>#REF!</v>
      </c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</row>
    <row r="18" spans="1:108" ht="12.75" customHeight="1" x14ac:dyDescent="0.25">
      <c r="C18" s="184" t="s">
        <v>183</v>
      </c>
      <c r="H18" s="54" t="s">
        <v>3</v>
      </c>
      <c r="N18" s="19"/>
      <c r="O18" s="10"/>
      <c r="P18" s="10" t="e">
        <f t="shared" ref="P18:CB18" si="9">P15+P16-P17</f>
        <v>#REF!</v>
      </c>
      <c r="Q18" s="10" t="e">
        <f t="shared" si="9"/>
        <v>#REF!</v>
      </c>
      <c r="R18" s="10" t="e">
        <f t="shared" si="9"/>
        <v>#REF!</v>
      </c>
      <c r="S18" s="10" t="e">
        <f t="shared" si="9"/>
        <v>#REF!</v>
      </c>
      <c r="T18" s="10" t="e">
        <f t="shared" si="9"/>
        <v>#REF!</v>
      </c>
      <c r="U18" s="10" t="e">
        <f t="shared" si="9"/>
        <v>#REF!</v>
      </c>
      <c r="V18" s="10" t="e">
        <f t="shared" si="9"/>
        <v>#REF!</v>
      </c>
      <c r="W18" s="10" t="e">
        <f t="shared" si="9"/>
        <v>#REF!</v>
      </c>
      <c r="X18" s="10" t="e">
        <f t="shared" si="9"/>
        <v>#REF!</v>
      </c>
      <c r="Y18" s="10" t="e">
        <f t="shared" si="9"/>
        <v>#REF!</v>
      </c>
      <c r="Z18" s="10" t="e">
        <f t="shared" si="9"/>
        <v>#REF!</v>
      </c>
      <c r="AA18" s="10" t="e">
        <f t="shared" si="9"/>
        <v>#REF!</v>
      </c>
      <c r="AB18" s="10" t="e">
        <f t="shared" si="9"/>
        <v>#REF!</v>
      </c>
      <c r="AC18" s="10" t="e">
        <f t="shared" si="9"/>
        <v>#REF!</v>
      </c>
      <c r="AD18" s="10" t="e">
        <f t="shared" si="9"/>
        <v>#REF!</v>
      </c>
      <c r="AE18" s="10" t="e">
        <f t="shared" si="9"/>
        <v>#REF!</v>
      </c>
      <c r="AF18" s="10" t="e">
        <f t="shared" si="9"/>
        <v>#REF!</v>
      </c>
      <c r="AG18" s="10" t="e">
        <f t="shared" si="9"/>
        <v>#REF!</v>
      </c>
      <c r="AH18" s="10" t="e">
        <f t="shared" si="9"/>
        <v>#REF!</v>
      </c>
      <c r="AI18" s="10" t="e">
        <f t="shared" si="9"/>
        <v>#REF!</v>
      </c>
      <c r="AJ18" s="10" t="e">
        <f t="shared" si="9"/>
        <v>#REF!</v>
      </c>
      <c r="AK18" s="10" t="e">
        <f t="shared" si="9"/>
        <v>#REF!</v>
      </c>
      <c r="AL18" s="10" t="e">
        <f t="shared" si="9"/>
        <v>#REF!</v>
      </c>
      <c r="AM18" s="10" t="e">
        <f t="shared" si="9"/>
        <v>#REF!</v>
      </c>
      <c r="AN18" s="10" t="e">
        <f t="shared" si="9"/>
        <v>#REF!</v>
      </c>
      <c r="AO18" s="10" t="e">
        <f t="shared" si="9"/>
        <v>#REF!</v>
      </c>
      <c r="AP18" s="10" t="e">
        <f t="shared" si="9"/>
        <v>#REF!</v>
      </c>
      <c r="AQ18" s="10" t="e">
        <f t="shared" si="9"/>
        <v>#REF!</v>
      </c>
      <c r="AR18" s="10" t="e">
        <f t="shared" si="9"/>
        <v>#REF!</v>
      </c>
      <c r="AS18" s="10" t="e">
        <f t="shared" si="9"/>
        <v>#REF!</v>
      </c>
      <c r="AT18" s="10" t="e">
        <f t="shared" si="9"/>
        <v>#REF!</v>
      </c>
      <c r="AU18" s="10" t="e">
        <f t="shared" si="9"/>
        <v>#REF!</v>
      </c>
      <c r="AV18" s="10" t="e">
        <f t="shared" si="9"/>
        <v>#REF!</v>
      </c>
      <c r="AW18" s="10" t="e">
        <f t="shared" si="9"/>
        <v>#REF!</v>
      </c>
      <c r="AX18" s="10" t="e">
        <f t="shared" si="9"/>
        <v>#REF!</v>
      </c>
      <c r="AY18" s="10" t="e">
        <f t="shared" si="9"/>
        <v>#REF!</v>
      </c>
      <c r="AZ18" s="10" t="e">
        <f t="shared" si="9"/>
        <v>#REF!</v>
      </c>
      <c r="BA18" s="10" t="e">
        <f t="shared" si="9"/>
        <v>#REF!</v>
      </c>
      <c r="BB18" s="10" t="e">
        <f t="shared" si="9"/>
        <v>#REF!</v>
      </c>
      <c r="BC18" s="10" t="e">
        <f t="shared" si="9"/>
        <v>#REF!</v>
      </c>
      <c r="BD18" s="10" t="e">
        <f t="shared" si="9"/>
        <v>#REF!</v>
      </c>
      <c r="BE18" s="10" t="e">
        <f t="shared" si="9"/>
        <v>#REF!</v>
      </c>
      <c r="BF18" s="10" t="e">
        <f t="shared" si="9"/>
        <v>#REF!</v>
      </c>
      <c r="BG18" s="10" t="e">
        <f t="shared" si="9"/>
        <v>#REF!</v>
      </c>
      <c r="BH18" s="10" t="e">
        <f t="shared" si="9"/>
        <v>#REF!</v>
      </c>
      <c r="BI18" s="10" t="e">
        <f t="shared" si="9"/>
        <v>#REF!</v>
      </c>
      <c r="BJ18" s="10" t="e">
        <f t="shared" si="9"/>
        <v>#REF!</v>
      </c>
      <c r="BK18" s="10" t="e">
        <f t="shared" si="9"/>
        <v>#REF!</v>
      </c>
      <c r="BL18" s="10" t="e">
        <f t="shared" si="9"/>
        <v>#REF!</v>
      </c>
      <c r="BM18" s="10" t="e">
        <f t="shared" si="9"/>
        <v>#REF!</v>
      </c>
      <c r="BN18" s="10" t="e">
        <f t="shared" si="9"/>
        <v>#REF!</v>
      </c>
      <c r="BO18" s="10" t="e">
        <f t="shared" si="9"/>
        <v>#REF!</v>
      </c>
      <c r="BP18" s="10" t="e">
        <f t="shared" si="9"/>
        <v>#REF!</v>
      </c>
      <c r="BQ18" s="10" t="e">
        <f t="shared" si="9"/>
        <v>#REF!</v>
      </c>
      <c r="BR18" s="10" t="e">
        <f t="shared" si="9"/>
        <v>#REF!</v>
      </c>
      <c r="BS18" s="10" t="e">
        <f t="shared" si="9"/>
        <v>#REF!</v>
      </c>
      <c r="BT18" s="10" t="e">
        <f t="shared" si="9"/>
        <v>#REF!</v>
      </c>
      <c r="BU18" s="10" t="e">
        <f t="shared" si="9"/>
        <v>#REF!</v>
      </c>
      <c r="BV18" s="10" t="e">
        <f t="shared" si="9"/>
        <v>#REF!</v>
      </c>
      <c r="BW18" s="10" t="e">
        <f t="shared" si="9"/>
        <v>#REF!</v>
      </c>
      <c r="BX18" s="10" t="e">
        <f t="shared" si="9"/>
        <v>#REF!</v>
      </c>
      <c r="BY18" s="10" t="e">
        <f t="shared" si="9"/>
        <v>#REF!</v>
      </c>
      <c r="BZ18" s="10" t="e">
        <f t="shared" si="9"/>
        <v>#REF!</v>
      </c>
      <c r="CA18" s="10" t="e">
        <f t="shared" si="9"/>
        <v>#REF!</v>
      </c>
      <c r="CB18" s="10" t="e">
        <f t="shared" si="9"/>
        <v>#REF!</v>
      </c>
      <c r="CC18" s="10" t="e">
        <f t="shared" ref="CC18:CQ18" si="10">CC15+CC16-CC17</f>
        <v>#REF!</v>
      </c>
      <c r="CD18" s="10" t="e">
        <f t="shared" si="10"/>
        <v>#REF!</v>
      </c>
      <c r="CE18" s="10" t="e">
        <f t="shared" si="10"/>
        <v>#REF!</v>
      </c>
      <c r="CF18" s="10" t="e">
        <f t="shared" si="10"/>
        <v>#REF!</v>
      </c>
      <c r="CG18" s="10" t="e">
        <f t="shared" si="10"/>
        <v>#REF!</v>
      </c>
      <c r="CH18" s="10" t="e">
        <f t="shared" si="10"/>
        <v>#REF!</v>
      </c>
      <c r="CI18" s="10" t="e">
        <f t="shared" si="10"/>
        <v>#REF!</v>
      </c>
      <c r="CJ18" s="10" t="e">
        <f t="shared" si="10"/>
        <v>#REF!</v>
      </c>
      <c r="CK18" s="10" t="e">
        <f t="shared" si="10"/>
        <v>#REF!</v>
      </c>
      <c r="CL18" s="10" t="e">
        <f t="shared" si="10"/>
        <v>#REF!</v>
      </c>
      <c r="CM18" s="10" t="e">
        <f t="shared" si="10"/>
        <v>#REF!</v>
      </c>
      <c r="CN18" s="10" t="e">
        <f t="shared" si="10"/>
        <v>#REF!</v>
      </c>
      <c r="CO18" s="10" t="e">
        <f t="shared" si="10"/>
        <v>#REF!</v>
      </c>
      <c r="CP18" s="10" t="e">
        <f t="shared" si="10"/>
        <v>#REF!</v>
      </c>
      <c r="CQ18" s="10" t="e">
        <f t="shared" si="10"/>
        <v>#REF!</v>
      </c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</row>
    <row r="19" spans="1:108" ht="12.75" customHeight="1" x14ac:dyDescent="0.25">
      <c r="H19" s="54"/>
      <c r="N19" s="19"/>
    </row>
    <row r="20" spans="1:108" ht="12.75" customHeight="1" x14ac:dyDescent="0.25">
      <c r="C20" s="139" t="s">
        <v>271</v>
      </c>
      <c r="H20" s="54"/>
      <c r="N20" s="19"/>
    </row>
    <row r="21" spans="1:108" ht="12.75" customHeight="1" x14ac:dyDescent="0.25">
      <c r="C21" s="184" t="s">
        <v>267</v>
      </c>
      <c r="H21" s="54" t="s">
        <v>3</v>
      </c>
      <c r="N21" s="25" t="e">
        <f>SUM(P21:DD21)</f>
        <v>#REF!</v>
      </c>
      <c r="O21" s="10"/>
      <c r="P21" s="10" t="e">
        <f t="shared" ref="P21:CA21" si="11">P11</f>
        <v>#REF!</v>
      </c>
      <c r="Q21" s="10" t="e">
        <f t="shared" si="11"/>
        <v>#REF!</v>
      </c>
      <c r="R21" s="10" t="e">
        <f t="shared" si="11"/>
        <v>#REF!</v>
      </c>
      <c r="S21" s="10" t="e">
        <f t="shared" si="11"/>
        <v>#REF!</v>
      </c>
      <c r="T21" s="10" t="e">
        <f t="shared" si="11"/>
        <v>#REF!</v>
      </c>
      <c r="U21" s="10" t="e">
        <f t="shared" si="11"/>
        <v>#REF!</v>
      </c>
      <c r="V21" s="10" t="e">
        <f t="shared" si="11"/>
        <v>#REF!</v>
      </c>
      <c r="W21" s="10" t="e">
        <f t="shared" si="11"/>
        <v>#REF!</v>
      </c>
      <c r="X21" s="10" t="e">
        <f t="shared" si="11"/>
        <v>#REF!</v>
      </c>
      <c r="Y21" s="10" t="e">
        <f t="shared" si="11"/>
        <v>#REF!</v>
      </c>
      <c r="Z21" s="10" t="e">
        <f t="shared" si="11"/>
        <v>#REF!</v>
      </c>
      <c r="AA21" s="10" t="e">
        <f t="shared" si="11"/>
        <v>#REF!</v>
      </c>
      <c r="AB21" s="10" t="e">
        <f t="shared" si="11"/>
        <v>#REF!</v>
      </c>
      <c r="AC21" s="10" t="e">
        <f t="shared" si="11"/>
        <v>#REF!</v>
      </c>
      <c r="AD21" s="10" t="e">
        <f t="shared" si="11"/>
        <v>#REF!</v>
      </c>
      <c r="AE21" s="10" t="e">
        <f t="shared" si="11"/>
        <v>#REF!</v>
      </c>
      <c r="AF21" s="10" t="e">
        <f t="shared" si="11"/>
        <v>#REF!</v>
      </c>
      <c r="AG21" s="10" t="e">
        <f t="shared" si="11"/>
        <v>#REF!</v>
      </c>
      <c r="AH21" s="10" t="e">
        <f t="shared" si="11"/>
        <v>#REF!</v>
      </c>
      <c r="AI21" s="10" t="e">
        <f t="shared" si="11"/>
        <v>#REF!</v>
      </c>
      <c r="AJ21" s="10" t="e">
        <f t="shared" si="11"/>
        <v>#REF!</v>
      </c>
      <c r="AK21" s="10" t="e">
        <f t="shared" si="11"/>
        <v>#REF!</v>
      </c>
      <c r="AL21" s="10" t="e">
        <f t="shared" si="11"/>
        <v>#REF!</v>
      </c>
      <c r="AM21" s="10" t="e">
        <f t="shared" si="11"/>
        <v>#REF!</v>
      </c>
      <c r="AN21" s="10" t="e">
        <f t="shared" si="11"/>
        <v>#REF!</v>
      </c>
      <c r="AO21" s="10" t="e">
        <f t="shared" si="11"/>
        <v>#REF!</v>
      </c>
      <c r="AP21" s="10" t="e">
        <f t="shared" si="11"/>
        <v>#REF!</v>
      </c>
      <c r="AQ21" s="10" t="e">
        <f t="shared" si="11"/>
        <v>#REF!</v>
      </c>
      <c r="AR21" s="10" t="e">
        <f t="shared" si="11"/>
        <v>#REF!</v>
      </c>
      <c r="AS21" s="10" t="e">
        <f t="shared" si="11"/>
        <v>#REF!</v>
      </c>
      <c r="AT21" s="10" t="e">
        <f t="shared" si="11"/>
        <v>#REF!</v>
      </c>
      <c r="AU21" s="10" t="e">
        <f t="shared" si="11"/>
        <v>#REF!</v>
      </c>
      <c r="AV21" s="10" t="e">
        <f t="shared" si="11"/>
        <v>#REF!</v>
      </c>
      <c r="AW21" s="10" t="e">
        <f t="shared" si="11"/>
        <v>#REF!</v>
      </c>
      <c r="AX21" s="10" t="e">
        <f t="shared" si="11"/>
        <v>#REF!</v>
      </c>
      <c r="AY21" s="10" t="e">
        <f t="shared" si="11"/>
        <v>#REF!</v>
      </c>
      <c r="AZ21" s="10" t="e">
        <f t="shared" si="11"/>
        <v>#REF!</v>
      </c>
      <c r="BA21" s="10" t="e">
        <f t="shared" si="11"/>
        <v>#REF!</v>
      </c>
      <c r="BB21" s="10" t="e">
        <f t="shared" si="11"/>
        <v>#REF!</v>
      </c>
      <c r="BC21" s="10" t="e">
        <f t="shared" si="11"/>
        <v>#REF!</v>
      </c>
      <c r="BD21" s="10" t="e">
        <f t="shared" si="11"/>
        <v>#REF!</v>
      </c>
      <c r="BE21" s="10" t="e">
        <f t="shared" si="11"/>
        <v>#REF!</v>
      </c>
      <c r="BF21" s="10" t="e">
        <f t="shared" si="11"/>
        <v>#REF!</v>
      </c>
      <c r="BG21" s="10" t="e">
        <f t="shared" si="11"/>
        <v>#REF!</v>
      </c>
      <c r="BH21" s="10" t="e">
        <f t="shared" si="11"/>
        <v>#REF!</v>
      </c>
      <c r="BI21" s="10" t="e">
        <f t="shared" si="11"/>
        <v>#REF!</v>
      </c>
      <c r="BJ21" s="10" t="e">
        <f t="shared" si="11"/>
        <v>#REF!</v>
      </c>
      <c r="BK21" s="10" t="e">
        <f t="shared" si="11"/>
        <v>#REF!</v>
      </c>
      <c r="BL21" s="10" t="e">
        <f t="shared" si="11"/>
        <v>#REF!</v>
      </c>
      <c r="BM21" s="10" t="e">
        <f t="shared" si="11"/>
        <v>#REF!</v>
      </c>
      <c r="BN21" s="10" t="e">
        <f t="shared" si="11"/>
        <v>#REF!</v>
      </c>
      <c r="BO21" s="10" t="e">
        <f t="shared" si="11"/>
        <v>#REF!</v>
      </c>
      <c r="BP21" s="10" t="e">
        <f t="shared" si="11"/>
        <v>#REF!</v>
      </c>
      <c r="BQ21" s="10" t="e">
        <f t="shared" si="11"/>
        <v>#REF!</v>
      </c>
      <c r="BR21" s="10" t="e">
        <f t="shared" si="11"/>
        <v>#REF!</v>
      </c>
      <c r="BS21" s="10" t="e">
        <f t="shared" si="11"/>
        <v>#REF!</v>
      </c>
      <c r="BT21" s="10" t="e">
        <f t="shared" si="11"/>
        <v>#REF!</v>
      </c>
      <c r="BU21" s="10" t="e">
        <f t="shared" si="11"/>
        <v>#REF!</v>
      </c>
      <c r="BV21" s="10" t="e">
        <f t="shared" si="11"/>
        <v>#REF!</v>
      </c>
      <c r="BW21" s="10" t="e">
        <f t="shared" si="11"/>
        <v>#REF!</v>
      </c>
      <c r="BX21" s="10" t="e">
        <f t="shared" si="11"/>
        <v>#REF!</v>
      </c>
      <c r="BY21" s="10" t="e">
        <f t="shared" si="11"/>
        <v>#REF!</v>
      </c>
      <c r="BZ21" s="10" t="e">
        <f t="shared" si="11"/>
        <v>#REF!</v>
      </c>
      <c r="CA21" s="10" t="e">
        <f t="shared" si="11"/>
        <v>#REF!</v>
      </c>
      <c r="CB21" s="10" t="e">
        <f t="shared" ref="CB21:CQ21" si="12">CB11</f>
        <v>#REF!</v>
      </c>
      <c r="CC21" s="10" t="e">
        <f t="shared" si="12"/>
        <v>#REF!</v>
      </c>
      <c r="CD21" s="10" t="e">
        <f t="shared" si="12"/>
        <v>#REF!</v>
      </c>
      <c r="CE21" s="10" t="e">
        <f t="shared" si="12"/>
        <v>#REF!</v>
      </c>
      <c r="CF21" s="10" t="e">
        <f t="shared" si="12"/>
        <v>#REF!</v>
      </c>
      <c r="CG21" s="10" t="e">
        <f t="shared" si="12"/>
        <v>#REF!</v>
      </c>
      <c r="CH21" s="10" t="e">
        <f t="shared" si="12"/>
        <v>#REF!</v>
      </c>
      <c r="CI21" s="10" t="e">
        <f t="shared" si="12"/>
        <v>#REF!</v>
      </c>
      <c r="CJ21" s="10" t="e">
        <f t="shared" si="12"/>
        <v>#REF!</v>
      </c>
      <c r="CK21" s="10" t="e">
        <f t="shared" si="12"/>
        <v>#REF!</v>
      </c>
      <c r="CL21" s="10" t="e">
        <f t="shared" si="12"/>
        <v>#REF!</v>
      </c>
      <c r="CM21" s="10" t="e">
        <f t="shared" si="12"/>
        <v>#REF!</v>
      </c>
      <c r="CN21" s="10" t="e">
        <f t="shared" si="12"/>
        <v>#REF!</v>
      </c>
      <c r="CO21" s="10" t="e">
        <f t="shared" si="12"/>
        <v>#REF!</v>
      </c>
      <c r="CP21" s="10" t="e">
        <f t="shared" si="12"/>
        <v>#REF!</v>
      </c>
      <c r="CQ21" s="10" t="e">
        <f t="shared" si="12"/>
        <v>#REF!</v>
      </c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</row>
    <row r="22" spans="1:108" ht="12.75" customHeight="1" x14ac:dyDescent="0.25">
      <c r="C22" s="202" t="s">
        <v>272</v>
      </c>
      <c r="D22" s="27"/>
      <c r="E22" s="27"/>
      <c r="F22" s="27"/>
      <c r="G22" s="27"/>
      <c r="H22" s="160" t="s">
        <v>3</v>
      </c>
      <c r="I22" s="27"/>
      <c r="J22" s="27"/>
      <c r="K22" s="27"/>
      <c r="L22" s="27"/>
      <c r="M22" s="27"/>
      <c r="N22" s="32" t="e">
        <f>SUM(P22:DD22)</f>
        <v>#REF!</v>
      </c>
      <c r="O22" s="161"/>
      <c r="P22" s="161" t="e">
        <f t="shared" ref="P22:CA22" si="13">P17</f>
        <v>#REF!</v>
      </c>
      <c r="Q22" s="161" t="e">
        <f t="shared" si="13"/>
        <v>#REF!</v>
      </c>
      <c r="R22" s="161" t="e">
        <f t="shared" si="13"/>
        <v>#REF!</v>
      </c>
      <c r="S22" s="161" t="e">
        <f t="shared" si="13"/>
        <v>#REF!</v>
      </c>
      <c r="T22" s="161" t="e">
        <f t="shared" si="13"/>
        <v>#REF!</v>
      </c>
      <c r="U22" s="161" t="e">
        <f t="shared" si="13"/>
        <v>#REF!</v>
      </c>
      <c r="V22" s="161" t="e">
        <f t="shared" si="13"/>
        <v>#REF!</v>
      </c>
      <c r="W22" s="161" t="e">
        <f t="shared" si="13"/>
        <v>#REF!</v>
      </c>
      <c r="X22" s="161" t="e">
        <f t="shared" si="13"/>
        <v>#REF!</v>
      </c>
      <c r="Y22" s="161" t="e">
        <f t="shared" si="13"/>
        <v>#REF!</v>
      </c>
      <c r="Z22" s="161" t="e">
        <f t="shared" si="13"/>
        <v>#REF!</v>
      </c>
      <c r="AA22" s="161" t="e">
        <f t="shared" si="13"/>
        <v>#REF!</v>
      </c>
      <c r="AB22" s="161" t="e">
        <f t="shared" si="13"/>
        <v>#REF!</v>
      </c>
      <c r="AC22" s="161" t="e">
        <f t="shared" si="13"/>
        <v>#REF!</v>
      </c>
      <c r="AD22" s="161" t="e">
        <f t="shared" si="13"/>
        <v>#REF!</v>
      </c>
      <c r="AE22" s="161" t="e">
        <f t="shared" si="13"/>
        <v>#REF!</v>
      </c>
      <c r="AF22" s="161" t="e">
        <f t="shared" si="13"/>
        <v>#REF!</v>
      </c>
      <c r="AG22" s="161" t="e">
        <f t="shared" si="13"/>
        <v>#REF!</v>
      </c>
      <c r="AH22" s="161" t="e">
        <f t="shared" si="13"/>
        <v>#REF!</v>
      </c>
      <c r="AI22" s="161" t="e">
        <f t="shared" si="13"/>
        <v>#REF!</v>
      </c>
      <c r="AJ22" s="161" t="e">
        <f t="shared" si="13"/>
        <v>#REF!</v>
      </c>
      <c r="AK22" s="161" t="e">
        <f t="shared" si="13"/>
        <v>#REF!</v>
      </c>
      <c r="AL22" s="161" t="e">
        <f t="shared" si="13"/>
        <v>#REF!</v>
      </c>
      <c r="AM22" s="161" t="e">
        <f t="shared" si="13"/>
        <v>#REF!</v>
      </c>
      <c r="AN22" s="161" t="e">
        <f t="shared" si="13"/>
        <v>#REF!</v>
      </c>
      <c r="AO22" s="161" t="e">
        <f t="shared" si="13"/>
        <v>#REF!</v>
      </c>
      <c r="AP22" s="161" t="e">
        <f t="shared" si="13"/>
        <v>#REF!</v>
      </c>
      <c r="AQ22" s="161" t="e">
        <f t="shared" si="13"/>
        <v>#REF!</v>
      </c>
      <c r="AR22" s="161" t="e">
        <f t="shared" si="13"/>
        <v>#REF!</v>
      </c>
      <c r="AS22" s="161" t="e">
        <f t="shared" si="13"/>
        <v>#REF!</v>
      </c>
      <c r="AT22" s="161" t="e">
        <f t="shared" si="13"/>
        <v>#REF!</v>
      </c>
      <c r="AU22" s="161" t="e">
        <f t="shared" si="13"/>
        <v>#REF!</v>
      </c>
      <c r="AV22" s="161" t="e">
        <f t="shared" si="13"/>
        <v>#REF!</v>
      </c>
      <c r="AW22" s="161" t="e">
        <f t="shared" si="13"/>
        <v>#REF!</v>
      </c>
      <c r="AX22" s="161" t="e">
        <f t="shared" si="13"/>
        <v>#REF!</v>
      </c>
      <c r="AY22" s="161" t="e">
        <f t="shared" si="13"/>
        <v>#REF!</v>
      </c>
      <c r="AZ22" s="161" t="e">
        <f t="shared" si="13"/>
        <v>#REF!</v>
      </c>
      <c r="BA22" s="161" t="e">
        <f t="shared" si="13"/>
        <v>#REF!</v>
      </c>
      <c r="BB22" s="161" t="e">
        <f t="shared" si="13"/>
        <v>#REF!</v>
      </c>
      <c r="BC22" s="161" t="e">
        <f t="shared" si="13"/>
        <v>#REF!</v>
      </c>
      <c r="BD22" s="161" t="e">
        <f t="shared" si="13"/>
        <v>#REF!</v>
      </c>
      <c r="BE22" s="161" t="e">
        <f t="shared" si="13"/>
        <v>#REF!</v>
      </c>
      <c r="BF22" s="161" t="e">
        <f t="shared" si="13"/>
        <v>#REF!</v>
      </c>
      <c r="BG22" s="161" t="e">
        <f t="shared" si="13"/>
        <v>#REF!</v>
      </c>
      <c r="BH22" s="161" t="e">
        <f t="shared" si="13"/>
        <v>#REF!</v>
      </c>
      <c r="BI22" s="161" t="e">
        <f t="shared" si="13"/>
        <v>#REF!</v>
      </c>
      <c r="BJ22" s="161" t="e">
        <f t="shared" si="13"/>
        <v>#REF!</v>
      </c>
      <c r="BK22" s="161" t="e">
        <f t="shared" si="13"/>
        <v>#REF!</v>
      </c>
      <c r="BL22" s="161" t="e">
        <f t="shared" si="13"/>
        <v>#REF!</v>
      </c>
      <c r="BM22" s="161" t="e">
        <f t="shared" si="13"/>
        <v>#REF!</v>
      </c>
      <c r="BN22" s="161" t="e">
        <f t="shared" si="13"/>
        <v>#REF!</v>
      </c>
      <c r="BO22" s="161" t="e">
        <f t="shared" si="13"/>
        <v>#REF!</v>
      </c>
      <c r="BP22" s="161" t="e">
        <f t="shared" si="13"/>
        <v>#REF!</v>
      </c>
      <c r="BQ22" s="161" t="e">
        <f t="shared" si="13"/>
        <v>#REF!</v>
      </c>
      <c r="BR22" s="161" t="e">
        <f t="shared" si="13"/>
        <v>#REF!</v>
      </c>
      <c r="BS22" s="161" t="e">
        <f t="shared" si="13"/>
        <v>#REF!</v>
      </c>
      <c r="BT22" s="161" t="e">
        <f t="shared" si="13"/>
        <v>#REF!</v>
      </c>
      <c r="BU22" s="161" t="e">
        <f t="shared" si="13"/>
        <v>#REF!</v>
      </c>
      <c r="BV22" s="161" t="e">
        <f t="shared" si="13"/>
        <v>#REF!</v>
      </c>
      <c r="BW22" s="161" t="e">
        <f t="shared" si="13"/>
        <v>#REF!</v>
      </c>
      <c r="BX22" s="161" t="e">
        <f t="shared" si="13"/>
        <v>#REF!</v>
      </c>
      <c r="BY22" s="161" t="e">
        <f t="shared" si="13"/>
        <v>#REF!</v>
      </c>
      <c r="BZ22" s="161" t="e">
        <f t="shared" si="13"/>
        <v>#REF!</v>
      </c>
      <c r="CA22" s="161" t="e">
        <f t="shared" si="13"/>
        <v>#REF!</v>
      </c>
      <c r="CB22" s="161" t="e">
        <f t="shared" ref="CB22:CQ22" si="14">CB17</f>
        <v>#REF!</v>
      </c>
      <c r="CC22" s="161" t="e">
        <f t="shared" si="14"/>
        <v>#REF!</v>
      </c>
      <c r="CD22" s="161" t="e">
        <f t="shared" si="14"/>
        <v>#REF!</v>
      </c>
      <c r="CE22" s="161" t="e">
        <f t="shared" si="14"/>
        <v>#REF!</v>
      </c>
      <c r="CF22" s="161" t="e">
        <f t="shared" si="14"/>
        <v>#REF!</v>
      </c>
      <c r="CG22" s="161" t="e">
        <f t="shared" si="14"/>
        <v>#REF!</v>
      </c>
      <c r="CH22" s="161" t="e">
        <f t="shared" si="14"/>
        <v>#REF!</v>
      </c>
      <c r="CI22" s="161" t="e">
        <f t="shared" si="14"/>
        <v>#REF!</v>
      </c>
      <c r="CJ22" s="161" t="e">
        <f t="shared" si="14"/>
        <v>#REF!</v>
      </c>
      <c r="CK22" s="161" t="e">
        <f t="shared" si="14"/>
        <v>#REF!</v>
      </c>
      <c r="CL22" s="161" t="e">
        <f t="shared" si="14"/>
        <v>#REF!</v>
      </c>
      <c r="CM22" s="161" t="e">
        <f t="shared" si="14"/>
        <v>#REF!</v>
      </c>
      <c r="CN22" s="161" t="e">
        <f t="shared" si="14"/>
        <v>#REF!</v>
      </c>
      <c r="CO22" s="161" t="e">
        <f t="shared" si="14"/>
        <v>#REF!</v>
      </c>
      <c r="CP22" s="161" t="e">
        <f t="shared" si="14"/>
        <v>#REF!</v>
      </c>
      <c r="CQ22" s="161" t="e">
        <f t="shared" si="14"/>
        <v>#REF!</v>
      </c>
      <c r="CR22" s="161"/>
      <c r="CS22" s="161"/>
      <c r="CT22" s="161"/>
      <c r="CU22" s="161"/>
      <c r="CV22" s="161"/>
      <c r="CW22" s="161"/>
      <c r="CX22" s="161"/>
      <c r="CY22" s="161"/>
      <c r="CZ22" s="161"/>
      <c r="DA22" s="161"/>
      <c r="DB22" s="161"/>
      <c r="DC22" s="161"/>
      <c r="DD22" s="161"/>
    </row>
    <row r="23" spans="1:108" ht="12.75" customHeight="1" x14ac:dyDescent="0.25">
      <c r="C23" s="184" t="s">
        <v>273</v>
      </c>
      <c r="H23" s="54" t="s">
        <v>3</v>
      </c>
      <c r="N23" s="25" t="e">
        <f>SUM(P23:DD23)</f>
        <v>#REF!</v>
      </c>
      <c r="O23" s="10"/>
      <c r="P23" s="10" t="e">
        <f t="shared" ref="P23:CA23" si="15">P21-P22</f>
        <v>#REF!</v>
      </c>
      <c r="Q23" s="51" t="e">
        <f t="shared" si="15"/>
        <v>#REF!</v>
      </c>
      <c r="R23" s="51" t="e">
        <f t="shared" si="15"/>
        <v>#REF!</v>
      </c>
      <c r="S23" s="51" t="e">
        <f t="shared" si="15"/>
        <v>#REF!</v>
      </c>
      <c r="T23" s="51" t="e">
        <f t="shared" si="15"/>
        <v>#REF!</v>
      </c>
      <c r="U23" s="51" t="e">
        <f t="shared" si="15"/>
        <v>#REF!</v>
      </c>
      <c r="V23" s="51" t="e">
        <f t="shared" si="15"/>
        <v>#REF!</v>
      </c>
      <c r="W23" s="51" t="e">
        <f t="shared" si="15"/>
        <v>#REF!</v>
      </c>
      <c r="X23" s="51" t="e">
        <f t="shared" si="15"/>
        <v>#REF!</v>
      </c>
      <c r="Y23" s="51" t="e">
        <f t="shared" si="15"/>
        <v>#REF!</v>
      </c>
      <c r="Z23" s="51" t="e">
        <f t="shared" si="15"/>
        <v>#REF!</v>
      </c>
      <c r="AA23" s="51" t="e">
        <f t="shared" si="15"/>
        <v>#REF!</v>
      </c>
      <c r="AB23" s="51" t="e">
        <f t="shared" si="15"/>
        <v>#REF!</v>
      </c>
      <c r="AC23" s="51" t="e">
        <f t="shared" si="15"/>
        <v>#REF!</v>
      </c>
      <c r="AD23" s="51" t="e">
        <f t="shared" si="15"/>
        <v>#REF!</v>
      </c>
      <c r="AE23" s="51" t="e">
        <f t="shared" si="15"/>
        <v>#REF!</v>
      </c>
      <c r="AF23" s="51" t="e">
        <f t="shared" si="15"/>
        <v>#REF!</v>
      </c>
      <c r="AG23" s="51" t="e">
        <f t="shared" si="15"/>
        <v>#REF!</v>
      </c>
      <c r="AH23" s="51" t="e">
        <f t="shared" si="15"/>
        <v>#REF!</v>
      </c>
      <c r="AI23" s="51" t="e">
        <f t="shared" si="15"/>
        <v>#REF!</v>
      </c>
      <c r="AJ23" s="51" t="e">
        <f t="shared" si="15"/>
        <v>#REF!</v>
      </c>
      <c r="AK23" s="51" t="e">
        <f t="shared" si="15"/>
        <v>#REF!</v>
      </c>
      <c r="AL23" s="51" t="e">
        <f t="shared" si="15"/>
        <v>#REF!</v>
      </c>
      <c r="AM23" s="51" t="e">
        <f t="shared" si="15"/>
        <v>#REF!</v>
      </c>
      <c r="AN23" s="51" t="e">
        <f t="shared" si="15"/>
        <v>#REF!</v>
      </c>
      <c r="AO23" s="51" t="e">
        <f t="shared" si="15"/>
        <v>#REF!</v>
      </c>
      <c r="AP23" s="51" t="e">
        <f t="shared" si="15"/>
        <v>#REF!</v>
      </c>
      <c r="AQ23" s="51" t="e">
        <f t="shared" si="15"/>
        <v>#REF!</v>
      </c>
      <c r="AR23" s="51" t="e">
        <f t="shared" si="15"/>
        <v>#REF!</v>
      </c>
      <c r="AS23" s="51" t="e">
        <f t="shared" si="15"/>
        <v>#REF!</v>
      </c>
      <c r="AT23" s="51" t="e">
        <f t="shared" si="15"/>
        <v>#REF!</v>
      </c>
      <c r="AU23" s="51" t="e">
        <f t="shared" si="15"/>
        <v>#REF!</v>
      </c>
      <c r="AV23" s="51" t="e">
        <f t="shared" si="15"/>
        <v>#REF!</v>
      </c>
      <c r="AW23" s="51" t="e">
        <f t="shared" si="15"/>
        <v>#REF!</v>
      </c>
      <c r="AX23" s="51" t="e">
        <f t="shared" si="15"/>
        <v>#REF!</v>
      </c>
      <c r="AY23" s="51" t="e">
        <f t="shared" si="15"/>
        <v>#REF!</v>
      </c>
      <c r="AZ23" s="51" t="e">
        <f t="shared" si="15"/>
        <v>#REF!</v>
      </c>
      <c r="BA23" s="51" t="e">
        <f t="shared" si="15"/>
        <v>#REF!</v>
      </c>
      <c r="BB23" s="51" t="e">
        <f t="shared" si="15"/>
        <v>#REF!</v>
      </c>
      <c r="BC23" s="51" t="e">
        <f t="shared" si="15"/>
        <v>#REF!</v>
      </c>
      <c r="BD23" s="51" t="e">
        <f t="shared" si="15"/>
        <v>#REF!</v>
      </c>
      <c r="BE23" s="51" t="e">
        <f t="shared" si="15"/>
        <v>#REF!</v>
      </c>
      <c r="BF23" s="51" t="e">
        <f t="shared" si="15"/>
        <v>#REF!</v>
      </c>
      <c r="BG23" s="51" t="e">
        <f t="shared" si="15"/>
        <v>#REF!</v>
      </c>
      <c r="BH23" s="51" t="e">
        <f t="shared" si="15"/>
        <v>#REF!</v>
      </c>
      <c r="BI23" s="51" t="e">
        <f t="shared" si="15"/>
        <v>#REF!</v>
      </c>
      <c r="BJ23" s="51" t="e">
        <f t="shared" si="15"/>
        <v>#REF!</v>
      </c>
      <c r="BK23" s="51" t="e">
        <f t="shared" si="15"/>
        <v>#REF!</v>
      </c>
      <c r="BL23" s="51" t="e">
        <f t="shared" si="15"/>
        <v>#REF!</v>
      </c>
      <c r="BM23" s="51" t="e">
        <f t="shared" si="15"/>
        <v>#REF!</v>
      </c>
      <c r="BN23" s="51" t="e">
        <f t="shared" si="15"/>
        <v>#REF!</v>
      </c>
      <c r="BO23" s="51" t="e">
        <f t="shared" si="15"/>
        <v>#REF!</v>
      </c>
      <c r="BP23" s="51" t="e">
        <f t="shared" si="15"/>
        <v>#REF!</v>
      </c>
      <c r="BQ23" s="51" t="e">
        <f t="shared" si="15"/>
        <v>#REF!</v>
      </c>
      <c r="BR23" s="51" t="e">
        <f t="shared" si="15"/>
        <v>#REF!</v>
      </c>
      <c r="BS23" s="51" t="e">
        <f t="shared" si="15"/>
        <v>#REF!</v>
      </c>
      <c r="BT23" s="51" t="e">
        <f t="shared" si="15"/>
        <v>#REF!</v>
      </c>
      <c r="BU23" s="51" t="e">
        <f t="shared" si="15"/>
        <v>#REF!</v>
      </c>
      <c r="BV23" s="51" t="e">
        <f t="shared" si="15"/>
        <v>#REF!</v>
      </c>
      <c r="BW23" s="51" t="e">
        <f t="shared" si="15"/>
        <v>#REF!</v>
      </c>
      <c r="BX23" s="51" t="e">
        <f t="shared" si="15"/>
        <v>#REF!</v>
      </c>
      <c r="BY23" s="51" t="e">
        <f t="shared" si="15"/>
        <v>#REF!</v>
      </c>
      <c r="BZ23" s="51" t="e">
        <f t="shared" si="15"/>
        <v>#REF!</v>
      </c>
      <c r="CA23" s="51" t="e">
        <f t="shared" si="15"/>
        <v>#REF!</v>
      </c>
      <c r="CB23" s="51" t="e">
        <f t="shared" ref="CB23:CQ23" si="16">CB21-CB22</f>
        <v>#REF!</v>
      </c>
      <c r="CC23" s="51" t="e">
        <f t="shared" si="16"/>
        <v>#REF!</v>
      </c>
      <c r="CD23" s="51" t="e">
        <f t="shared" si="16"/>
        <v>#REF!</v>
      </c>
      <c r="CE23" s="51" t="e">
        <f t="shared" si="16"/>
        <v>#REF!</v>
      </c>
      <c r="CF23" s="51" t="e">
        <f t="shared" si="16"/>
        <v>#REF!</v>
      </c>
      <c r="CG23" s="51" t="e">
        <f t="shared" si="16"/>
        <v>#REF!</v>
      </c>
      <c r="CH23" s="51" t="e">
        <f t="shared" si="16"/>
        <v>#REF!</v>
      </c>
      <c r="CI23" s="51" t="e">
        <f t="shared" si="16"/>
        <v>#REF!</v>
      </c>
      <c r="CJ23" s="51" t="e">
        <f t="shared" si="16"/>
        <v>#REF!</v>
      </c>
      <c r="CK23" s="51" t="e">
        <f t="shared" si="16"/>
        <v>#REF!</v>
      </c>
      <c r="CL23" s="51" t="e">
        <f t="shared" si="16"/>
        <v>#REF!</v>
      </c>
      <c r="CM23" s="51" t="e">
        <f t="shared" si="16"/>
        <v>#REF!</v>
      </c>
      <c r="CN23" s="51" t="e">
        <f t="shared" si="16"/>
        <v>#REF!</v>
      </c>
      <c r="CO23" s="51" t="e">
        <f t="shared" si="16"/>
        <v>#REF!</v>
      </c>
      <c r="CP23" s="51" t="e">
        <f t="shared" si="16"/>
        <v>#REF!</v>
      </c>
      <c r="CQ23" s="51" t="e">
        <f t="shared" si="16"/>
        <v>#REF!</v>
      </c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</row>
    <row r="24" spans="1:108" ht="12.75" customHeight="1" x14ac:dyDescent="0.25">
      <c r="H24" s="54"/>
      <c r="J24" s="38" t="s">
        <v>274</v>
      </c>
      <c r="N24" s="19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</row>
    <row r="25" spans="1:108" ht="12.75" customHeight="1" x14ac:dyDescent="0.25">
      <c r="C25" s="184" t="s">
        <v>275</v>
      </c>
      <c r="H25" s="54" t="s">
        <v>6</v>
      </c>
      <c r="J25" s="174">
        <f>InputC!K154</f>
        <v>0.25</v>
      </c>
      <c r="N25" s="19"/>
    </row>
    <row r="26" spans="1:108" ht="12.75" customHeight="1" x14ac:dyDescent="0.25">
      <c r="H26" s="54"/>
      <c r="N26" s="19"/>
    </row>
    <row r="27" spans="1:108" ht="12.75" customHeight="1" x14ac:dyDescent="0.25">
      <c r="C27" s="184" t="s">
        <v>276</v>
      </c>
      <c r="H27" s="54" t="s">
        <v>3</v>
      </c>
      <c r="N27" s="25" t="e">
        <f>SUM(P27:DD27)</f>
        <v>#REF!</v>
      </c>
      <c r="O27" s="10"/>
      <c r="P27" s="10" t="e">
        <f>MAX($J25*P23,0)</f>
        <v>#REF!</v>
      </c>
      <c r="Q27" s="10" t="e">
        <f t="shared" ref="Q27:CB27" si="17">MAX($J25*Q23,0)</f>
        <v>#REF!</v>
      </c>
      <c r="R27" s="10" t="e">
        <f t="shared" si="17"/>
        <v>#REF!</v>
      </c>
      <c r="S27" s="10" t="e">
        <f t="shared" si="17"/>
        <v>#REF!</v>
      </c>
      <c r="T27" s="10" t="e">
        <f t="shared" si="17"/>
        <v>#REF!</v>
      </c>
      <c r="U27" s="10" t="e">
        <f t="shared" si="17"/>
        <v>#REF!</v>
      </c>
      <c r="V27" s="10" t="e">
        <f t="shared" si="17"/>
        <v>#REF!</v>
      </c>
      <c r="W27" s="10" t="e">
        <f t="shared" si="17"/>
        <v>#REF!</v>
      </c>
      <c r="X27" s="10" t="e">
        <f t="shared" si="17"/>
        <v>#REF!</v>
      </c>
      <c r="Y27" s="10" t="e">
        <f t="shared" si="17"/>
        <v>#REF!</v>
      </c>
      <c r="Z27" s="10" t="e">
        <f t="shared" si="17"/>
        <v>#REF!</v>
      </c>
      <c r="AA27" s="10" t="e">
        <f t="shared" si="17"/>
        <v>#REF!</v>
      </c>
      <c r="AB27" s="10" t="e">
        <f t="shared" si="17"/>
        <v>#REF!</v>
      </c>
      <c r="AC27" s="10" t="e">
        <f t="shared" si="17"/>
        <v>#REF!</v>
      </c>
      <c r="AD27" s="10" t="e">
        <f t="shared" si="17"/>
        <v>#REF!</v>
      </c>
      <c r="AE27" s="10" t="e">
        <f t="shared" si="17"/>
        <v>#REF!</v>
      </c>
      <c r="AF27" s="10" t="e">
        <f t="shared" si="17"/>
        <v>#REF!</v>
      </c>
      <c r="AG27" s="10" t="e">
        <f t="shared" si="17"/>
        <v>#REF!</v>
      </c>
      <c r="AH27" s="10" t="e">
        <f t="shared" si="17"/>
        <v>#REF!</v>
      </c>
      <c r="AI27" s="10" t="e">
        <f t="shared" si="17"/>
        <v>#REF!</v>
      </c>
      <c r="AJ27" s="10" t="e">
        <f t="shared" si="17"/>
        <v>#REF!</v>
      </c>
      <c r="AK27" s="10" t="e">
        <f t="shared" si="17"/>
        <v>#REF!</v>
      </c>
      <c r="AL27" s="10" t="e">
        <f t="shared" si="17"/>
        <v>#REF!</v>
      </c>
      <c r="AM27" s="10" t="e">
        <f t="shared" si="17"/>
        <v>#REF!</v>
      </c>
      <c r="AN27" s="10" t="e">
        <f t="shared" si="17"/>
        <v>#REF!</v>
      </c>
      <c r="AO27" s="10" t="e">
        <f t="shared" si="17"/>
        <v>#REF!</v>
      </c>
      <c r="AP27" s="10" t="e">
        <f t="shared" si="17"/>
        <v>#REF!</v>
      </c>
      <c r="AQ27" s="10" t="e">
        <f t="shared" si="17"/>
        <v>#REF!</v>
      </c>
      <c r="AR27" s="10" t="e">
        <f t="shared" si="17"/>
        <v>#REF!</v>
      </c>
      <c r="AS27" s="10" t="e">
        <f t="shared" si="17"/>
        <v>#REF!</v>
      </c>
      <c r="AT27" s="10" t="e">
        <f t="shared" si="17"/>
        <v>#REF!</v>
      </c>
      <c r="AU27" s="10" t="e">
        <f t="shared" si="17"/>
        <v>#REF!</v>
      </c>
      <c r="AV27" s="10" t="e">
        <f t="shared" si="17"/>
        <v>#REF!</v>
      </c>
      <c r="AW27" s="10" t="e">
        <f t="shared" si="17"/>
        <v>#REF!</v>
      </c>
      <c r="AX27" s="10" t="e">
        <f t="shared" si="17"/>
        <v>#REF!</v>
      </c>
      <c r="AY27" s="10" t="e">
        <f t="shared" si="17"/>
        <v>#REF!</v>
      </c>
      <c r="AZ27" s="10" t="e">
        <f t="shared" si="17"/>
        <v>#REF!</v>
      </c>
      <c r="BA27" s="10" t="e">
        <f t="shared" si="17"/>
        <v>#REF!</v>
      </c>
      <c r="BB27" s="10" t="e">
        <f t="shared" si="17"/>
        <v>#REF!</v>
      </c>
      <c r="BC27" s="10" t="e">
        <f t="shared" si="17"/>
        <v>#REF!</v>
      </c>
      <c r="BD27" s="10" t="e">
        <f t="shared" si="17"/>
        <v>#REF!</v>
      </c>
      <c r="BE27" s="10" t="e">
        <f t="shared" si="17"/>
        <v>#REF!</v>
      </c>
      <c r="BF27" s="10" t="e">
        <f t="shared" si="17"/>
        <v>#REF!</v>
      </c>
      <c r="BG27" s="10" t="e">
        <f t="shared" si="17"/>
        <v>#REF!</v>
      </c>
      <c r="BH27" s="10" t="e">
        <f t="shared" si="17"/>
        <v>#REF!</v>
      </c>
      <c r="BI27" s="10" t="e">
        <f t="shared" si="17"/>
        <v>#REF!</v>
      </c>
      <c r="BJ27" s="10" t="e">
        <f t="shared" si="17"/>
        <v>#REF!</v>
      </c>
      <c r="BK27" s="10" t="e">
        <f t="shared" si="17"/>
        <v>#REF!</v>
      </c>
      <c r="BL27" s="10" t="e">
        <f t="shared" si="17"/>
        <v>#REF!</v>
      </c>
      <c r="BM27" s="10" t="e">
        <f t="shared" si="17"/>
        <v>#REF!</v>
      </c>
      <c r="BN27" s="10" t="e">
        <f t="shared" si="17"/>
        <v>#REF!</v>
      </c>
      <c r="BO27" s="10" t="e">
        <f t="shared" si="17"/>
        <v>#REF!</v>
      </c>
      <c r="BP27" s="10" t="e">
        <f t="shared" si="17"/>
        <v>#REF!</v>
      </c>
      <c r="BQ27" s="10" t="e">
        <f t="shared" si="17"/>
        <v>#REF!</v>
      </c>
      <c r="BR27" s="10" t="e">
        <f t="shared" si="17"/>
        <v>#REF!</v>
      </c>
      <c r="BS27" s="10" t="e">
        <f t="shared" si="17"/>
        <v>#REF!</v>
      </c>
      <c r="BT27" s="10" t="e">
        <f t="shared" si="17"/>
        <v>#REF!</v>
      </c>
      <c r="BU27" s="10" t="e">
        <f t="shared" si="17"/>
        <v>#REF!</v>
      </c>
      <c r="BV27" s="10" t="e">
        <f t="shared" si="17"/>
        <v>#REF!</v>
      </c>
      <c r="BW27" s="10" t="e">
        <f t="shared" si="17"/>
        <v>#REF!</v>
      </c>
      <c r="BX27" s="10" t="e">
        <f t="shared" si="17"/>
        <v>#REF!</v>
      </c>
      <c r="BY27" s="10" t="e">
        <f t="shared" si="17"/>
        <v>#REF!</v>
      </c>
      <c r="BZ27" s="10" t="e">
        <f t="shared" si="17"/>
        <v>#REF!</v>
      </c>
      <c r="CA27" s="10" t="e">
        <f t="shared" si="17"/>
        <v>#REF!</v>
      </c>
      <c r="CB27" s="10" t="e">
        <f t="shared" si="17"/>
        <v>#REF!</v>
      </c>
      <c r="CC27" s="10" t="e">
        <f t="shared" ref="CC27:CQ27" si="18">MAX($J25*CC23,0)</f>
        <v>#REF!</v>
      </c>
      <c r="CD27" s="10" t="e">
        <f t="shared" si="18"/>
        <v>#REF!</v>
      </c>
      <c r="CE27" s="10" t="e">
        <f t="shared" si="18"/>
        <v>#REF!</v>
      </c>
      <c r="CF27" s="10" t="e">
        <f t="shared" si="18"/>
        <v>#REF!</v>
      </c>
      <c r="CG27" s="10" t="e">
        <f t="shared" si="18"/>
        <v>#REF!</v>
      </c>
      <c r="CH27" s="10" t="e">
        <f t="shared" si="18"/>
        <v>#REF!</v>
      </c>
      <c r="CI27" s="10" t="e">
        <f t="shared" si="18"/>
        <v>#REF!</v>
      </c>
      <c r="CJ27" s="10" t="e">
        <f t="shared" si="18"/>
        <v>#REF!</v>
      </c>
      <c r="CK27" s="10" t="e">
        <f t="shared" si="18"/>
        <v>#REF!</v>
      </c>
      <c r="CL27" s="10" t="e">
        <f t="shared" si="18"/>
        <v>#REF!</v>
      </c>
      <c r="CM27" s="10" t="e">
        <f t="shared" si="18"/>
        <v>#REF!</v>
      </c>
      <c r="CN27" s="10" t="e">
        <f t="shared" si="18"/>
        <v>#REF!</v>
      </c>
      <c r="CO27" s="10" t="e">
        <f t="shared" si="18"/>
        <v>#REF!</v>
      </c>
      <c r="CP27" s="10" t="e">
        <f t="shared" si="18"/>
        <v>#REF!</v>
      </c>
      <c r="CQ27" s="10" t="e">
        <f t="shared" si="18"/>
        <v>#REF!</v>
      </c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</row>
    <row r="28" spans="1:108" ht="12.75" customHeight="1" x14ac:dyDescent="0.25">
      <c r="H28" s="54"/>
      <c r="N28" s="19"/>
    </row>
    <row r="29" spans="1:108" ht="12.75" customHeight="1" x14ac:dyDescent="0.25">
      <c r="H29" s="54"/>
      <c r="N29" s="19"/>
    </row>
    <row r="30" spans="1:108" s="5" customFormat="1" ht="12.75" customHeight="1" x14ac:dyDescent="0.2">
      <c r="A30" s="5" t="s">
        <v>277</v>
      </c>
      <c r="C30" s="6"/>
      <c r="H30" s="137"/>
      <c r="I30" s="8"/>
    </row>
    <row r="31" spans="1:108" ht="12.75" customHeight="1" x14ac:dyDescent="0.25">
      <c r="H31" s="54"/>
      <c r="N31" s="19"/>
    </row>
    <row r="32" spans="1:108" ht="12.75" customHeight="1" x14ac:dyDescent="0.25">
      <c r="H32" s="54"/>
      <c r="N32" s="19"/>
    </row>
    <row r="33" spans="2:108" ht="12.75" customHeight="1" x14ac:dyDescent="0.25">
      <c r="B33" s="21" t="s">
        <v>278</v>
      </c>
      <c r="H33" s="54"/>
      <c r="N33" s="19"/>
    </row>
    <row r="34" spans="2:108" ht="12.75" customHeight="1" x14ac:dyDescent="0.25">
      <c r="H34" s="54"/>
      <c r="N34" s="19"/>
    </row>
    <row r="35" spans="2:108" ht="12.75" customHeight="1" x14ac:dyDescent="0.25">
      <c r="C35" s="184" t="s">
        <v>158</v>
      </c>
      <c r="H35" s="54" t="s">
        <v>58</v>
      </c>
      <c r="N35" s="19"/>
      <c r="O35" s="104"/>
      <c r="P35" s="104">
        <f>Timing!R29</f>
        <v>0</v>
      </c>
      <c r="Q35" s="104">
        <f>Timing!S29</f>
        <v>0</v>
      </c>
      <c r="R35" s="104">
        <f>Timing!T29</f>
        <v>0</v>
      </c>
      <c r="S35" s="104">
        <f>Timing!U29</f>
        <v>1</v>
      </c>
      <c r="T35" s="104">
        <f>Timing!V29</f>
        <v>1</v>
      </c>
      <c r="U35" s="104">
        <f>Timing!W29</f>
        <v>1</v>
      </c>
      <c r="V35" s="104">
        <f>Timing!X29</f>
        <v>1</v>
      </c>
      <c r="W35" s="104">
        <f>Timing!Y29</f>
        <v>1</v>
      </c>
      <c r="X35" s="104">
        <f>Timing!Z29</f>
        <v>1</v>
      </c>
      <c r="Y35" s="104">
        <f>Timing!AA29</f>
        <v>1</v>
      </c>
      <c r="Z35" s="104">
        <f>Timing!AB29</f>
        <v>1</v>
      </c>
      <c r="AA35" s="104">
        <f>Timing!AC29</f>
        <v>1</v>
      </c>
      <c r="AB35" s="104">
        <f>Timing!AD29</f>
        <v>1</v>
      </c>
      <c r="AC35" s="104">
        <f>Timing!AE29</f>
        <v>1</v>
      </c>
      <c r="AD35" s="104">
        <f>Timing!AF29</f>
        <v>1</v>
      </c>
      <c r="AE35" s="104">
        <f>Timing!AG29</f>
        <v>1</v>
      </c>
      <c r="AF35" s="104">
        <f>Timing!AH29</f>
        <v>1</v>
      </c>
      <c r="AG35" s="104">
        <f>Timing!AI29</f>
        <v>1</v>
      </c>
      <c r="AH35" s="104">
        <f>Timing!AJ29</f>
        <v>1</v>
      </c>
      <c r="AI35" s="104">
        <f>Timing!AK29</f>
        <v>1</v>
      </c>
      <c r="AJ35" s="104">
        <f>Timing!AL29</f>
        <v>1</v>
      </c>
      <c r="AK35" s="104">
        <f>Timing!AM29</f>
        <v>1</v>
      </c>
      <c r="AL35" s="104">
        <f>Timing!AN29</f>
        <v>1</v>
      </c>
      <c r="AM35" s="104">
        <f>Timing!AO29</f>
        <v>1</v>
      </c>
      <c r="AN35" s="104">
        <f>Timing!AP29</f>
        <v>1</v>
      </c>
      <c r="AO35" s="104">
        <f>Timing!AQ29</f>
        <v>1</v>
      </c>
      <c r="AP35" s="104">
        <f>Timing!AR29</f>
        <v>1</v>
      </c>
      <c r="AQ35" s="104">
        <f>Timing!AS29</f>
        <v>1</v>
      </c>
      <c r="AR35" s="104">
        <f>Timing!AT29</f>
        <v>1</v>
      </c>
      <c r="AS35" s="104">
        <f>Timing!AU29</f>
        <v>1</v>
      </c>
      <c r="AT35" s="104">
        <f>Timing!AV29</f>
        <v>1</v>
      </c>
      <c r="AU35" s="104">
        <f>Timing!AW29</f>
        <v>1</v>
      </c>
      <c r="AV35" s="104">
        <f>Timing!AX29</f>
        <v>1</v>
      </c>
      <c r="AW35" s="104">
        <f>Timing!AY29</f>
        <v>1</v>
      </c>
      <c r="AX35" s="104">
        <f>Timing!AZ29</f>
        <v>1</v>
      </c>
      <c r="AY35" s="104">
        <f>Timing!BA29</f>
        <v>1</v>
      </c>
      <c r="AZ35" s="104">
        <f>Timing!BB29</f>
        <v>1</v>
      </c>
      <c r="BA35" s="104">
        <f>Timing!BC29</f>
        <v>1</v>
      </c>
      <c r="BB35" s="104">
        <f>Timing!BD29</f>
        <v>1</v>
      </c>
      <c r="BC35" s="104">
        <f>Timing!BE29</f>
        <v>1</v>
      </c>
      <c r="BD35" s="104">
        <f>Timing!BF29</f>
        <v>1</v>
      </c>
      <c r="BE35" s="104">
        <f>Timing!BG29</f>
        <v>1</v>
      </c>
      <c r="BF35" s="104">
        <f>Timing!BH29</f>
        <v>1</v>
      </c>
      <c r="BG35" s="104">
        <f>Timing!BI29</f>
        <v>1</v>
      </c>
      <c r="BH35" s="104">
        <f>Timing!BJ29</f>
        <v>1</v>
      </c>
      <c r="BI35" s="104">
        <f>Timing!BK29</f>
        <v>1</v>
      </c>
      <c r="BJ35" s="104">
        <f>Timing!BL29</f>
        <v>1</v>
      </c>
      <c r="BK35" s="104">
        <f>Timing!BM29</f>
        <v>1</v>
      </c>
      <c r="BL35" s="104">
        <f>Timing!BN29</f>
        <v>1</v>
      </c>
      <c r="BM35" s="104">
        <f>Timing!BO29</f>
        <v>1</v>
      </c>
      <c r="BN35" s="104">
        <f>Timing!BP29</f>
        <v>1</v>
      </c>
      <c r="BO35" s="104">
        <f>Timing!BQ29</f>
        <v>1</v>
      </c>
      <c r="BP35" s="104">
        <f>Timing!BR29</f>
        <v>1</v>
      </c>
      <c r="BQ35" s="104">
        <f>Timing!BS29</f>
        <v>1</v>
      </c>
      <c r="BR35" s="104">
        <f>Timing!BT29</f>
        <v>0</v>
      </c>
      <c r="BS35" s="104">
        <f>Timing!BU29</f>
        <v>0</v>
      </c>
      <c r="BT35" s="104">
        <f>Timing!BV29</f>
        <v>0</v>
      </c>
      <c r="BU35" s="104">
        <f>Timing!BW29</f>
        <v>0</v>
      </c>
      <c r="BV35" s="104">
        <f>Timing!BX29</f>
        <v>0</v>
      </c>
      <c r="BW35" s="104">
        <f>Timing!BY29</f>
        <v>0</v>
      </c>
      <c r="BX35" s="104">
        <f>Timing!BZ29</f>
        <v>0</v>
      </c>
      <c r="BY35" s="104">
        <f>Timing!CA29</f>
        <v>0</v>
      </c>
      <c r="BZ35" s="104">
        <f>Timing!CB29</f>
        <v>0</v>
      </c>
      <c r="CA35" s="104">
        <f>Timing!CC29</f>
        <v>0</v>
      </c>
      <c r="CB35" s="104">
        <f>Timing!CD29</f>
        <v>0</v>
      </c>
      <c r="CC35" s="104">
        <f>Timing!CE29</f>
        <v>0</v>
      </c>
      <c r="CD35" s="104">
        <f>Timing!CF29</f>
        <v>0</v>
      </c>
      <c r="CE35" s="104">
        <f>Timing!CG29</f>
        <v>0</v>
      </c>
      <c r="CF35" s="104">
        <f>Timing!CH29</f>
        <v>0</v>
      </c>
      <c r="CG35" s="104">
        <f>Timing!CI29</f>
        <v>0</v>
      </c>
      <c r="CH35" s="104">
        <f>Timing!CJ29</f>
        <v>0</v>
      </c>
      <c r="CI35" s="104">
        <f>Timing!CK29</f>
        <v>0</v>
      </c>
      <c r="CJ35" s="104">
        <f>Timing!CL29</f>
        <v>0</v>
      </c>
      <c r="CK35" s="104">
        <f>Timing!CM29</f>
        <v>0</v>
      </c>
      <c r="CL35" s="104">
        <f>Timing!CN29</f>
        <v>0</v>
      </c>
      <c r="CM35" s="104">
        <f>Timing!CO29</f>
        <v>0</v>
      </c>
      <c r="CN35" s="104">
        <f>Timing!CP29</f>
        <v>0</v>
      </c>
      <c r="CO35" s="104">
        <f>Timing!CQ29</f>
        <v>0</v>
      </c>
      <c r="CP35" s="104">
        <f>Timing!CR29</f>
        <v>0</v>
      </c>
      <c r="CQ35" s="104">
        <f>Timing!CS29</f>
        <v>0</v>
      </c>
      <c r="CR35" s="104"/>
      <c r="CS35" s="104"/>
      <c r="CT35" s="104"/>
      <c r="CU35" s="104"/>
      <c r="CV35" s="104"/>
      <c r="CW35" s="104"/>
      <c r="CX35" s="104"/>
      <c r="CY35" s="104"/>
      <c r="CZ35" s="104"/>
      <c r="DA35" s="104"/>
      <c r="DB35" s="104"/>
      <c r="DC35" s="104"/>
      <c r="DD35" s="104"/>
    </row>
    <row r="36" spans="2:108" ht="12.75" customHeight="1" x14ac:dyDescent="0.25">
      <c r="C36" s="184" t="s">
        <v>71</v>
      </c>
      <c r="H36" s="54" t="s">
        <v>58</v>
      </c>
      <c r="N36" s="19"/>
      <c r="O36" s="68"/>
      <c r="P36" s="68">
        <f>Timing!R32</f>
        <v>0</v>
      </c>
      <c r="Q36" s="68">
        <f>Timing!S32</f>
        <v>0</v>
      </c>
      <c r="R36" s="68">
        <f>Timing!T32</f>
        <v>0</v>
      </c>
      <c r="S36" s="68">
        <f>Timing!U32</f>
        <v>1</v>
      </c>
      <c r="T36" s="68">
        <f>Timing!V32</f>
        <v>2</v>
      </c>
      <c r="U36" s="68">
        <f>Timing!W32</f>
        <v>3</v>
      </c>
      <c r="V36" s="68">
        <f>Timing!X32</f>
        <v>4</v>
      </c>
      <c r="W36" s="68">
        <f>Timing!Y32</f>
        <v>5</v>
      </c>
      <c r="X36" s="68">
        <f>Timing!Z32</f>
        <v>6</v>
      </c>
      <c r="Y36" s="68">
        <f>Timing!AA32</f>
        <v>7</v>
      </c>
      <c r="Z36" s="68">
        <f>Timing!AB32</f>
        <v>8</v>
      </c>
      <c r="AA36" s="68">
        <f>Timing!AC32</f>
        <v>9</v>
      </c>
      <c r="AB36" s="68">
        <f>Timing!AD32</f>
        <v>10</v>
      </c>
      <c r="AC36" s="68">
        <f>Timing!AE32</f>
        <v>11</v>
      </c>
      <c r="AD36" s="68">
        <f>Timing!AF32</f>
        <v>12</v>
      </c>
      <c r="AE36" s="68">
        <f>Timing!AG32</f>
        <v>13</v>
      </c>
      <c r="AF36" s="68">
        <f>Timing!AH32</f>
        <v>14</v>
      </c>
      <c r="AG36" s="68">
        <f>Timing!AI32</f>
        <v>15</v>
      </c>
      <c r="AH36" s="68">
        <f>Timing!AJ32</f>
        <v>16</v>
      </c>
      <c r="AI36" s="68">
        <f>Timing!AK32</f>
        <v>17</v>
      </c>
      <c r="AJ36" s="68">
        <f>Timing!AL32</f>
        <v>18</v>
      </c>
      <c r="AK36" s="68">
        <f>Timing!AM32</f>
        <v>19</v>
      </c>
      <c r="AL36" s="68">
        <f>Timing!AN32</f>
        <v>20</v>
      </c>
      <c r="AM36" s="68">
        <f>Timing!AO32</f>
        <v>21</v>
      </c>
      <c r="AN36" s="68">
        <f>Timing!AP32</f>
        <v>22</v>
      </c>
      <c r="AO36" s="68">
        <f>Timing!AQ32</f>
        <v>23</v>
      </c>
      <c r="AP36" s="68">
        <f>Timing!AR32</f>
        <v>24</v>
      </c>
      <c r="AQ36" s="68">
        <f>Timing!AS32</f>
        <v>25</v>
      </c>
      <c r="AR36" s="68">
        <f>Timing!AT32</f>
        <v>26</v>
      </c>
      <c r="AS36" s="68">
        <f>Timing!AU32</f>
        <v>27</v>
      </c>
      <c r="AT36" s="68">
        <f>Timing!AV32</f>
        <v>28</v>
      </c>
      <c r="AU36" s="68">
        <f>Timing!AW32</f>
        <v>29</v>
      </c>
      <c r="AV36" s="68">
        <f>Timing!AX32</f>
        <v>30</v>
      </c>
      <c r="AW36" s="68">
        <f>Timing!AY32</f>
        <v>31</v>
      </c>
      <c r="AX36" s="68">
        <f>Timing!AZ32</f>
        <v>32</v>
      </c>
      <c r="AY36" s="68">
        <f>Timing!BA32</f>
        <v>33</v>
      </c>
      <c r="AZ36" s="68">
        <f>Timing!BB32</f>
        <v>34</v>
      </c>
      <c r="BA36" s="68">
        <f>Timing!BC32</f>
        <v>35</v>
      </c>
      <c r="BB36" s="68">
        <f>Timing!BD32</f>
        <v>36</v>
      </c>
      <c r="BC36" s="68">
        <f>Timing!BE32</f>
        <v>37</v>
      </c>
      <c r="BD36" s="68">
        <f>Timing!BF32</f>
        <v>38</v>
      </c>
      <c r="BE36" s="68">
        <f>Timing!BG32</f>
        <v>39</v>
      </c>
      <c r="BF36" s="68">
        <f>Timing!BH32</f>
        <v>40</v>
      </c>
      <c r="BG36" s="68">
        <f>Timing!BI32</f>
        <v>41</v>
      </c>
      <c r="BH36" s="68">
        <f>Timing!BJ32</f>
        <v>42</v>
      </c>
      <c r="BI36" s="68">
        <f>Timing!BK32</f>
        <v>43</v>
      </c>
      <c r="BJ36" s="68">
        <f>Timing!BL32</f>
        <v>44</v>
      </c>
      <c r="BK36" s="68">
        <f>Timing!BM32</f>
        <v>45</v>
      </c>
      <c r="BL36" s="68">
        <f>Timing!BN32</f>
        <v>46</v>
      </c>
      <c r="BM36" s="68">
        <f>Timing!BO32</f>
        <v>47</v>
      </c>
      <c r="BN36" s="68">
        <f>Timing!BP32</f>
        <v>48</v>
      </c>
      <c r="BO36" s="68">
        <f>Timing!BQ32</f>
        <v>49</v>
      </c>
      <c r="BP36" s="68">
        <f>Timing!BR32</f>
        <v>50</v>
      </c>
      <c r="BQ36" s="68">
        <f>Timing!BS32</f>
        <v>51</v>
      </c>
      <c r="BR36" s="68">
        <f>Timing!BT32</f>
        <v>0</v>
      </c>
      <c r="BS36" s="68">
        <f>Timing!BU32</f>
        <v>0</v>
      </c>
      <c r="BT36" s="68">
        <f>Timing!BV32</f>
        <v>0</v>
      </c>
      <c r="BU36" s="68">
        <f>Timing!BW32</f>
        <v>0</v>
      </c>
      <c r="BV36" s="68">
        <f>Timing!BX32</f>
        <v>0</v>
      </c>
      <c r="BW36" s="68">
        <f>Timing!BY32</f>
        <v>0</v>
      </c>
      <c r="BX36" s="68">
        <f>Timing!BZ32</f>
        <v>0</v>
      </c>
      <c r="BY36" s="68">
        <f>Timing!CA32</f>
        <v>0</v>
      </c>
      <c r="BZ36" s="68">
        <f>Timing!CB32</f>
        <v>0</v>
      </c>
      <c r="CA36" s="68">
        <f>Timing!CC32</f>
        <v>0</v>
      </c>
      <c r="CB36" s="68">
        <f>Timing!CD32</f>
        <v>0</v>
      </c>
      <c r="CC36" s="68">
        <f>Timing!CE32</f>
        <v>0</v>
      </c>
      <c r="CD36" s="68">
        <f>Timing!CF32</f>
        <v>0</v>
      </c>
      <c r="CE36" s="68">
        <f>Timing!CG32</f>
        <v>0</v>
      </c>
      <c r="CF36" s="68">
        <f>Timing!CH32</f>
        <v>0</v>
      </c>
      <c r="CG36" s="68">
        <f>Timing!CI32</f>
        <v>0</v>
      </c>
      <c r="CH36" s="68">
        <f>Timing!CJ32</f>
        <v>0</v>
      </c>
      <c r="CI36" s="68">
        <f>Timing!CK32</f>
        <v>0</v>
      </c>
      <c r="CJ36" s="68">
        <f>Timing!CL32</f>
        <v>0</v>
      </c>
      <c r="CK36" s="68">
        <f>Timing!CM32</f>
        <v>0</v>
      </c>
      <c r="CL36" s="68">
        <f>Timing!CN32</f>
        <v>0</v>
      </c>
      <c r="CM36" s="68">
        <f>Timing!CO32</f>
        <v>0</v>
      </c>
      <c r="CN36" s="68">
        <f>Timing!CP32</f>
        <v>0</v>
      </c>
      <c r="CO36" s="68">
        <f>Timing!CQ32</f>
        <v>0</v>
      </c>
      <c r="CP36" s="68">
        <f>Timing!CR32</f>
        <v>0</v>
      </c>
      <c r="CQ36" s="68">
        <f>Timing!CS32</f>
        <v>0</v>
      </c>
      <c r="CR36" s="68"/>
      <c r="CS36" s="68"/>
      <c r="CT36" s="68"/>
      <c r="CU36" s="68"/>
      <c r="CV36" s="68"/>
      <c r="CW36" s="68"/>
      <c r="CX36" s="68"/>
      <c r="CY36" s="68"/>
      <c r="CZ36" s="68"/>
      <c r="DA36" s="68"/>
      <c r="DB36" s="68"/>
      <c r="DC36" s="68"/>
      <c r="DD36" s="68"/>
    </row>
    <row r="37" spans="2:108" ht="12.75" customHeight="1" x14ac:dyDescent="0.25">
      <c r="C37" s="184" t="s">
        <v>279</v>
      </c>
      <c r="H37" s="54" t="s">
        <v>58</v>
      </c>
      <c r="N37" s="19"/>
      <c r="O37" s="68"/>
      <c r="P37" s="68">
        <f>(MAX($P$36:$DD$36)-P36+1)</f>
        <v>52</v>
      </c>
      <c r="Q37" s="68">
        <f t="shared" ref="Q37:CB37" si="19">(MAX($P$36:$DD$36)-Q36+1)</f>
        <v>52</v>
      </c>
      <c r="R37" s="68">
        <f t="shared" si="19"/>
        <v>52</v>
      </c>
      <c r="S37" s="68">
        <f t="shared" si="19"/>
        <v>51</v>
      </c>
      <c r="T37" s="68">
        <f t="shared" si="19"/>
        <v>50</v>
      </c>
      <c r="U37" s="68">
        <f t="shared" si="19"/>
        <v>49</v>
      </c>
      <c r="V37" s="68">
        <f t="shared" si="19"/>
        <v>48</v>
      </c>
      <c r="W37" s="68">
        <f t="shared" si="19"/>
        <v>47</v>
      </c>
      <c r="X37" s="68">
        <f t="shared" si="19"/>
        <v>46</v>
      </c>
      <c r="Y37" s="68">
        <f t="shared" si="19"/>
        <v>45</v>
      </c>
      <c r="Z37" s="68">
        <f t="shared" si="19"/>
        <v>44</v>
      </c>
      <c r="AA37" s="68">
        <f t="shared" si="19"/>
        <v>43</v>
      </c>
      <c r="AB37" s="68">
        <f t="shared" si="19"/>
        <v>42</v>
      </c>
      <c r="AC37" s="68">
        <f t="shared" si="19"/>
        <v>41</v>
      </c>
      <c r="AD37" s="68">
        <f t="shared" si="19"/>
        <v>40</v>
      </c>
      <c r="AE37" s="68">
        <f t="shared" si="19"/>
        <v>39</v>
      </c>
      <c r="AF37" s="68">
        <f t="shared" si="19"/>
        <v>38</v>
      </c>
      <c r="AG37" s="68">
        <f t="shared" si="19"/>
        <v>37</v>
      </c>
      <c r="AH37" s="68">
        <f t="shared" si="19"/>
        <v>36</v>
      </c>
      <c r="AI37" s="68">
        <f t="shared" si="19"/>
        <v>35</v>
      </c>
      <c r="AJ37" s="68">
        <f t="shared" si="19"/>
        <v>34</v>
      </c>
      <c r="AK37" s="68">
        <f t="shared" si="19"/>
        <v>33</v>
      </c>
      <c r="AL37" s="68">
        <f t="shared" si="19"/>
        <v>32</v>
      </c>
      <c r="AM37" s="68">
        <f t="shared" si="19"/>
        <v>31</v>
      </c>
      <c r="AN37" s="68">
        <f t="shared" si="19"/>
        <v>30</v>
      </c>
      <c r="AO37" s="68">
        <f t="shared" si="19"/>
        <v>29</v>
      </c>
      <c r="AP37" s="68">
        <f t="shared" si="19"/>
        <v>28</v>
      </c>
      <c r="AQ37" s="68">
        <f t="shared" si="19"/>
        <v>27</v>
      </c>
      <c r="AR37" s="68">
        <f t="shared" si="19"/>
        <v>26</v>
      </c>
      <c r="AS37" s="68">
        <f t="shared" si="19"/>
        <v>25</v>
      </c>
      <c r="AT37" s="68">
        <f t="shared" si="19"/>
        <v>24</v>
      </c>
      <c r="AU37" s="68">
        <f t="shared" si="19"/>
        <v>23</v>
      </c>
      <c r="AV37" s="68">
        <f t="shared" si="19"/>
        <v>22</v>
      </c>
      <c r="AW37" s="68">
        <f t="shared" si="19"/>
        <v>21</v>
      </c>
      <c r="AX37" s="68">
        <f t="shared" si="19"/>
        <v>20</v>
      </c>
      <c r="AY37" s="68">
        <f t="shared" si="19"/>
        <v>19</v>
      </c>
      <c r="AZ37" s="68">
        <f t="shared" si="19"/>
        <v>18</v>
      </c>
      <c r="BA37" s="68">
        <f t="shared" si="19"/>
        <v>17</v>
      </c>
      <c r="BB37" s="68">
        <f t="shared" si="19"/>
        <v>16</v>
      </c>
      <c r="BC37" s="68">
        <f t="shared" si="19"/>
        <v>15</v>
      </c>
      <c r="BD37" s="68">
        <f t="shared" si="19"/>
        <v>14</v>
      </c>
      <c r="BE37" s="68">
        <f t="shared" si="19"/>
        <v>13</v>
      </c>
      <c r="BF37" s="68">
        <f t="shared" si="19"/>
        <v>12</v>
      </c>
      <c r="BG37" s="68">
        <f t="shared" si="19"/>
        <v>11</v>
      </c>
      <c r="BH37" s="68">
        <f t="shared" si="19"/>
        <v>10</v>
      </c>
      <c r="BI37" s="68">
        <f t="shared" si="19"/>
        <v>9</v>
      </c>
      <c r="BJ37" s="68">
        <f t="shared" si="19"/>
        <v>8</v>
      </c>
      <c r="BK37" s="68">
        <f t="shared" si="19"/>
        <v>7</v>
      </c>
      <c r="BL37" s="68">
        <f t="shared" si="19"/>
        <v>6</v>
      </c>
      <c r="BM37" s="68">
        <f t="shared" si="19"/>
        <v>5</v>
      </c>
      <c r="BN37" s="68">
        <f t="shared" si="19"/>
        <v>4</v>
      </c>
      <c r="BO37" s="68">
        <f t="shared" si="19"/>
        <v>3</v>
      </c>
      <c r="BP37" s="68">
        <f t="shared" si="19"/>
        <v>2</v>
      </c>
      <c r="BQ37" s="68">
        <f t="shared" si="19"/>
        <v>1</v>
      </c>
      <c r="BR37" s="68">
        <f t="shared" si="19"/>
        <v>52</v>
      </c>
      <c r="BS37" s="68">
        <f t="shared" si="19"/>
        <v>52</v>
      </c>
      <c r="BT37" s="68">
        <f t="shared" si="19"/>
        <v>52</v>
      </c>
      <c r="BU37" s="68">
        <f t="shared" si="19"/>
        <v>52</v>
      </c>
      <c r="BV37" s="68">
        <f t="shared" si="19"/>
        <v>52</v>
      </c>
      <c r="BW37" s="68">
        <f t="shared" si="19"/>
        <v>52</v>
      </c>
      <c r="BX37" s="68">
        <f t="shared" si="19"/>
        <v>52</v>
      </c>
      <c r="BY37" s="68">
        <f t="shared" si="19"/>
        <v>52</v>
      </c>
      <c r="BZ37" s="68">
        <f t="shared" si="19"/>
        <v>52</v>
      </c>
      <c r="CA37" s="68">
        <f t="shared" si="19"/>
        <v>52</v>
      </c>
      <c r="CB37" s="68">
        <f t="shared" si="19"/>
        <v>52</v>
      </c>
      <c r="CC37" s="68">
        <f t="shared" ref="CC37:CQ37" si="20">(MAX($P$36:$DD$36)-CC36+1)</f>
        <v>52</v>
      </c>
      <c r="CD37" s="68">
        <f t="shared" si="20"/>
        <v>52</v>
      </c>
      <c r="CE37" s="68">
        <f t="shared" si="20"/>
        <v>52</v>
      </c>
      <c r="CF37" s="68">
        <f t="shared" si="20"/>
        <v>52</v>
      </c>
      <c r="CG37" s="68">
        <f t="shared" si="20"/>
        <v>52</v>
      </c>
      <c r="CH37" s="68">
        <f t="shared" si="20"/>
        <v>52</v>
      </c>
      <c r="CI37" s="68">
        <f t="shared" si="20"/>
        <v>52</v>
      </c>
      <c r="CJ37" s="68">
        <f t="shared" si="20"/>
        <v>52</v>
      </c>
      <c r="CK37" s="68">
        <f t="shared" si="20"/>
        <v>52</v>
      </c>
      <c r="CL37" s="68">
        <f t="shared" si="20"/>
        <v>52</v>
      </c>
      <c r="CM37" s="68">
        <f t="shared" si="20"/>
        <v>52</v>
      </c>
      <c r="CN37" s="68">
        <f t="shared" si="20"/>
        <v>52</v>
      </c>
      <c r="CO37" s="68">
        <f t="shared" si="20"/>
        <v>52</v>
      </c>
      <c r="CP37" s="68">
        <f t="shared" si="20"/>
        <v>52</v>
      </c>
      <c r="CQ37" s="68">
        <f t="shared" si="20"/>
        <v>52</v>
      </c>
      <c r="CR37" s="68"/>
      <c r="CS37" s="68"/>
      <c r="CT37" s="68"/>
      <c r="CU37" s="68"/>
      <c r="CV37" s="68"/>
      <c r="CW37" s="68"/>
      <c r="CX37" s="68"/>
      <c r="CY37" s="68"/>
      <c r="CZ37" s="68"/>
      <c r="DA37" s="68"/>
      <c r="DB37" s="68"/>
      <c r="DC37" s="68"/>
      <c r="DD37" s="68"/>
    </row>
    <row r="38" spans="2:108" ht="12.75" customHeight="1" x14ac:dyDescent="0.25">
      <c r="H38" s="54"/>
      <c r="N38" s="19"/>
    </row>
    <row r="39" spans="2:108" ht="12.75" customHeight="1" x14ac:dyDescent="0.25">
      <c r="C39" s="184" t="s">
        <v>280</v>
      </c>
      <c r="H39" s="54" t="s">
        <v>6</v>
      </c>
      <c r="N39" s="19"/>
      <c r="O39" s="82"/>
      <c r="P39" s="82">
        <f t="shared" ref="P39:CA39" si="21">IFERROR(P35/P37,0)</f>
        <v>0</v>
      </c>
      <c r="Q39" s="82">
        <f t="shared" si="21"/>
        <v>0</v>
      </c>
      <c r="R39" s="82">
        <f t="shared" si="21"/>
        <v>0</v>
      </c>
      <c r="S39" s="82">
        <f t="shared" si="21"/>
        <v>1.9607843137254902E-2</v>
      </c>
      <c r="T39" s="82">
        <f t="shared" si="21"/>
        <v>0.02</v>
      </c>
      <c r="U39" s="82">
        <f t="shared" si="21"/>
        <v>2.0408163265306121E-2</v>
      </c>
      <c r="V39" s="82">
        <f t="shared" si="21"/>
        <v>2.0833333333333332E-2</v>
      </c>
      <c r="W39" s="82">
        <f t="shared" si="21"/>
        <v>2.1276595744680851E-2</v>
      </c>
      <c r="X39" s="82">
        <f t="shared" si="21"/>
        <v>2.1739130434782608E-2</v>
      </c>
      <c r="Y39" s="82">
        <f t="shared" si="21"/>
        <v>2.2222222222222223E-2</v>
      </c>
      <c r="Z39" s="82">
        <f t="shared" si="21"/>
        <v>2.2727272727272728E-2</v>
      </c>
      <c r="AA39" s="82">
        <f t="shared" si="21"/>
        <v>2.3255813953488372E-2</v>
      </c>
      <c r="AB39" s="82">
        <f t="shared" si="21"/>
        <v>2.3809523809523808E-2</v>
      </c>
      <c r="AC39" s="82">
        <f t="shared" si="21"/>
        <v>2.4390243902439025E-2</v>
      </c>
      <c r="AD39" s="82">
        <f t="shared" si="21"/>
        <v>2.5000000000000001E-2</v>
      </c>
      <c r="AE39" s="82">
        <f t="shared" si="21"/>
        <v>2.564102564102564E-2</v>
      </c>
      <c r="AF39" s="82">
        <f t="shared" si="21"/>
        <v>2.6315789473684209E-2</v>
      </c>
      <c r="AG39" s="82">
        <f t="shared" si="21"/>
        <v>2.7027027027027029E-2</v>
      </c>
      <c r="AH39" s="82">
        <f t="shared" si="21"/>
        <v>2.7777777777777776E-2</v>
      </c>
      <c r="AI39" s="82">
        <f t="shared" si="21"/>
        <v>2.8571428571428571E-2</v>
      </c>
      <c r="AJ39" s="82">
        <f t="shared" si="21"/>
        <v>2.9411764705882353E-2</v>
      </c>
      <c r="AK39" s="82">
        <f t="shared" si="21"/>
        <v>3.0303030303030304E-2</v>
      </c>
      <c r="AL39" s="82">
        <f t="shared" si="21"/>
        <v>3.125E-2</v>
      </c>
      <c r="AM39" s="82">
        <f t="shared" si="21"/>
        <v>3.2258064516129031E-2</v>
      </c>
      <c r="AN39" s="82">
        <f t="shared" si="21"/>
        <v>3.3333333333333333E-2</v>
      </c>
      <c r="AO39" s="82">
        <f t="shared" si="21"/>
        <v>3.4482758620689655E-2</v>
      </c>
      <c r="AP39" s="82">
        <f t="shared" si="21"/>
        <v>3.5714285714285712E-2</v>
      </c>
      <c r="AQ39" s="82">
        <f t="shared" si="21"/>
        <v>3.7037037037037035E-2</v>
      </c>
      <c r="AR39" s="82">
        <f t="shared" si="21"/>
        <v>3.8461538461538464E-2</v>
      </c>
      <c r="AS39" s="82">
        <f t="shared" si="21"/>
        <v>0.04</v>
      </c>
      <c r="AT39" s="82">
        <f t="shared" si="21"/>
        <v>4.1666666666666664E-2</v>
      </c>
      <c r="AU39" s="82">
        <f t="shared" si="21"/>
        <v>4.3478260869565216E-2</v>
      </c>
      <c r="AV39" s="82">
        <f t="shared" si="21"/>
        <v>4.5454545454545456E-2</v>
      </c>
      <c r="AW39" s="82">
        <f t="shared" si="21"/>
        <v>4.7619047619047616E-2</v>
      </c>
      <c r="AX39" s="82">
        <f t="shared" si="21"/>
        <v>0.05</v>
      </c>
      <c r="AY39" s="82">
        <f t="shared" si="21"/>
        <v>5.2631578947368418E-2</v>
      </c>
      <c r="AZ39" s="82">
        <f t="shared" si="21"/>
        <v>5.5555555555555552E-2</v>
      </c>
      <c r="BA39" s="82">
        <f t="shared" si="21"/>
        <v>5.8823529411764705E-2</v>
      </c>
      <c r="BB39" s="82">
        <f t="shared" si="21"/>
        <v>6.25E-2</v>
      </c>
      <c r="BC39" s="82">
        <f t="shared" si="21"/>
        <v>6.6666666666666666E-2</v>
      </c>
      <c r="BD39" s="82">
        <f t="shared" si="21"/>
        <v>7.1428571428571425E-2</v>
      </c>
      <c r="BE39" s="82">
        <f t="shared" si="21"/>
        <v>7.6923076923076927E-2</v>
      </c>
      <c r="BF39" s="82">
        <f t="shared" si="21"/>
        <v>8.3333333333333329E-2</v>
      </c>
      <c r="BG39" s="82">
        <f t="shared" si="21"/>
        <v>9.0909090909090912E-2</v>
      </c>
      <c r="BH39" s="82">
        <f t="shared" si="21"/>
        <v>0.1</v>
      </c>
      <c r="BI39" s="82">
        <f t="shared" si="21"/>
        <v>0.1111111111111111</v>
      </c>
      <c r="BJ39" s="82">
        <f t="shared" si="21"/>
        <v>0.125</v>
      </c>
      <c r="BK39" s="82">
        <f t="shared" si="21"/>
        <v>0.14285714285714285</v>
      </c>
      <c r="BL39" s="82">
        <f t="shared" si="21"/>
        <v>0.16666666666666666</v>
      </c>
      <c r="BM39" s="82">
        <f t="shared" si="21"/>
        <v>0.2</v>
      </c>
      <c r="BN39" s="82">
        <f t="shared" si="21"/>
        <v>0.25</v>
      </c>
      <c r="BO39" s="82">
        <f t="shared" si="21"/>
        <v>0.33333333333333331</v>
      </c>
      <c r="BP39" s="82">
        <f t="shared" si="21"/>
        <v>0.5</v>
      </c>
      <c r="BQ39" s="82">
        <f t="shared" si="21"/>
        <v>1</v>
      </c>
      <c r="BR39" s="82">
        <f t="shared" si="21"/>
        <v>0</v>
      </c>
      <c r="BS39" s="82">
        <f t="shared" si="21"/>
        <v>0</v>
      </c>
      <c r="BT39" s="82">
        <f t="shared" si="21"/>
        <v>0</v>
      </c>
      <c r="BU39" s="82">
        <f t="shared" si="21"/>
        <v>0</v>
      </c>
      <c r="BV39" s="82">
        <f t="shared" si="21"/>
        <v>0</v>
      </c>
      <c r="BW39" s="82">
        <f t="shared" si="21"/>
        <v>0</v>
      </c>
      <c r="BX39" s="82">
        <f t="shared" si="21"/>
        <v>0</v>
      </c>
      <c r="BY39" s="82">
        <f t="shared" si="21"/>
        <v>0</v>
      </c>
      <c r="BZ39" s="82">
        <f t="shared" si="21"/>
        <v>0</v>
      </c>
      <c r="CA39" s="82">
        <f t="shared" si="21"/>
        <v>0</v>
      </c>
      <c r="CB39" s="82">
        <f t="shared" ref="CB39:CQ39" si="22">IFERROR(CB35/CB37,0)</f>
        <v>0</v>
      </c>
      <c r="CC39" s="82">
        <f t="shared" si="22"/>
        <v>0</v>
      </c>
      <c r="CD39" s="82">
        <f t="shared" si="22"/>
        <v>0</v>
      </c>
      <c r="CE39" s="82">
        <f t="shared" si="22"/>
        <v>0</v>
      </c>
      <c r="CF39" s="82">
        <f t="shared" si="22"/>
        <v>0</v>
      </c>
      <c r="CG39" s="82">
        <f t="shared" si="22"/>
        <v>0</v>
      </c>
      <c r="CH39" s="82">
        <f t="shared" si="22"/>
        <v>0</v>
      </c>
      <c r="CI39" s="82">
        <f t="shared" si="22"/>
        <v>0</v>
      </c>
      <c r="CJ39" s="82">
        <f t="shared" si="22"/>
        <v>0</v>
      </c>
      <c r="CK39" s="82">
        <f t="shared" si="22"/>
        <v>0</v>
      </c>
      <c r="CL39" s="82">
        <f t="shared" si="22"/>
        <v>0</v>
      </c>
      <c r="CM39" s="82">
        <f t="shared" si="22"/>
        <v>0</v>
      </c>
      <c r="CN39" s="82">
        <f t="shared" si="22"/>
        <v>0</v>
      </c>
      <c r="CO39" s="82">
        <f t="shared" si="22"/>
        <v>0</v>
      </c>
      <c r="CP39" s="82">
        <f t="shared" si="22"/>
        <v>0</v>
      </c>
      <c r="CQ39" s="82">
        <f t="shared" si="22"/>
        <v>0</v>
      </c>
      <c r="CR39" s="82"/>
      <c r="CS39" s="82"/>
      <c r="CT39" s="82"/>
      <c r="CU39" s="82"/>
      <c r="CV39" s="82"/>
      <c r="CW39" s="82"/>
      <c r="CX39" s="82"/>
      <c r="CY39" s="82"/>
      <c r="CZ39" s="82"/>
      <c r="DA39" s="82"/>
      <c r="DB39" s="82"/>
      <c r="DC39" s="82"/>
      <c r="DD39" s="82"/>
    </row>
    <row r="40" spans="2:108" ht="12.75" customHeight="1" x14ac:dyDescent="0.25">
      <c r="H40" s="54"/>
      <c r="N40" s="19"/>
    </row>
    <row r="41" spans="2:108" ht="12.75" customHeight="1" x14ac:dyDescent="0.25">
      <c r="C41" s="184" t="s">
        <v>179</v>
      </c>
      <c r="H41" s="54" t="s">
        <v>3</v>
      </c>
      <c r="N41" s="19"/>
      <c r="O41" s="10"/>
      <c r="P41" s="10">
        <v>0</v>
      </c>
      <c r="Q41" s="10" t="e">
        <f t="shared" ref="Q41:CB41" si="23">P47</f>
        <v>#REF!</v>
      </c>
      <c r="R41" s="10" t="e">
        <f t="shared" si="23"/>
        <v>#REF!</v>
      </c>
      <c r="S41" s="10" t="e">
        <f t="shared" si="23"/>
        <v>#REF!</v>
      </c>
      <c r="T41" s="10" t="e">
        <f t="shared" si="23"/>
        <v>#REF!</v>
      </c>
      <c r="U41" s="10" t="e">
        <f t="shared" si="23"/>
        <v>#REF!</v>
      </c>
      <c r="V41" s="10" t="e">
        <f t="shared" si="23"/>
        <v>#REF!</v>
      </c>
      <c r="W41" s="10" t="e">
        <f t="shared" si="23"/>
        <v>#REF!</v>
      </c>
      <c r="X41" s="10" t="e">
        <f t="shared" si="23"/>
        <v>#REF!</v>
      </c>
      <c r="Y41" s="10" t="e">
        <f t="shared" si="23"/>
        <v>#REF!</v>
      </c>
      <c r="Z41" s="10" t="e">
        <f t="shared" si="23"/>
        <v>#REF!</v>
      </c>
      <c r="AA41" s="10" t="e">
        <f t="shared" si="23"/>
        <v>#REF!</v>
      </c>
      <c r="AB41" s="10" t="e">
        <f t="shared" si="23"/>
        <v>#REF!</v>
      </c>
      <c r="AC41" s="10" t="e">
        <f t="shared" si="23"/>
        <v>#REF!</v>
      </c>
      <c r="AD41" s="10" t="e">
        <f t="shared" si="23"/>
        <v>#REF!</v>
      </c>
      <c r="AE41" s="10" t="e">
        <f t="shared" si="23"/>
        <v>#REF!</v>
      </c>
      <c r="AF41" s="10" t="e">
        <f t="shared" si="23"/>
        <v>#REF!</v>
      </c>
      <c r="AG41" s="10" t="e">
        <f t="shared" si="23"/>
        <v>#REF!</v>
      </c>
      <c r="AH41" s="10" t="e">
        <f t="shared" si="23"/>
        <v>#REF!</v>
      </c>
      <c r="AI41" s="10" t="e">
        <f t="shared" si="23"/>
        <v>#REF!</v>
      </c>
      <c r="AJ41" s="10" t="e">
        <f t="shared" si="23"/>
        <v>#REF!</v>
      </c>
      <c r="AK41" s="10" t="e">
        <f t="shared" si="23"/>
        <v>#REF!</v>
      </c>
      <c r="AL41" s="10" t="e">
        <f t="shared" si="23"/>
        <v>#REF!</v>
      </c>
      <c r="AM41" s="10" t="e">
        <f t="shared" si="23"/>
        <v>#REF!</v>
      </c>
      <c r="AN41" s="10" t="e">
        <f t="shared" si="23"/>
        <v>#REF!</v>
      </c>
      <c r="AO41" s="10" t="e">
        <f t="shared" si="23"/>
        <v>#REF!</v>
      </c>
      <c r="AP41" s="10" t="e">
        <f t="shared" si="23"/>
        <v>#REF!</v>
      </c>
      <c r="AQ41" s="10" t="e">
        <f t="shared" si="23"/>
        <v>#REF!</v>
      </c>
      <c r="AR41" s="10" t="e">
        <f t="shared" si="23"/>
        <v>#REF!</v>
      </c>
      <c r="AS41" s="10" t="e">
        <f t="shared" si="23"/>
        <v>#REF!</v>
      </c>
      <c r="AT41" s="10" t="e">
        <f t="shared" si="23"/>
        <v>#REF!</v>
      </c>
      <c r="AU41" s="10" t="e">
        <f t="shared" si="23"/>
        <v>#REF!</v>
      </c>
      <c r="AV41" s="10" t="e">
        <f t="shared" si="23"/>
        <v>#REF!</v>
      </c>
      <c r="AW41" s="10" t="e">
        <f t="shared" si="23"/>
        <v>#REF!</v>
      </c>
      <c r="AX41" s="10" t="e">
        <f t="shared" si="23"/>
        <v>#REF!</v>
      </c>
      <c r="AY41" s="10" t="e">
        <f t="shared" si="23"/>
        <v>#REF!</v>
      </c>
      <c r="AZ41" s="10" t="e">
        <f t="shared" si="23"/>
        <v>#REF!</v>
      </c>
      <c r="BA41" s="10" t="e">
        <f t="shared" si="23"/>
        <v>#REF!</v>
      </c>
      <c r="BB41" s="10" t="e">
        <f t="shared" si="23"/>
        <v>#REF!</v>
      </c>
      <c r="BC41" s="10" t="e">
        <f t="shared" si="23"/>
        <v>#REF!</v>
      </c>
      <c r="BD41" s="10" t="e">
        <f t="shared" si="23"/>
        <v>#REF!</v>
      </c>
      <c r="BE41" s="10" t="e">
        <f t="shared" si="23"/>
        <v>#REF!</v>
      </c>
      <c r="BF41" s="10" t="e">
        <f t="shared" si="23"/>
        <v>#REF!</v>
      </c>
      <c r="BG41" s="10" t="e">
        <f t="shared" si="23"/>
        <v>#REF!</v>
      </c>
      <c r="BH41" s="10" t="e">
        <f t="shared" si="23"/>
        <v>#REF!</v>
      </c>
      <c r="BI41" s="10" t="e">
        <f t="shared" si="23"/>
        <v>#REF!</v>
      </c>
      <c r="BJ41" s="10" t="e">
        <f t="shared" si="23"/>
        <v>#REF!</v>
      </c>
      <c r="BK41" s="10" t="e">
        <f t="shared" si="23"/>
        <v>#REF!</v>
      </c>
      <c r="BL41" s="10" t="e">
        <f t="shared" si="23"/>
        <v>#REF!</v>
      </c>
      <c r="BM41" s="10" t="e">
        <f t="shared" si="23"/>
        <v>#REF!</v>
      </c>
      <c r="BN41" s="10" t="e">
        <f t="shared" si="23"/>
        <v>#REF!</v>
      </c>
      <c r="BO41" s="10" t="e">
        <f t="shared" si="23"/>
        <v>#REF!</v>
      </c>
      <c r="BP41" s="10" t="e">
        <f t="shared" si="23"/>
        <v>#REF!</v>
      </c>
      <c r="BQ41" s="10" t="e">
        <f t="shared" si="23"/>
        <v>#REF!</v>
      </c>
      <c r="BR41" s="10" t="e">
        <f t="shared" si="23"/>
        <v>#REF!</v>
      </c>
      <c r="BS41" s="10" t="e">
        <f t="shared" si="23"/>
        <v>#REF!</v>
      </c>
      <c r="BT41" s="10" t="e">
        <f t="shared" si="23"/>
        <v>#REF!</v>
      </c>
      <c r="BU41" s="10" t="e">
        <f t="shared" si="23"/>
        <v>#REF!</v>
      </c>
      <c r="BV41" s="10" t="e">
        <f t="shared" si="23"/>
        <v>#REF!</v>
      </c>
      <c r="BW41" s="10" t="e">
        <f t="shared" si="23"/>
        <v>#REF!</v>
      </c>
      <c r="BX41" s="10" t="e">
        <f t="shared" si="23"/>
        <v>#REF!</v>
      </c>
      <c r="BY41" s="10" t="e">
        <f t="shared" si="23"/>
        <v>#REF!</v>
      </c>
      <c r="BZ41" s="10" t="e">
        <f t="shared" si="23"/>
        <v>#REF!</v>
      </c>
      <c r="CA41" s="10" t="e">
        <f t="shared" si="23"/>
        <v>#REF!</v>
      </c>
      <c r="CB41" s="10" t="e">
        <f t="shared" si="23"/>
        <v>#REF!</v>
      </c>
      <c r="CC41" s="10" t="e">
        <f t="shared" ref="CC41:CQ41" si="24">CB47</f>
        <v>#REF!</v>
      </c>
      <c r="CD41" s="10" t="e">
        <f t="shared" si="24"/>
        <v>#REF!</v>
      </c>
      <c r="CE41" s="10" t="e">
        <f t="shared" si="24"/>
        <v>#REF!</v>
      </c>
      <c r="CF41" s="10" t="e">
        <f t="shared" si="24"/>
        <v>#REF!</v>
      </c>
      <c r="CG41" s="10" t="e">
        <f t="shared" si="24"/>
        <v>#REF!</v>
      </c>
      <c r="CH41" s="10" t="e">
        <f t="shared" si="24"/>
        <v>#REF!</v>
      </c>
      <c r="CI41" s="10" t="e">
        <f t="shared" si="24"/>
        <v>#REF!</v>
      </c>
      <c r="CJ41" s="10" t="e">
        <f t="shared" si="24"/>
        <v>#REF!</v>
      </c>
      <c r="CK41" s="10" t="e">
        <f t="shared" si="24"/>
        <v>#REF!</v>
      </c>
      <c r="CL41" s="10" t="e">
        <f t="shared" si="24"/>
        <v>#REF!</v>
      </c>
      <c r="CM41" s="10" t="e">
        <f t="shared" si="24"/>
        <v>#REF!</v>
      </c>
      <c r="CN41" s="10" t="e">
        <f t="shared" si="24"/>
        <v>#REF!</v>
      </c>
      <c r="CO41" s="10" t="e">
        <f t="shared" si="24"/>
        <v>#REF!</v>
      </c>
      <c r="CP41" s="10" t="e">
        <f t="shared" si="24"/>
        <v>#REF!</v>
      </c>
      <c r="CQ41" s="10" t="e">
        <f t="shared" si="24"/>
        <v>#REF!</v>
      </c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</row>
    <row r="42" spans="2:108" ht="12.75" customHeight="1" x14ac:dyDescent="0.25">
      <c r="C42" s="17" t="s">
        <v>34</v>
      </c>
      <c r="D42" t="s">
        <v>281</v>
      </c>
      <c r="H42" s="54" t="s">
        <v>3</v>
      </c>
      <c r="N42" s="25" t="e">
        <f>SUM(P42:DD42)</f>
        <v>#REF!</v>
      </c>
      <c r="O42" s="168"/>
      <c r="P42" s="168" t="e">
        <f>Financing!P15</f>
        <v>#REF!</v>
      </c>
      <c r="Q42" s="168" t="e">
        <f>Financing!Q15</f>
        <v>#REF!</v>
      </c>
      <c r="R42" s="168" t="e">
        <f>Financing!R15</f>
        <v>#REF!</v>
      </c>
      <c r="S42" s="168" t="e">
        <f>Financing!S15</f>
        <v>#REF!</v>
      </c>
      <c r="T42" s="168" t="e">
        <f>Financing!T15</f>
        <v>#REF!</v>
      </c>
      <c r="U42" s="168" t="e">
        <f>Financing!U15</f>
        <v>#REF!</v>
      </c>
      <c r="V42" s="168" t="e">
        <f>Financing!V15</f>
        <v>#REF!</v>
      </c>
      <c r="W42" s="168" t="e">
        <f>Financing!W15</f>
        <v>#REF!</v>
      </c>
      <c r="X42" s="168" t="e">
        <f>Financing!X15</f>
        <v>#REF!</v>
      </c>
      <c r="Y42" s="168" t="e">
        <f>Financing!Y15</f>
        <v>#REF!</v>
      </c>
      <c r="Z42" s="168" t="e">
        <f>Financing!Z15</f>
        <v>#REF!</v>
      </c>
      <c r="AA42" s="168" t="e">
        <f>Financing!AA15</f>
        <v>#REF!</v>
      </c>
      <c r="AB42" s="168" t="e">
        <f>Financing!AB15</f>
        <v>#REF!</v>
      </c>
      <c r="AC42" s="168" t="e">
        <f>Financing!AC15</f>
        <v>#REF!</v>
      </c>
      <c r="AD42" s="168" t="e">
        <f>Financing!AD15</f>
        <v>#REF!</v>
      </c>
      <c r="AE42" s="168" t="e">
        <f>Financing!AE15</f>
        <v>#REF!</v>
      </c>
      <c r="AF42" s="168" t="e">
        <f>Financing!AF15</f>
        <v>#REF!</v>
      </c>
      <c r="AG42" s="168" t="e">
        <f>Financing!AG15</f>
        <v>#REF!</v>
      </c>
      <c r="AH42" s="168" t="e">
        <f>Financing!AH15</f>
        <v>#REF!</v>
      </c>
      <c r="AI42" s="168" t="e">
        <f>Financing!AI15</f>
        <v>#REF!</v>
      </c>
      <c r="AJ42" s="168" t="e">
        <f>Financing!AJ15</f>
        <v>#REF!</v>
      </c>
      <c r="AK42" s="168" t="e">
        <f>Financing!AK15</f>
        <v>#REF!</v>
      </c>
      <c r="AL42" s="168" t="e">
        <f>Financing!AL15</f>
        <v>#REF!</v>
      </c>
      <c r="AM42" s="168" t="e">
        <f>Financing!AM15</f>
        <v>#REF!</v>
      </c>
      <c r="AN42" s="168" t="e">
        <f>Financing!AN15</f>
        <v>#REF!</v>
      </c>
      <c r="AO42" s="168" t="e">
        <f>Financing!AO15</f>
        <v>#REF!</v>
      </c>
      <c r="AP42" s="168" t="e">
        <f>Financing!AP15</f>
        <v>#REF!</v>
      </c>
      <c r="AQ42" s="168" t="e">
        <f>Financing!AQ15</f>
        <v>#REF!</v>
      </c>
      <c r="AR42" s="168" t="e">
        <f>Financing!AR15</f>
        <v>#REF!</v>
      </c>
      <c r="AS42" s="168" t="e">
        <f>Financing!AS15</f>
        <v>#REF!</v>
      </c>
      <c r="AT42" s="168" t="e">
        <f>Financing!AT15</f>
        <v>#REF!</v>
      </c>
      <c r="AU42" s="168" t="e">
        <f>Financing!AU15</f>
        <v>#REF!</v>
      </c>
      <c r="AV42" s="168" t="e">
        <f>Financing!AV15</f>
        <v>#REF!</v>
      </c>
      <c r="AW42" s="168" t="e">
        <f>Financing!AW15</f>
        <v>#REF!</v>
      </c>
      <c r="AX42" s="168" t="e">
        <f>Financing!AX15</f>
        <v>#REF!</v>
      </c>
      <c r="AY42" s="168" t="e">
        <f>Financing!AY15</f>
        <v>#REF!</v>
      </c>
      <c r="AZ42" s="168" t="e">
        <f>Financing!AZ15</f>
        <v>#REF!</v>
      </c>
      <c r="BA42" s="168" t="e">
        <f>Financing!BA15</f>
        <v>#REF!</v>
      </c>
      <c r="BB42" s="168" t="e">
        <f>Financing!BB15</f>
        <v>#REF!</v>
      </c>
      <c r="BC42" s="168" t="e">
        <f>Financing!BC15</f>
        <v>#REF!</v>
      </c>
      <c r="BD42" s="168" t="e">
        <f>Financing!BD15</f>
        <v>#REF!</v>
      </c>
      <c r="BE42" s="168" t="e">
        <f>Financing!BE15</f>
        <v>#REF!</v>
      </c>
      <c r="BF42" s="168" t="e">
        <f>Financing!BF15</f>
        <v>#REF!</v>
      </c>
      <c r="BG42" s="168" t="e">
        <f>Financing!BG15</f>
        <v>#REF!</v>
      </c>
      <c r="BH42" s="168" t="e">
        <f>Financing!BH15</f>
        <v>#REF!</v>
      </c>
      <c r="BI42" s="168" t="e">
        <f>Financing!BI15</f>
        <v>#REF!</v>
      </c>
      <c r="BJ42" s="168" t="e">
        <f>Financing!BJ15</f>
        <v>#REF!</v>
      </c>
      <c r="BK42" s="168" t="e">
        <f>Financing!BK15</f>
        <v>#REF!</v>
      </c>
      <c r="BL42" s="168" t="e">
        <f>Financing!BL15</f>
        <v>#REF!</v>
      </c>
      <c r="BM42" s="168" t="e">
        <f>Financing!BM15</f>
        <v>#REF!</v>
      </c>
      <c r="BN42" s="168" t="e">
        <f>Financing!BN15</f>
        <v>#REF!</v>
      </c>
      <c r="BO42" s="168" t="e">
        <f>Financing!BO15</f>
        <v>#REF!</v>
      </c>
      <c r="BP42" s="168" t="e">
        <f>Financing!BP15</f>
        <v>#REF!</v>
      </c>
      <c r="BQ42" s="168" t="e">
        <f>Financing!BQ15</f>
        <v>#REF!</v>
      </c>
      <c r="BR42" s="168" t="e">
        <f>Financing!BR15</f>
        <v>#REF!</v>
      </c>
      <c r="BS42" s="168" t="e">
        <f>Financing!BS15</f>
        <v>#REF!</v>
      </c>
      <c r="BT42" s="168" t="e">
        <f>Financing!BT15</f>
        <v>#REF!</v>
      </c>
      <c r="BU42" s="168" t="e">
        <f>Financing!BU15</f>
        <v>#REF!</v>
      </c>
      <c r="BV42" s="168" t="e">
        <f>Financing!BV15</f>
        <v>#REF!</v>
      </c>
      <c r="BW42" s="168" t="e">
        <f>Financing!BW15</f>
        <v>#REF!</v>
      </c>
      <c r="BX42" s="168" t="e">
        <f>Financing!BX15</f>
        <v>#REF!</v>
      </c>
      <c r="BY42" s="168" t="e">
        <f>Financing!BY15</f>
        <v>#REF!</v>
      </c>
      <c r="BZ42" s="168" t="e">
        <f>Financing!BZ15</f>
        <v>#REF!</v>
      </c>
      <c r="CA42" s="168" t="e">
        <f>Financing!CA15</f>
        <v>#REF!</v>
      </c>
      <c r="CB42" s="168" t="e">
        <f>Financing!CB15</f>
        <v>#REF!</v>
      </c>
      <c r="CC42" s="168" t="e">
        <f>Financing!CC15</f>
        <v>#REF!</v>
      </c>
      <c r="CD42" s="168" t="e">
        <f>Financing!CD15</f>
        <v>#REF!</v>
      </c>
      <c r="CE42" s="168" t="e">
        <f>Financing!CE15</f>
        <v>#REF!</v>
      </c>
      <c r="CF42" s="168" t="e">
        <f>Financing!CF15</f>
        <v>#REF!</v>
      </c>
      <c r="CG42" s="168" t="e">
        <f>Financing!CG15</f>
        <v>#REF!</v>
      </c>
      <c r="CH42" s="168" t="e">
        <f>Financing!CH15</f>
        <v>#REF!</v>
      </c>
      <c r="CI42" s="168" t="e">
        <f>Financing!CI15</f>
        <v>#REF!</v>
      </c>
      <c r="CJ42" s="168" t="e">
        <f>Financing!CJ15</f>
        <v>#REF!</v>
      </c>
      <c r="CK42" s="168" t="e">
        <f>Financing!CK15</f>
        <v>#REF!</v>
      </c>
      <c r="CL42" s="168" t="e">
        <f>Financing!CL15</f>
        <v>#REF!</v>
      </c>
      <c r="CM42" s="168" t="e">
        <f>Financing!CM15</f>
        <v>#REF!</v>
      </c>
      <c r="CN42" s="168" t="e">
        <f>Financing!CN15</f>
        <v>#REF!</v>
      </c>
      <c r="CO42" s="168" t="e">
        <f>Financing!CO15</f>
        <v>#REF!</v>
      </c>
      <c r="CP42" s="168" t="e">
        <f>Financing!CP15</f>
        <v>#REF!</v>
      </c>
      <c r="CQ42" s="168" t="e">
        <f>Financing!CQ15</f>
        <v>#REF!</v>
      </c>
      <c r="CR42" s="168"/>
      <c r="CS42" s="168"/>
      <c r="CT42" s="168"/>
      <c r="CU42" s="168"/>
      <c r="CV42" s="168"/>
      <c r="CW42" s="168"/>
      <c r="CX42" s="168"/>
      <c r="CY42" s="168"/>
      <c r="CZ42" s="168"/>
      <c r="DA42" s="168"/>
      <c r="DB42" s="168"/>
      <c r="DC42" s="168"/>
      <c r="DD42" s="168"/>
    </row>
    <row r="43" spans="2:108" ht="12.75" customHeight="1" x14ac:dyDescent="0.25">
      <c r="C43" s="17" t="s">
        <v>34</v>
      </c>
      <c r="D43" t="s">
        <v>282</v>
      </c>
      <c r="H43" s="54" t="s">
        <v>3</v>
      </c>
      <c r="N43" s="25">
        <f>SUM(P43:DD43)</f>
        <v>500</v>
      </c>
      <c r="O43" s="10"/>
      <c r="P43" s="168">
        <f>Financing!P16</f>
        <v>300</v>
      </c>
      <c r="Q43" s="168">
        <f>Financing!Q16</f>
        <v>100</v>
      </c>
      <c r="R43" s="168">
        <f>Financing!R16</f>
        <v>100</v>
      </c>
      <c r="S43" s="168">
        <f>Financing!S16</f>
        <v>0</v>
      </c>
      <c r="T43" s="168">
        <f>Financing!T16</f>
        <v>0</v>
      </c>
      <c r="U43" s="168">
        <f>Financing!U16</f>
        <v>0</v>
      </c>
      <c r="V43" s="168">
        <f>Financing!V16</f>
        <v>0</v>
      </c>
      <c r="W43" s="168">
        <f>Financing!W16</f>
        <v>0</v>
      </c>
      <c r="X43" s="168">
        <f>Financing!X16</f>
        <v>0</v>
      </c>
      <c r="Y43" s="168">
        <f>Financing!Y16</f>
        <v>0</v>
      </c>
      <c r="Z43" s="168">
        <f>Financing!Z16</f>
        <v>0</v>
      </c>
      <c r="AA43" s="168">
        <f>Financing!AA16</f>
        <v>0</v>
      </c>
      <c r="AB43" s="168">
        <f>Financing!AB16</f>
        <v>0</v>
      </c>
      <c r="AC43" s="168">
        <f>Financing!AC16</f>
        <v>0</v>
      </c>
      <c r="AD43" s="168">
        <f>Financing!AD16</f>
        <v>0</v>
      </c>
      <c r="AE43" s="168">
        <f>Financing!AE16</f>
        <v>0</v>
      </c>
      <c r="AF43" s="168">
        <f>Financing!AF16</f>
        <v>0</v>
      </c>
      <c r="AG43" s="168">
        <f>Financing!AG16</f>
        <v>0</v>
      </c>
      <c r="AH43" s="168">
        <f>Financing!AH16</f>
        <v>0</v>
      </c>
      <c r="AI43" s="168">
        <f>Financing!AI16</f>
        <v>0</v>
      </c>
      <c r="AJ43" s="168">
        <f>Financing!AJ16</f>
        <v>0</v>
      </c>
      <c r="AK43" s="168">
        <f>Financing!AK16</f>
        <v>0</v>
      </c>
      <c r="AL43" s="168">
        <f>Financing!AL16</f>
        <v>0</v>
      </c>
      <c r="AM43" s="168">
        <f>Financing!AM16</f>
        <v>0</v>
      </c>
      <c r="AN43" s="168">
        <f>Financing!AN16</f>
        <v>0</v>
      </c>
      <c r="AO43" s="168">
        <f>Financing!AO16</f>
        <v>0</v>
      </c>
      <c r="AP43" s="168">
        <f>Financing!AP16</f>
        <v>0</v>
      </c>
      <c r="AQ43" s="168">
        <f>Financing!AQ16</f>
        <v>0</v>
      </c>
      <c r="AR43" s="168">
        <f>Financing!AR16</f>
        <v>0</v>
      </c>
      <c r="AS43" s="168">
        <f>Financing!AS16</f>
        <v>0</v>
      </c>
      <c r="AT43" s="168">
        <f>Financing!AT16</f>
        <v>0</v>
      </c>
      <c r="AU43" s="168">
        <f>Financing!AU16</f>
        <v>0</v>
      </c>
      <c r="AV43" s="168">
        <f>Financing!AV16</f>
        <v>0</v>
      </c>
      <c r="AW43" s="168">
        <f>Financing!AW16</f>
        <v>0</v>
      </c>
      <c r="AX43" s="168">
        <f>Financing!AX16</f>
        <v>0</v>
      </c>
      <c r="AY43" s="168">
        <f>Financing!AY16</f>
        <v>0</v>
      </c>
      <c r="AZ43" s="168">
        <f>Financing!AZ16</f>
        <v>0</v>
      </c>
      <c r="BA43" s="168">
        <f>Financing!BA16</f>
        <v>0</v>
      </c>
      <c r="BB43" s="168">
        <f>Financing!BB16</f>
        <v>0</v>
      </c>
      <c r="BC43" s="168">
        <f>Financing!BC16</f>
        <v>0</v>
      </c>
      <c r="BD43" s="168">
        <f>Financing!BD16</f>
        <v>0</v>
      </c>
      <c r="BE43" s="168">
        <f>Financing!BE16</f>
        <v>0</v>
      </c>
      <c r="BF43" s="168">
        <f>Financing!BF16</f>
        <v>0</v>
      </c>
      <c r="BG43" s="168">
        <f>Financing!BG16</f>
        <v>0</v>
      </c>
      <c r="BH43" s="168">
        <f>Financing!BH16</f>
        <v>0</v>
      </c>
      <c r="BI43" s="168">
        <f>Financing!BI16</f>
        <v>0</v>
      </c>
      <c r="BJ43" s="168">
        <f>Financing!BJ16</f>
        <v>0</v>
      </c>
      <c r="BK43" s="168">
        <f>Financing!BK16</f>
        <v>0</v>
      </c>
      <c r="BL43" s="168">
        <f>Financing!BL16</f>
        <v>0</v>
      </c>
      <c r="BM43" s="168">
        <f>Financing!BM16</f>
        <v>0</v>
      </c>
      <c r="BN43" s="168">
        <f>Financing!BN16</f>
        <v>0</v>
      </c>
      <c r="BO43" s="168">
        <f>Financing!BO16</f>
        <v>0</v>
      </c>
      <c r="BP43" s="168">
        <f>Financing!BP16</f>
        <v>0</v>
      </c>
      <c r="BQ43" s="168">
        <f>Financing!BQ16</f>
        <v>0</v>
      </c>
      <c r="BR43" s="168">
        <f>Financing!BR16</f>
        <v>0</v>
      </c>
      <c r="BS43" s="168">
        <f>Financing!BS16</f>
        <v>0</v>
      </c>
      <c r="BT43" s="168">
        <f>Financing!BT16</f>
        <v>0</v>
      </c>
      <c r="BU43" s="168">
        <f>Financing!BU16</f>
        <v>0</v>
      </c>
      <c r="BV43" s="168">
        <f>Financing!BV16</f>
        <v>0</v>
      </c>
      <c r="BW43" s="168">
        <f>Financing!BW16</f>
        <v>0</v>
      </c>
      <c r="BX43" s="168">
        <f>Financing!BX16</f>
        <v>0</v>
      </c>
      <c r="BY43" s="168">
        <f>Financing!BY16</f>
        <v>0</v>
      </c>
      <c r="BZ43" s="168">
        <f>Financing!BZ16</f>
        <v>0</v>
      </c>
      <c r="CA43" s="168">
        <f>Financing!CA16</f>
        <v>0</v>
      </c>
      <c r="CB43" s="168">
        <f>Financing!CB16</f>
        <v>0</v>
      </c>
      <c r="CC43" s="168">
        <f>Financing!CC16</f>
        <v>0</v>
      </c>
      <c r="CD43" s="168">
        <f>Financing!CD16</f>
        <v>0</v>
      </c>
      <c r="CE43" s="168">
        <f>Financing!CE16</f>
        <v>0</v>
      </c>
      <c r="CF43" s="168">
        <f>Financing!CF16</f>
        <v>0</v>
      </c>
      <c r="CG43" s="168">
        <f>Financing!CG16</f>
        <v>0</v>
      </c>
      <c r="CH43" s="168">
        <f>Financing!CH16</f>
        <v>0</v>
      </c>
      <c r="CI43" s="168">
        <f>Financing!CI16</f>
        <v>0</v>
      </c>
      <c r="CJ43" s="168">
        <f>Financing!CJ16</f>
        <v>0</v>
      </c>
      <c r="CK43" s="168">
        <f>Financing!CK16</f>
        <v>0</v>
      </c>
      <c r="CL43" s="168">
        <f>Financing!CL16</f>
        <v>0</v>
      </c>
      <c r="CM43" s="168">
        <f>Financing!CM16</f>
        <v>0</v>
      </c>
      <c r="CN43" s="168">
        <f>Financing!CN16</f>
        <v>0</v>
      </c>
      <c r="CO43" s="168">
        <f>Financing!CO16</f>
        <v>0</v>
      </c>
      <c r="CP43" s="168">
        <f>Financing!CP16</f>
        <v>0</v>
      </c>
      <c r="CQ43" s="168">
        <f>Financing!CQ16</f>
        <v>0</v>
      </c>
      <c r="CR43" s="168"/>
      <c r="CS43" s="168"/>
      <c r="CT43" s="168"/>
      <c r="CU43" s="168"/>
      <c r="CV43" s="168"/>
      <c r="CW43" s="168"/>
      <c r="CX43" s="168"/>
      <c r="CY43" s="168"/>
      <c r="CZ43" s="168"/>
      <c r="DA43" s="168"/>
      <c r="DB43" s="168"/>
      <c r="DC43" s="168"/>
      <c r="DD43" s="168"/>
    </row>
    <row r="44" spans="2:108" ht="12.75" customHeight="1" x14ac:dyDescent="0.25">
      <c r="C44" s="17" t="s">
        <v>34</v>
      </c>
      <c r="D44" t="s">
        <v>283</v>
      </c>
      <c r="H44" s="54" t="s">
        <v>3</v>
      </c>
      <c r="N44" s="25">
        <f>SUM(P44:DD44)</f>
        <v>333</v>
      </c>
      <c r="O44" s="10"/>
      <c r="P44" s="168">
        <f>Financing!P17</f>
        <v>111</v>
      </c>
      <c r="Q44" s="168">
        <f>Financing!Q17</f>
        <v>111</v>
      </c>
      <c r="R44" s="168">
        <f>Financing!R17</f>
        <v>111</v>
      </c>
      <c r="S44" s="168">
        <f>Financing!S17</f>
        <v>0</v>
      </c>
      <c r="T44" s="168">
        <f>Financing!T17</f>
        <v>0</v>
      </c>
      <c r="U44" s="168">
        <f>Financing!U17</f>
        <v>0</v>
      </c>
      <c r="V44" s="168">
        <f>Financing!V17</f>
        <v>0</v>
      </c>
      <c r="W44" s="168">
        <f>Financing!W17</f>
        <v>0</v>
      </c>
      <c r="X44" s="168">
        <f>Financing!X17</f>
        <v>0</v>
      </c>
      <c r="Y44" s="168">
        <f>Financing!Y17</f>
        <v>0</v>
      </c>
      <c r="Z44" s="168">
        <f>Financing!Z17</f>
        <v>0</v>
      </c>
      <c r="AA44" s="168">
        <f>Financing!AA17</f>
        <v>0</v>
      </c>
      <c r="AB44" s="168">
        <f>Financing!AB17</f>
        <v>0</v>
      </c>
      <c r="AC44" s="168">
        <f>Financing!AC17</f>
        <v>0</v>
      </c>
      <c r="AD44" s="168">
        <f>Financing!AD17</f>
        <v>0</v>
      </c>
      <c r="AE44" s="168">
        <f>Financing!AE17</f>
        <v>0</v>
      </c>
      <c r="AF44" s="168">
        <f>Financing!AF17</f>
        <v>0</v>
      </c>
      <c r="AG44" s="168">
        <f>Financing!AG17</f>
        <v>0</v>
      </c>
      <c r="AH44" s="168">
        <f>Financing!AH17</f>
        <v>0</v>
      </c>
      <c r="AI44" s="168">
        <f>Financing!AI17</f>
        <v>0</v>
      </c>
      <c r="AJ44" s="168">
        <f>Financing!AJ17</f>
        <v>0</v>
      </c>
      <c r="AK44" s="168">
        <f>Financing!AK17</f>
        <v>0</v>
      </c>
      <c r="AL44" s="168">
        <f>Financing!AL17</f>
        <v>0</v>
      </c>
      <c r="AM44" s="168">
        <f>Financing!AM17</f>
        <v>0</v>
      </c>
      <c r="AN44" s="168">
        <f>Financing!AN17</f>
        <v>0</v>
      </c>
      <c r="AO44" s="168">
        <f>Financing!AO17</f>
        <v>0</v>
      </c>
      <c r="AP44" s="168">
        <f>Financing!AP17</f>
        <v>0</v>
      </c>
      <c r="AQ44" s="168">
        <f>Financing!AQ17</f>
        <v>0</v>
      </c>
      <c r="AR44" s="168">
        <f>Financing!AR17</f>
        <v>0</v>
      </c>
      <c r="AS44" s="168">
        <f>Financing!AS17</f>
        <v>0</v>
      </c>
      <c r="AT44" s="168">
        <f>Financing!AT17</f>
        <v>0</v>
      </c>
      <c r="AU44" s="168">
        <f>Financing!AU17</f>
        <v>0</v>
      </c>
      <c r="AV44" s="168">
        <f>Financing!AV17</f>
        <v>0</v>
      </c>
      <c r="AW44" s="168">
        <f>Financing!AW17</f>
        <v>0</v>
      </c>
      <c r="AX44" s="168">
        <f>Financing!AX17</f>
        <v>0</v>
      </c>
      <c r="AY44" s="168">
        <f>Financing!AY17</f>
        <v>0</v>
      </c>
      <c r="AZ44" s="168">
        <f>Financing!AZ17</f>
        <v>0</v>
      </c>
      <c r="BA44" s="168">
        <f>Financing!BA17</f>
        <v>0</v>
      </c>
      <c r="BB44" s="168">
        <f>Financing!BB17</f>
        <v>0</v>
      </c>
      <c r="BC44" s="168">
        <f>Financing!BC17</f>
        <v>0</v>
      </c>
      <c r="BD44" s="168">
        <f>Financing!BD17</f>
        <v>0</v>
      </c>
      <c r="BE44" s="168">
        <f>Financing!BE17</f>
        <v>0</v>
      </c>
      <c r="BF44" s="168">
        <f>Financing!BF17</f>
        <v>0</v>
      </c>
      <c r="BG44" s="168">
        <f>Financing!BG17</f>
        <v>0</v>
      </c>
      <c r="BH44" s="168">
        <f>Financing!BH17</f>
        <v>0</v>
      </c>
      <c r="BI44" s="168">
        <f>Financing!BI17</f>
        <v>0</v>
      </c>
      <c r="BJ44" s="168">
        <f>Financing!BJ17</f>
        <v>0</v>
      </c>
      <c r="BK44" s="168">
        <f>Financing!BK17</f>
        <v>0</v>
      </c>
      <c r="BL44" s="168">
        <f>Financing!BL17</f>
        <v>0</v>
      </c>
      <c r="BM44" s="168">
        <f>Financing!BM17</f>
        <v>0</v>
      </c>
      <c r="BN44" s="168">
        <f>Financing!BN17</f>
        <v>0</v>
      </c>
      <c r="BO44" s="168">
        <f>Financing!BO17</f>
        <v>0</v>
      </c>
      <c r="BP44" s="168">
        <f>Financing!BP17</f>
        <v>0</v>
      </c>
      <c r="BQ44" s="168">
        <f>Financing!BQ17</f>
        <v>0</v>
      </c>
      <c r="BR44" s="168">
        <f>Financing!BR17</f>
        <v>0</v>
      </c>
      <c r="BS44" s="168">
        <f>Financing!BS17</f>
        <v>0</v>
      </c>
      <c r="BT44" s="168">
        <f>Financing!BT17</f>
        <v>0</v>
      </c>
      <c r="BU44" s="168">
        <f>Financing!BU17</f>
        <v>0</v>
      </c>
      <c r="BV44" s="168">
        <f>Financing!BV17</f>
        <v>0</v>
      </c>
      <c r="BW44" s="168">
        <f>Financing!BW17</f>
        <v>0</v>
      </c>
      <c r="BX44" s="168">
        <f>Financing!BX17</f>
        <v>0</v>
      </c>
      <c r="BY44" s="168">
        <f>Financing!BY17</f>
        <v>0</v>
      </c>
      <c r="BZ44" s="168">
        <f>Financing!BZ17</f>
        <v>0</v>
      </c>
      <c r="CA44" s="168">
        <f>Financing!CA17</f>
        <v>0</v>
      </c>
      <c r="CB44" s="168">
        <f>Financing!CB17</f>
        <v>0</v>
      </c>
      <c r="CC44" s="168">
        <f>Financing!CC17</f>
        <v>0</v>
      </c>
      <c r="CD44" s="168">
        <f>Financing!CD17</f>
        <v>0</v>
      </c>
      <c r="CE44" s="168">
        <f>Financing!CE17</f>
        <v>0</v>
      </c>
      <c r="CF44" s="168">
        <f>Financing!CF17</f>
        <v>0</v>
      </c>
      <c r="CG44" s="168">
        <f>Financing!CG17</f>
        <v>0</v>
      </c>
      <c r="CH44" s="168">
        <f>Financing!CH17</f>
        <v>0</v>
      </c>
      <c r="CI44" s="168">
        <f>Financing!CI17</f>
        <v>0</v>
      </c>
      <c r="CJ44" s="168">
        <f>Financing!CJ17</f>
        <v>0</v>
      </c>
      <c r="CK44" s="168">
        <f>Financing!CK17</f>
        <v>0</v>
      </c>
      <c r="CL44" s="168">
        <f>Financing!CL17</f>
        <v>0</v>
      </c>
      <c r="CM44" s="168">
        <f>Financing!CM17</f>
        <v>0</v>
      </c>
      <c r="CN44" s="168">
        <f>Financing!CN17</f>
        <v>0</v>
      </c>
      <c r="CO44" s="168">
        <f>Financing!CO17</f>
        <v>0</v>
      </c>
      <c r="CP44" s="168">
        <f>Financing!CP17</f>
        <v>0</v>
      </c>
      <c r="CQ44" s="168">
        <f>Financing!CQ17</f>
        <v>0</v>
      </c>
      <c r="CR44" s="168"/>
      <c r="CS44" s="168"/>
      <c r="CT44" s="168"/>
      <c r="CU44" s="168"/>
      <c r="CV44" s="168"/>
      <c r="CW44" s="168"/>
      <c r="CX44" s="168"/>
      <c r="CY44" s="168"/>
      <c r="CZ44" s="168"/>
      <c r="DA44" s="168"/>
      <c r="DB44" s="168"/>
      <c r="DC44" s="168"/>
      <c r="DD44" s="168"/>
    </row>
    <row r="45" spans="2:108" ht="12.75" customHeight="1" x14ac:dyDescent="0.25">
      <c r="C45" s="17" t="s">
        <v>34</v>
      </c>
      <c r="D45" t="s">
        <v>284</v>
      </c>
      <c r="H45" s="54" t="s">
        <v>3</v>
      </c>
      <c r="J45" s="38" t="s">
        <v>297</v>
      </c>
      <c r="N45" s="25" t="e">
        <f>SUM(P45:DD45)</f>
        <v>#REF!</v>
      </c>
      <c r="O45" s="10"/>
      <c r="P45" s="10" t="e">
        <f>CAPEX!P38</f>
        <v>#REF!</v>
      </c>
      <c r="Q45" s="10" t="e">
        <f>CAPEX!Q38</f>
        <v>#REF!</v>
      </c>
      <c r="R45" s="10" t="e">
        <f>CAPEX!R38</f>
        <v>#REF!</v>
      </c>
      <c r="S45" s="10" t="e">
        <f>CAPEX!S38</f>
        <v>#REF!</v>
      </c>
      <c r="T45" s="10" t="e">
        <f>CAPEX!T38</f>
        <v>#REF!</v>
      </c>
      <c r="U45" s="10" t="e">
        <f>CAPEX!U38</f>
        <v>#REF!</v>
      </c>
      <c r="V45" s="10" t="e">
        <f>CAPEX!V38</f>
        <v>#REF!</v>
      </c>
      <c r="W45" s="10" t="e">
        <f>CAPEX!W38</f>
        <v>#REF!</v>
      </c>
      <c r="X45" s="10" t="e">
        <f>CAPEX!X38</f>
        <v>#REF!</v>
      </c>
      <c r="Y45" s="10" t="e">
        <f>CAPEX!Y38</f>
        <v>#REF!</v>
      </c>
      <c r="Z45" s="10" t="e">
        <f>CAPEX!Z38</f>
        <v>#REF!</v>
      </c>
      <c r="AA45" s="10" t="e">
        <f>CAPEX!AA38</f>
        <v>#REF!</v>
      </c>
      <c r="AB45" s="10" t="e">
        <f>CAPEX!AB38</f>
        <v>#REF!</v>
      </c>
      <c r="AC45" s="10" t="e">
        <f>CAPEX!AC38</f>
        <v>#REF!</v>
      </c>
      <c r="AD45" s="10" t="e">
        <f>CAPEX!AD38</f>
        <v>#REF!</v>
      </c>
      <c r="AE45" s="10" t="e">
        <f>CAPEX!AE38</f>
        <v>#REF!</v>
      </c>
      <c r="AF45" s="10" t="e">
        <f>CAPEX!AF38</f>
        <v>#REF!</v>
      </c>
      <c r="AG45" s="10" t="e">
        <f>CAPEX!AG38</f>
        <v>#REF!</v>
      </c>
      <c r="AH45" s="10" t="e">
        <f>CAPEX!AH38</f>
        <v>#REF!</v>
      </c>
      <c r="AI45" s="10" t="e">
        <f>CAPEX!AI38</f>
        <v>#REF!</v>
      </c>
      <c r="AJ45" s="10" t="e">
        <f>CAPEX!AJ38</f>
        <v>#REF!</v>
      </c>
      <c r="AK45" s="10" t="e">
        <f>CAPEX!AK38</f>
        <v>#REF!</v>
      </c>
      <c r="AL45" s="10" t="e">
        <f>CAPEX!AL38</f>
        <v>#REF!</v>
      </c>
      <c r="AM45" s="10" t="e">
        <f>CAPEX!AM38</f>
        <v>#REF!</v>
      </c>
      <c r="AN45" s="10" t="e">
        <f>CAPEX!AN38</f>
        <v>#REF!</v>
      </c>
      <c r="AO45" s="10" t="e">
        <f>CAPEX!AO38</f>
        <v>#REF!</v>
      </c>
      <c r="AP45" s="10" t="e">
        <f>CAPEX!AP38</f>
        <v>#REF!</v>
      </c>
      <c r="AQ45" s="10" t="e">
        <f>CAPEX!AQ38</f>
        <v>#REF!</v>
      </c>
      <c r="AR45" s="10" t="e">
        <f>CAPEX!AR38</f>
        <v>#REF!</v>
      </c>
      <c r="AS45" s="10" t="e">
        <f>CAPEX!AS38</f>
        <v>#REF!</v>
      </c>
      <c r="AT45" s="10" t="e">
        <f>CAPEX!AT38</f>
        <v>#REF!</v>
      </c>
      <c r="AU45" s="10" t="e">
        <f>CAPEX!AU38</f>
        <v>#REF!</v>
      </c>
      <c r="AV45" s="10" t="e">
        <f>CAPEX!AV38</f>
        <v>#REF!</v>
      </c>
      <c r="AW45" s="10" t="e">
        <f>CAPEX!AW38</f>
        <v>#REF!</v>
      </c>
      <c r="AX45" s="10" t="e">
        <f>CAPEX!AX38</f>
        <v>#REF!</v>
      </c>
      <c r="AY45" s="10" t="e">
        <f>CAPEX!AY38</f>
        <v>#REF!</v>
      </c>
      <c r="AZ45" s="10" t="e">
        <f>CAPEX!AZ38</f>
        <v>#REF!</v>
      </c>
      <c r="BA45" s="10" t="e">
        <f>CAPEX!BA38</f>
        <v>#REF!</v>
      </c>
      <c r="BB45" s="10" t="e">
        <f>CAPEX!BB38</f>
        <v>#REF!</v>
      </c>
      <c r="BC45" s="10" t="e">
        <f>CAPEX!BC38</f>
        <v>#REF!</v>
      </c>
      <c r="BD45" s="10" t="e">
        <f>CAPEX!BD38</f>
        <v>#REF!</v>
      </c>
      <c r="BE45" s="10" t="e">
        <f>CAPEX!BE38</f>
        <v>#REF!</v>
      </c>
      <c r="BF45" s="10" t="e">
        <f>CAPEX!BF38</f>
        <v>#REF!</v>
      </c>
      <c r="BG45" s="10" t="e">
        <f>CAPEX!BG38</f>
        <v>#REF!</v>
      </c>
      <c r="BH45" s="10" t="e">
        <f>CAPEX!BH38</f>
        <v>#REF!</v>
      </c>
      <c r="BI45" s="10" t="e">
        <f>CAPEX!BI38</f>
        <v>#REF!</v>
      </c>
      <c r="BJ45" s="10" t="e">
        <f>CAPEX!BJ38</f>
        <v>#REF!</v>
      </c>
      <c r="BK45" s="10" t="e">
        <f>CAPEX!BK38</f>
        <v>#REF!</v>
      </c>
      <c r="BL45" s="10" t="e">
        <f>CAPEX!BL38</f>
        <v>#REF!</v>
      </c>
      <c r="BM45" s="10" t="e">
        <f>CAPEX!BM38</f>
        <v>#REF!</v>
      </c>
      <c r="BN45" s="10" t="e">
        <f>CAPEX!BN38</f>
        <v>#REF!</v>
      </c>
      <c r="BO45" s="10" t="e">
        <f>CAPEX!BO38</f>
        <v>#REF!</v>
      </c>
      <c r="BP45" s="10" t="e">
        <f>CAPEX!BP38</f>
        <v>#REF!</v>
      </c>
      <c r="BQ45" s="10" t="e">
        <f>CAPEX!BQ38</f>
        <v>#REF!</v>
      </c>
      <c r="BR45" s="10" t="e">
        <f>CAPEX!BR38</f>
        <v>#REF!</v>
      </c>
      <c r="BS45" s="10" t="e">
        <f>CAPEX!BS38</f>
        <v>#REF!</v>
      </c>
      <c r="BT45" s="10" t="e">
        <f>CAPEX!BT38</f>
        <v>#REF!</v>
      </c>
      <c r="BU45" s="10" t="e">
        <f>CAPEX!BU38</f>
        <v>#REF!</v>
      </c>
      <c r="BV45" s="10" t="e">
        <f>CAPEX!BV38</f>
        <v>#REF!</v>
      </c>
      <c r="BW45" s="10" t="e">
        <f>CAPEX!BW38</f>
        <v>#REF!</v>
      </c>
      <c r="BX45" s="10" t="e">
        <f>CAPEX!BX38</f>
        <v>#REF!</v>
      </c>
      <c r="BY45" s="10" t="e">
        <f>CAPEX!BY38</f>
        <v>#REF!</v>
      </c>
      <c r="BZ45" s="10" t="e">
        <f>CAPEX!BZ38</f>
        <v>#REF!</v>
      </c>
      <c r="CA45" s="10" t="e">
        <f>CAPEX!CA38</f>
        <v>#REF!</v>
      </c>
      <c r="CB45" s="10" t="e">
        <f>CAPEX!CB38</f>
        <v>#REF!</v>
      </c>
      <c r="CC45" s="10" t="e">
        <f>CAPEX!CC38</f>
        <v>#REF!</v>
      </c>
      <c r="CD45" s="10" t="e">
        <f>CAPEX!CD38</f>
        <v>#REF!</v>
      </c>
      <c r="CE45" s="10" t="e">
        <f>CAPEX!CE38</f>
        <v>#REF!</v>
      </c>
      <c r="CF45" s="10" t="e">
        <f>CAPEX!CF38</f>
        <v>#REF!</v>
      </c>
      <c r="CG45" s="10" t="e">
        <f>CAPEX!CG38</f>
        <v>#REF!</v>
      </c>
      <c r="CH45" s="10" t="e">
        <f>CAPEX!CH38</f>
        <v>#REF!</v>
      </c>
      <c r="CI45" s="10" t="e">
        <f>CAPEX!CI38</f>
        <v>#REF!</v>
      </c>
      <c r="CJ45" s="10" t="e">
        <f>CAPEX!CJ38</f>
        <v>#REF!</v>
      </c>
      <c r="CK45" s="10" t="e">
        <f>CAPEX!CK38</f>
        <v>#REF!</v>
      </c>
      <c r="CL45" s="10" t="e">
        <f>CAPEX!CL38</f>
        <v>#REF!</v>
      </c>
      <c r="CM45" s="10" t="e">
        <f>CAPEX!CM38</f>
        <v>#REF!</v>
      </c>
      <c r="CN45" s="10" t="e">
        <f>CAPEX!CN38</f>
        <v>#REF!</v>
      </c>
      <c r="CO45" s="10" t="e">
        <f>CAPEX!CO38</f>
        <v>#REF!</v>
      </c>
      <c r="CP45" s="10" t="e">
        <f>CAPEX!CP38</f>
        <v>#REF!</v>
      </c>
      <c r="CQ45" s="10" t="e">
        <f>CAPEX!CQ38</f>
        <v>#REF!</v>
      </c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</row>
    <row r="46" spans="2:108" ht="12.75" customHeight="1" x14ac:dyDescent="0.25">
      <c r="C46" s="17" t="s">
        <v>32</v>
      </c>
      <c r="D46" t="s">
        <v>285</v>
      </c>
      <c r="H46" s="54" t="s">
        <v>3</v>
      </c>
      <c r="J46" s="20" t="e">
        <f>N46=SUM(N42:N45)</f>
        <v>#REF!</v>
      </c>
      <c r="N46" s="25" t="e">
        <f>SUM(P46:DD46)</f>
        <v>#REF!</v>
      </c>
      <c r="O46" s="10"/>
      <c r="P46" s="10" t="e">
        <f>SUM(P41:P45)*P39</f>
        <v>#REF!</v>
      </c>
      <c r="Q46" s="10" t="e">
        <f t="shared" ref="Q46:CB46" si="25">SUM(Q41:Q45)*Q39</f>
        <v>#REF!</v>
      </c>
      <c r="R46" s="10" t="e">
        <f t="shared" si="25"/>
        <v>#REF!</v>
      </c>
      <c r="S46" s="10" t="e">
        <f t="shared" si="25"/>
        <v>#REF!</v>
      </c>
      <c r="T46" s="10" t="e">
        <f t="shared" si="25"/>
        <v>#REF!</v>
      </c>
      <c r="U46" s="10" t="e">
        <f t="shared" si="25"/>
        <v>#REF!</v>
      </c>
      <c r="V46" s="10" t="e">
        <f t="shared" si="25"/>
        <v>#REF!</v>
      </c>
      <c r="W46" s="10" t="e">
        <f t="shared" si="25"/>
        <v>#REF!</v>
      </c>
      <c r="X46" s="10" t="e">
        <f t="shared" si="25"/>
        <v>#REF!</v>
      </c>
      <c r="Y46" s="10" t="e">
        <f t="shared" si="25"/>
        <v>#REF!</v>
      </c>
      <c r="Z46" s="10" t="e">
        <f t="shared" si="25"/>
        <v>#REF!</v>
      </c>
      <c r="AA46" s="10" t="e">
        <f t="shared" si="25"/>
        <v>#REF!</v>
      </c>
      <c r="AB46" s="10" t="e">
        <f t="shared" si="25"/>
        <v>#REF!</v>
      </c>
      <c r="AC46" s="10" t="e">
        <f t="shared" si="25"/>
        <v>#REF!</v>
      </c>
      <c r="AD46" s="10" t="e">
        <f t="shared" si="25"/>
        <v>#REF!</v>
      </c>
      <c r="AE46" s="10" t="e">
        <f t="shared" si="25"/>
        <v>#REF!</v>
      </c>
      <c r="AF46" s="10" t="e">
        <f t="shared" si="25"/>
        <v>#REF!</v>
      </c>
      <c r="AG46" s="10" t="e">
        <f t="shared" si="25"/>
        <v>#REF!</v>
      </c>
      <c r="AH46" s="10" t="e">
        <f t="shared" si="25"/>
        <v>#REF!</v>
      </c>
      <c r="AI46" s="10" t="e">
        <f t="shared" si="25"/>
        <v>#REF!</v>
      </c>
      <c r="AJ46" s="10" t="e">
        <f t="shared" si="25"/>
        <v>#REF!</v>
      </c>
      <c r="AK46" s="10" t="e">
        <f t="shared" si="25"/>
        <v>#REF!</v>
      </c>
      <c r="AL46" s="10" t="e">
        <f t="shared" si="25"/>
        <v>#REF!</v>
      </c>
      <c r="AM46" s="10" t="e">
        <f t="shared" si="25"/>
        <v>#REF!</v>
      </c>
      <c r="AN46" s="10" t="e">
        <f t="shared" si="25"/>
        <v>#REF!</v>
      </c>
      <c r="AO46" s="10" t="e">
        <f t="shared" si="25"/>
        <v>#REF!</v>
      </c>
      <c r="AP46" s="10" t="e">
        <f t="shared" si="25"/>
        <v>#REF!</v>
      </c>
      <c r="AQ46" s="10" t="e">
        <f t="shared" si="25"/>
        <v>#REF!</v>
      </c>
      <c r="AR46" s="10" t="e">
        <f t="shared" si="25"/>
        <v>#REF!</v>
      </c>
      <c r="AS46" s="10" t="e">
        <f t="shared" si="25"/>
        <v>#REF!</v>
      </c>
      <c r="AT46" s="10" t="e">
        <f t="shared" si="25"/>
        <v>#REF!</v>
      </c>
      <c r="AU46" s="10" t="e">
        <f t="shared" si="25"/>
        <v>#REF!</v>
      </c>
      <c r="AV46" s="10" t="e">
        <f t="shared" si="25"/>
        <v>#REF!</v>
      </c>
      <c r="AW46" s="10" t="e">
        <f t="shared" si="25"/>
        <v>#REF!</v>
      </c>
      <c r="AX46" s="10" t="e">
        <f t="shared" si="25"/>
        <v>#REF!</v>
      </c>
      <c r="AY46" s="10" t="e">
        <f t="shared" si="25"/>
        <v>#REF!</v>
      </c>
      <c r="AZ46" s="10" t="e">
        <f t="shared" si="25"/>
        <v>#REF!</v>
      </c>
      <c r="BA46" s="10" t="e">
        <f t="shared" si="25"/>
        <v>#REF!</v>
      </c>
      <c r="BB46" s="10" t="e">
        <f t="shared" si="25"/>
        <v>#REF!</v>
      </c>
      <c r="BC46" s="10" t="e">
        <f t="shared" si="25"/>
        <v>#REF!</v>
      </c>
      <c r="BD46" s="10" t="e">
        <f t="shared" si="25"/>
        <v>#REF!</v>
      </c>
      <c r="BE46" s="10" t="e">
        <f t="shared" si="25"/>
        <v>#REF!</v>
      </c>
      <c r="BF46" s="10" t="e">
        <f t="shared" si="25"/>
        <v>#REF!</v>
      </c>
      <c r="BG46" s="10" t="e">
        <f t="shared" si="25"/>
        <v>#REF!</v>
      </c>
      <c r="BH46" s="10" t="e">
        <f t="shared" si="25"/>
        <v>#REF!</v>
      </c>
      <c r="BI46" s="10" t="e">
        <f t="shared" si="25"/>
        <v>#REF!</v>
      </c>
      <c r="BJ46" s="10" t="e">
        <f t="shared" si="25"/>
        <v>#REF!</v>
      </c>
      <c r="BK46" s="10" t="e">
        <f t="shared" si="25"/>
        <v>#REF!</v>
      </c>
      <c r="BL46" s="10" t="e">
        <f t="shared" si="25"/>
        <v>#REF!</v>
      </c>
      <c r="BM46" s="10" t="e">
        <f t="shared" si="25"/>
        <v>#REF!</v>
      </c>
      <c r="BN46" s="10" t="e">
        <f t="shared" si="25"/>
        <v>#REF!</v>
      </c>
      <c r="BO46" s="10" t="e">
        <f t="shared" si="25"/>
        <v>#REF!</v>
      </c>
      <c r="BP46" s="10" t="e">
        <f t="shared" si="25"/>
        <v>#REF!</v>
      </c>
      <c r="BQ46" s="10" t="e">
        <f t="shared" si="25"/>
        <v>#REF!</v>
      </c>
      <c r="BR46" s="10" t="e">
        <f t="shared" si="25"/>
        <v>#REF!</v>
      </c>
      <c r="BS46" s="10" t="e">
        <f t="shared" si="25"/>
        <v>#REF!</v>
      </c>
      <c r="BT46" s="10" t="e">
        <f t="shared" si="25"/>
        <v>#REF!</v>
      </c>
      <c r="BU46" s="10" t="e">
        <f t="shared" si="25"/>
        <v>#REF!</v>
      </c>
      <c r="BV46" s="10" t="e">
        <f t="shared" si="25"/>
        <v>#REF!</v>
      </c>
      <c r="BW46" s="10" t="e">
        <f t="shared" si="25"/>
        <v>#REF!</v>
      </c>
      <c r="BX46" s="10" t="e">
        <f t="shared" si="25"/>
        <v>#REF!</v>
      </c>
      <c r="BY46" s="10" t="e">
        <f t="shared" si="25"/>
        <v>#REF!</v>
      </c>
      <c r="BZ46" s="10" t="e">
        <f t="shared" si="25"/>
        <v>#REF!</v>
      </c>
      <c r="CA46" s="10" t="e">
        <f t="shared" si="25"/>
        <v>#REF!</v>
      </c>
      <c r="CB46" s="10" t="e">
        <f t="shared" si="25"/>
        <v>#REF!</v>
      </c>
      <c r="CC46" s="10" t="e">
        <f t="shared" ref="CC46:CQ46" si="26">SUM(CC41:CC45)*CC39</f>
        <v>#REF!</v>
      </c>
      <c r="CD46" s="10" t="e">
        <f t="shared" si="26"/>
        <v>#REF!</v>
      </c>
      <c r="CE46" s="10" t="e">
        <f t="shared" si="26"/>
        <v>#REF!</v>
      </c>
      <c r="CF46" s="10" t="e">
        <f t="shared" si="26"/>
        <v>#REF!</v>
      </c>
      <c r="CG46" s="10" t="e">
        <f t="shared" si="26"/>
        <v>#REF!</v>
      </c>
      <c r="CH46" s="10" t="e">
        <f t="shared" si="26"/>
        <v>#REF!</v>
      </c>
      <c r="CI46" s="10" t="e">
        <f t="shared" si="26"/>
        <v>#REF!</v>
      </c>
      <c r="CJ46" s="10" t="e">
        <f t="shared" si="26"/>
        <v>#REF!</v>
      </c>
      <c r="CK46" s="10" t="e">
        <f t="shared" si="26"/>
        <v>#REF!</v>
      </c>
      <c r="CL46" s="10" t="e">
        <f t="shared" si="26"/>
        <v>#REF!</v>
      </c>
      <c r="CM46" s="10" t="e">
        <f t="shared" si="26"/>
        <v>#REF!</v>
      </c>
      <c r="CN46" s="10" t="e">
        <f t="shared" si="26"/>
        <v>#REF!</v>
      </c>
      <c r="CO46" s="10" t="e">
        <f t="shared" si="26"/>
        <v>#REF!</v>
      </c>
      <c r="CP46" s="10" t="e">
        <f t="shared" si="26"/>
        <v>#REF!</v>
      </c>
      <c r="CQ46" s="10" t="e">
        <f t="shared" si="26"/>
        <v>#REF!</v>
      </c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</row>
    <row r="47" spans="2:108" ht="12.75" customHeight="1" x14ac:dyDescent="0.25">
      <c r="C47" s="184" t="s">
        <v>183</v>
      </c>
      <c r="H47" s="54" t="s">
        <v>3</v>
      </c>
      <c r="N47" s="19"/>
      <c r="O47" s="10"/>
      <c r="P47" s="10" t="e">
        <f>P41+SUM(P42:P45)-P46</f>
        <v>#REF!</v>
      </c>
      <c r="Q47" s="10" t="e">
        <f t="shared" ref="Q47:CB47" si="27">Q41+SUM(Q42:Q45)-Q46</f>
        <v>#REF!</v>
      </c>
      <c r="R47" s="10" t="e">
        <f t="shared" si="27"/>
        <v>#REF!</v>
      </c>
      <c r="S47" s="10" t="e">
        <f t="shared" si="27"/>
        <v>#REF!</v>
      </c>
      <c r="T47" s="10" t="e">
        <f t="shared" si="27"/>
        <v>#REF!</v>
      </c>
      <c r="U47" s="10" t="e">
        <f t="shared" si="27"/>
        <v>#REF!</v>
      </c>
      <c r="V47" s="10" t="e">
        <f t="shared" si="27"/>
        <v>#REF!</v>
      </c>
      <c r="W47" s="10" t="e">
        <f t="shared" si="27"/>
        <v>#REF!</v>
      </c>
      <c r="X47" s="10" t="e">
        <f t="shared" si="27"/>
        <v>#REF!</v>
      </c>
      <c r="Y47" s="10" t="e">
        <f t="shared" si="27"/>
        <v>#REF!</v>
      </c>
      <c r="Z47" s="10" t="e">
        <f t="shared" si="27"/>
        <v>#REF!</v>
      </c>
      <c r="AA47" s="10" t="e">
        <f t="shared" si="27"/>
        <v>#REF!</v>
      </c>
      <c r="AB47" s="10" t="e">
        <f t="shared" si="27"/>
        <v>#REF!</v>
      </c>
      <c r="AC47" s="10" t="e">
        <f t="shared" si="27"/>
        <v>#REF!</v>
      </c>
      <c r="AD47" s="10" t="e">
        <f t="shared" si="27"/>
        <v>#REF!</v>
      </c>
      <c r="AE47" s="10" t="e">
        <f t="shared" si="27"/>
        <v>#REF!</v>
      </c>
      <c r="AF47" s="10" t="e">
        <f t="shared" si="27"/>
        <v>#REF!</v>
      </c>
      <c r="AG47" s="10" t="e">
        <f t="shared" si="27"/>
        <v>#REF!</v>
      </c>
      <c r="AH47" s="10" t="e">
        <f t="shared" si="27"/>
        <v>#REF!</v>
      </c>
      <c r="AI47" s="10" t="e">
        <f t="shared" si="27"/>
        <v>#REF!</v>
      </c>
      <c r="AJ47" s="10" t="e">
        <f t="shared" si="27"/>
        <v>#REF!</v>
      </c>
      <c r="AK47" s="10" t="e">
        <f t="shared" si="27"/>
        <v>#REF!</v>
      </c>
      <c r="AL47" s="10" t="e">
        <f t="shared" si="27"/>
        <v>#REF!</v>
      </c>
      <c r="AM47" s="10" t="e">
        <f t="shared" si="27"/>
        <v>#REF!</v>
      </c>
      <c r="AN47" s="10" t="e">
        <f t="shared" si="27"/>
        <v>#REF!</v>
      </c>
      <c r="AO47" s="10" t="e">
        <f t="shared" si="27"/>
        <v>#REF!</v>
      </c>
      <c r="AP47" s="10" t="e">
        <f t="shared" si="27"/>
        <v>#REF!</v>
      </c>
      <c r="AQ47" s="10" t="e">
        <f t="shared" si="27"/>
        <v>#REF!</v>
      </c>
      <c r="AR47" s="10" t="e">
        <f t="shared" si="27"/>
        <v>#REF!</v>
      </c>
      <c r="AS47" s="10" t="e">
        <f t="shared" si="27"/>
        <v>#REF!</v>
      </c>
      <c r="AT47" s="10" t="e">
        <f t="shared" si="27"/>
        <v>#REF!</v>
      </c>
      <c r="AU47" s="10" t="e">
        <f t="shared" si="27"/>
        <v>#REF!</v>
      </c>
      <c r="AV47" s="10" t="e">
        <f t="shared" si="27"/>
        <v>#REF!</v>
      </c>
      <c r="AW47" s="10" t="e">
        <f t="shared" si="27"/>
        <v>#REF!</v>
      </c>
      <c r="AX47" s="10" t="e">
        <f t="shared" si="27"/>
        <v>#REF!</v>
      </c>
      <c r="AY47" s="10" t="e">
        <f t="shared" si="27"/>
        <v>#REF!</v>
      </c>
      <c r="AZ47" s="10" t="e">
        <f t="shared" si="27"/>
        <v>#REF!</v>
      </c>
      <c r="BA47" s="10" t="e">
        <f t="shared" si="27"/>
        <v>#REF!</v>
      </c>
      <c r="BB47" s="10" t="e">
        <f t="shared" si="27"/>
        <v>#REF!</v>
      </c>
      <c r="BC47" s="10" t="e">
        <f t="shared" si="27"/>
        <v>#REF!</v>
      </c>
      <c r="BD47" s="10" t="e">
        <f t="shared" si="27"/>
        <v>#REF!</v>
      </c>
      <c r="BE47" s="10" t="e">
        <f t="shared" si="27"/>
        <v>#REF!</v>
      </c>
      <c r="BF47" s="10" t="e">
        <f t="shared" si="27"/>
        <v>#REF!</v>
      </c>
      <c r="BG47" s="10" t="e">
        <f t="shared" si="27"/>
        <v>#REF!</v>
      </c>
      <c r="BH47" s="10" t="e">
        <f t="shared" si="27"/>
        <v>#REF!</v>
      </c>
      <c r="BI47" s="10" t="e">
        <f t="shared" si="27"/>
        <v>#REF!</v>
      </c>
      <c r="BJ47" s="10" t="e">
        <f t="shared" si="27"/>
        <v>#REF!</v>
      </c>
      <c r="BK47" s="10" t="e">
        <f t="shared" si="27"/>
        <v>#REF!</v>
      </c>
      <c r="BL47" s="10" t="e">
        <f t="shared" si="27"/>
        <v>#REF!</v>
      </c>
      <c r="BM47" s="10" t="e">
        <f t="shared" si="27"/>
        <v>#REF!</v>
      </c>
      <c r="BN47" s="10" t="e">
        <f t="shared" si="27"/>
        <v>#REF!</v>
      </c>
      <c r="BO47" s="10" t="e">
        <f t="shared" si="27"/>
        <v>#REF!</v>
      </c>
      <c r="BP47" s="10" t="e">
        <f t="shared" si="27"/>
        <v>#REF!</v>
      </c>
      <c r="BQ47" s="10" t="e">
        <f t="shared" si="27"/>
        <v>#REF!</v>
      </c>
      <c r="BR47" s="10" t="e">
        <f t="shared" si="27"/>
        <v>#REF!</v>
      </c>
      <c r="BS47" s="10" t="e">
        <f t="shared" si="27"/>
        <v>#REF!</v>
      </c>
      <c r="BT47" s="10" t="e">
        <f t="shared" si="27"/>
        <v>#REF!</v>
      </c>
      <c r="BU47" s="10" t="e">
        <f t="shared" si="27"/>
        <v>#REF!</v>
      </c>
      <c r="BV47" s="10" t="e">
        <f t="shared" si="27"/>
        <v>#REF!</v>
      </c>
      <c r="BW47" s="10" t="e">
        <f t="shared" si="27"/>
        <v>#REF!</v>
      </c>
      <c r="BX47" s="10" t="e">
        <f t="shared" si="27"/>
        <v>#REF!</v>
      </c>
      <c r="BY47" s="10" t="e">
        <f t="shared" si="27"/>
        <v>#REF!</v>
      </c>
      <c r="BZ47" s="10" t="e">
        <f t="shared" si="27"/>
        <v>#REF!</v>
      </c>
      <c r="CA47" s="10" t="e">
        <f t="shared" si="27"/>
        <v>#REF!</v>
      </c>
      <c r="CB47" s="10" t="e">
        <f t="shared" si="27"/>
        <v>#REF!</v>
      </c>
      <c r="CC47" s="10" t="e">
        <f t="shared" ref="CC47:CQ47" si="28">CC41+SUM(CC42:CC45)-CC46</f>
        <v>#REF!</v>
      </c>
      <c r="CD47" s="10" t="e">
        <f t="shared" si="28"/>
        <v>#REF!</v>
      </c>
      <c r="CE47" s="10" t="e">
        <f t="shared" si="28"/>
        <v>#REF!</v>
      </c>
      <c r="CF47" s="10" t="e">
        <f t="shared" si="28"/>
        <v>#REF!</v>
      </c>
      <c r="CG47" s="10" t="e">
        <f t="shared" si="28"/>
        <v>#REF!</v>
      </c>
      <c r="CH47" s="10" t="e">
        <f t="shared" si="28"/>
        <v>#REF!</v>
      </c>
      <c r="CI47" s="10" t="e">
        <f t="shared" si="28"/>
        <v>#REF!</v>
      </c>
      <c r="CJ47" s="10" t="e">
        <f t="shared" si="28"/>
        <v>#REF!</v>
      </c>
      <c r="CK47" s="10" t="e">
        <f t="shared" si="28"/>
        <v>#REF!</v>
      </c>
      <c r="CL47" s="10" t="e">
        <f t="shared" si="28"/>
        <v>#REF!</v>
      </c>
      <c r="CM47" s="10" t="e">
        <f t="shared" si="28"/>
        <v>#REF!</v>
      </c>
      <c r="CN47" s="10" t="e">
        <f t="shared" si="28"/>
        <v>#REF!</v>
      </c>
      <c r="CO47" s="10" t="e">
        <f t="shared" si="28"/>
        <v>#REF!</v>
      </c>
      <c r="CP47" s="10" t="e">
        <f t="shared" si="28"/>
        <v>#REF!</v>
      </c>
      <c r="CQ47" s="10" t="e">
        <f t="shared" si="28"/>
        <v>#REF!</v>
      </c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</row>
    <row r="48" spans="2:108" ht="12.75" customHeight="1" x14ac:dyDescent="0.25">
      <c r="H48" s="54"/>
      <c r="N48" s="19"/>
    </row>
    <row r="49" spans="1:10" s="292" customFormat="1" ht="12.75" customHeight="1" x14ac:dyDescent="0.25">
      <c r="A49" s="299" t="s">
        <v>53</v>
      </c>
      <c r="I49" s="313"/>
      <c r="J49" s="284"/>
    </row>
  </sheetData>
  <conditionalFormatting sqref="CU7:DD7">
    <cfRule type="expression" dxfId="81" priority="20">
      <formula>CU7="Ops"</formula>
    </cfRule>
    <cfRule type="expression" dxfId="80" priority="21">
      <formula>CU7="Const"</formula>
    </cfRule>
  </conditionalFormatting>
  <conditionalFormatting sqref="P7:CT7">
    <cfRule type="expression" dxfId="79" priority="18">
      <formula>P7="Ops"</formula>
    </cfRule>
    <cfRule type="expression" dxfId="78" priority="19">
      <formula>P7="Const"</formula>
    </cfRule>
  </conditionalFormatting>
  <conditionalFormatting sqref="J2:J3">
    <cfRule type="expression" dxfId="77" priority="7">
      <formula>#REF!=TRUE</formula>
    </cfRule>
  </conditionalFormatting>
  <conditionalFormatting sqref="J5:J6">
    <cfRule type="expression" dxfId="76" priority="6">
      <formula>#REF!=TRUE</formula>
    </cfRule>
  </conditionalFormatting>
  <conditionalFormatting sqref="J7">
    <cfRule type="expression" dxfId="75" priority="5">
      <formula>#REF!=TRUE</formula>
    </cfRule>
  </conditionalFormatting>
  <conditionalFormatting sqref="P42:DD44">
    <cfRule type="expression" dxfId="74" priority="4">
      <formula>P$7="Actuals"</formula>
    </cfRule>
  </conditionalFormatting>
  <conditionalFormatting sqref="O42">
    <cfRule type="expression" dxfId="73" priority="3">
      <formula>O$7="Actuals"</formula>
    </cfRule>
  </conditionalFormatting>
  <conditionalFormatting sqref="J46">
    <cfRule type="containsText" dxfId="72" priority="1" operator="containsText" text="TRUE">
      <formula>NOT(ISERROR(SEARCH("TRUE",J46)))</formula>
    </cfRule>
    <cfRule type="cellIs" dxfId="71" priority="2" operator="equal">
      <formula>FALSE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E561-ABBD-426F-A0A0-A672B01AD746}">
  <sheetPr codeName="Sheet12">
    <tabColor theme="3" tint="-0.499984740745262"/>
  </sheetPr>
  <dimension ref="A1:DD74"/>
  <sheetViews>
    <sheetView showGridLines="0" zoomScale="50" zoomScaleNormal="50" workbookViewId="0">
      <pane xSplit="14" ySplit="8" topLeftCell="O9" activePane="bottomRight" state="frozen"/>
      <selection activeCell="I6" sqref="I6"/>
      <selection pane="topRight" activeCell="I6" sqref="I6"/>
      <selection pane="bottomLeft" activeCell="I6" sqref="I6"/>
      <selection pane="bottomRight" activeCell="A74" sqref="A74:XFD74"/>
    </sheetView>
  </sheetViews>
  <sheetFormatPr defaultColWidth="0" defaultRowHeight="12.75" customHeight="1" zeroHeight="1" x14ac:dyDescent="0.25"/>
  <cols>
    <col min="1" max="2" width="3.28515625" customWidth="1"/>
    <col min="3" max="3" width="3.28515625" style="184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1:108" s="282" customFormat="1" ht="12.75" customHeight="1" x14ac:dyDescent="0.2">
      <c r="C1" s="283"/>
      <c r="H1" s="284"/>
    </row>
    <row r="2" spans="1:108" s="282" customFormat="1" ht="12.75" customHeight="1" x14ac:dyDescent="0.2">
      <c r="C2" s="283"/>
      <c r="H2" s="284"/>
      <c r="J2" s="285"/>
    </row>
    <row r="3" spans="1:108" s="282" customFormat="1" ht="12.75" customHeight="1" x14ac:dyDescent="0.2">
      <c r="C3" s="283"/>
      <c r="H3" s="284"/>
      <c r="J3" s="286"/>
    </row>
    <row r="4" spans="1:108" s="282" customFormat="1" ht="12.75" customHeight="1" x14ac:dyDescent="0.2">
      <c r="C4" s="283"/>
      <c r="H4" s="284"/>
    </row>
    <row r="5" spans="1:108" s="282" customFormat="1" ht="12.75" customHeight="1" x14ac:dyDescent="0.2">
      <c r="C5" s="283"/>
      <c r="H5" s="284"/>
      <c r="J5" s="285"/>
      <c r="N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C6" s="283"/>
      <c r="H6" s="284"/>
      <c r="J6" s="286"/>
      <c r="N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C7" s="283"/>
      <c r="H7" s="284"/>
      <c r="J7" s="286"/>
      <c r="N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C8" s="283"/>
      <c r="H8" s="284"/>
    </row>
    <row r="9" spans="1:108" s="5" customFormat="1" ht="12.75" customHeight="1" x14ac:dyDescent="0.2">
      <c r="A9" s="5" t="s">
        <v>295</v>
      </c>
      <c r="C9" s="6"/>
      <c r="H9" s="137"/>
      <c r="I9" s="8"/>
    </row>
    <row r="10" spans="1:108" ht="12.75" customHeight="1" x14ac:dyDescent="0.25">
      <c r="C10"/>
      <c r="H10" s="54"/>
      <c r="N10" s="10"/>
    </row>
    <row r="11" spans="1:108" ht="12.75" customHeight="1" x14ac:dyDescent="0.25">
      <c r="B11" s="21" t="s">
        <v>312</v>
      </c>
      <c r="C11"/>
      <c r="H11" s="54"/>
      <c r="N11" s="10"/>
    </row>
    <row r="12" spans="1:108" ht="12.75" customHeight="1" x14ac:dyDescent="0.25">
      <c r="C12"/>
      <c r="H12" s="54"/>
      <c r="N12" s="10"/>
    </row>
    <row r="13" spans="1:108" ht="12.75" customHeight="1" x14ac:dyDescent="0.25">
      <c r="C13" t="s">
        <v>313</v>
      </c>
      <c r="H13" s="54" t="s">
        <v>13</v>
      </c>
      <c r="N13" s="10"/>
      <c r="P13" s="68">
        <f>Timing!R40</f>
        <v>0</v>
      </c>
      <c r="Q13" s="68">
        <f>Timing!S40</f>
        <v>0</v>
      </c>
      <c r="R13" s="68">
        <f>Timing!T40</f>
        <v>0</v>
      </c>
      <c r="S13" s="68">
        <f>Timing!U40</f>
        <v>1</v>
      </c>
      <c r="T13" s="68">
        <f>Timing!V40</f>
        <v>1</v>
      </c>
      <c r="U13" s="68">
        <f>Timing!W40</f>
        <v>1</v>
      </c>
      <c r="V13" s="68">
        <f>Timing!X40</f>
        <v>1</v>
      </c>
      <c r="W13" s="68">
        <f>Timing!Y40</f>
        <v>1</v>
      </c>
      <c r="X13" s="68">
        <f>Timing!Z40</f>
        <v>1</v>
      </c>
      <c r="Y13" s="68">
        <f>Timing!AA40</f>
        <v>1</v>
      </c>
      <c r="Z13" s="68">
        <f>Timing!AB40</f>
        <v>1</v>
      </c>
      <c r="AA13" s="68">
        <f>Timing!AC40</f>
        <v>1</v>
      </c>
      <c r="AB13" s="68">
        <f>Timing!AD40</f>
        <v>1</v>
      </c>
      <c r="AC13" s="68">
        <f>Timing!AE40</f>
        <v>1</v>
      </c>
      <c r="AD13" s="68">
        <f>Timing!AF40</f>
        <v>1</v>
      </c>
      <c r="AE13" s="68">
        <f>Timing!AG40</f>
        <v>1</v>
      </c>
      <c r="AF13" s="68">
        <f>Timing!AH40</f>
        <v>1</v>
      </c>
      <c r="AG13" s="68">
        <f>Timing!AI40</f>
        <v>1</v>
      </c>
      <c r="AH13" s="68">
        <f>Timing!AJ40</f>
        <v>1</v>
      </c>
      <c r="AI13" s="68">
        <f>Timing!AK40</f>
        <v>1</v>
      </c>
      <c r="AJ13" s="68">
        <f>Timing!AL40</f>
        <v>1</v>
      </c>
      <c r="AK13" s="68">
        <f>Timing!AM40</f>
        <v>1</v>
      </c>
      <c r="AL13" s="68">
        <f>Timing!AN40</f>
        <v>1</v>
      </c>
      <c r="AM13" s="68">
        <f>Timing!AO40</f>
        <v>1</v>
      </c>
      <c r="AN13" s="68">
        <f>Timing!AP40</f>
        <v>1</v>
      </c>
      <c r="AO13" s="68">
        <f>Timing!AQ40</f>
        <v>1</v>
      </c>
      <c r="AP13" s="68">
        <f>Timing!AR40</f>
        <v>1</v>
      </c>
      <c r="AQ13" s="68">
        <f>Timing!AS40</f>
        <v>1</v>
      </c>
      <c r="AR13" s="68">
        <f>Timing!AT40</f>
        <v>0</v>
      </c>
      <c r="AS13" s="68">
        <f>Timing!AU40</f>
        <v>0</v>
      </c>
      <c r="AT13" s="68">
        <f>Timing!AV40</f>
        <v>0</v>
      </c>
      <c r="AU13" s="68">
        <f>Timing!AW40</f>
        <v>0</v>
      </c>
      <c r="AV13" s="68">
        <f>Timing!AX40</f>
        <v>0</v>
      </c>
      <c r="AW13" s="68">
        <f>Timing!AY40</f>
        <v>0</v>
      </c>
      <c r="AX13" s="68">
        <f>Timing!AZ40</f>
        <v>0</v>
      </c>
      <c r="AY13" s="68">
        <f>Timing!BA40</f>
        <v>0</v>
      </c>
      <c r="AZ13" s="68">
        <f>Timing!BB40</f>
        <v>0</v>
      </c>
      <c r="BA13" s="68">
        <f>Timing!BC40</f>
        <v>0</v>
      </c>
      <c r="BB13" s="68">
        <f>Timing!BD40</f>
        <v>0</v>
      </c>
      <c r="BC13" s="68">
        <f>Timing!BE40</f>
        <v>0</v>
      </c>
      <c r="BD13" s="68">
        <f>Timing!BF40</f>
        <v>0</v>
      </c>
      <c r="BE13" s="68">
        <f>Timing!BG40</f>
        <v>0</v>
      </c>
      <c r="BF13" s="68">
        <f>Timing!BH40</f>
        <v>0</v>
      </c>
      <c r="BG13" s="68">
        <f>Timing!BI40</f>
        <v>0</v>
      </c>
      <c r="BH13" s="68">
        <f>Timing!BJ40</f>
        <v>0</v>
      </c>
      <c r="BI13" s="68">
        <f>Timing!BK40</f>
        <v>0</v>
      </c>
      <c r="BJ13" s="68">
        <f>Timing!BL40</f>
        <v>0</v>
      </c>
      <c r="BK13" s="68">
        <f>Timing!BM40</f>
        <v>0</v>
      </c>
      <c r="BL13" s="68">
        <f>Timing!BN40</f>
        <v>0</v>
      </c>
      <c r="BM13" s="68">
        <f>Timing!BO40</f>
        <v>0</v>
      </c>
      <c r="BN13" s="68">
        <f>Timing!BP40</f>
        <v>0</v>
      </c>
      <c r="BO13" s="68">
        <f>Timing!BQ40</f>
        <v>0</v>
      </c>
      <c r="BP13" s="68">
        <f>Timing!BR40</f>
        <v>0</v>
      </c>
      <c r="BQ13" s="68">
        <f>Timing!BS40</f>
        <v>0</v>
      </c>
      <c r="BR13" s="68">
        <f>Timing!BT40</f>
        <v>0</v>
      </c>
      <c r="BS13" s="68">
        <f>Timing!BU40</f>
        <v>0</v>
      </c>
      <c r="BT13" s="68">
        <f>Timing!BV40</f>
        <v>0</v>
      </c>
      <c r="BU13" s="68">
        <f>Timing!BW40</f>
        <v>0</v>
      </c>
      <c r="BV13" s="68">
        <f>Timing!BX40</f>
        <v>0</v>
      </c>
      <c r="BW13" s="68">
        <f>Timing!BY40</f>
        <v>0</v>
      </c>
      <c r="BX13" s="68">
        <f>Timing!BZ40</f>
        <v>0</v>
      </c>
      <c r="BY13" s="68">
        <f>Timing!CA40</f>
        <v>0</v>
      </c>
      <c r="BZ13" s="68">
        <f>Timing!CB40</f>
        <v>0</v>
      </c>
      <c r="CA13" s="68">
        <f>Timing!CC40</f>
        <v>0</v>
      </c>
      <c r="CB13" s="68">
        <f>Timing!CD40</f>
        <v>0</v>
      </c>
      <c r="CC13" s="68">
        <f>Timing!CE40</f>
        <v>0</v>
      </c>
      <c r="CD13" s="68">
        <f>Timing!CF40</f>
        <v>0</v>
      </c>
      <c r="CE13" s="68">
        <f>Timing!CG40</f>
        <v>0</v>
      </c>
      <c r="CF13" s="68">
        <f>Timing!CH40</f>
        <v>0</v>
      </c>
      <c r="CG13" s="68">
        <f>Timing!CI40</f>
        <v>0</v>
      </c>
      <c r="CH13" s="68">
        <f>Timing!CJ40</f>
        <v>0</v>
      </c>
      <c r="CI13" s="68">
        <f>Timing!CK40</f>
        <v>0</v>
      </c>
      <c r="CJ13" s="68">
        <f>Timing!CL40</f>
        <v>0</v>
      </c>
      <c r="CK13" s="68">
        <f>Timing!CM40</f>
        <v>0</v>
      </c>
      <c r="CL13" s="68">
        <f>Timing!CN40</f>
        <v>0</v>
      </c>
      <c r="CM13" s="68">
        <f>Timing!CO40</f>
        <v>0</v>
      </c>
      <c r="CN13" s="68">
        <f>Timing!CP40</f>
        <v>0</v>
      </c>
      <c r="CO13" s="68">
        <f>Timing!CQ40</f>
        <v>0</v>
      </c>
      <c r="CP13" s="68">
        <f>Timing!CR40</f>
        <v>0</v>
      </c>
      <c r="CQ13" s="68">
        <f>Timing!CS40</f>
        <v>0</v>
      </c>
      <c r="CR13" s="68">
        <f>Timing!CT40</f>
        <v>0</v>
      </c>
      <c r="CS13" s="68">
        <f>Timing!CU40</f>
        <v>0</v>
      </c>
      <c r="CT13" s="68">
        <f>Timing!CV40</f>
        <v>0</v>
      </c>
    </row>
    <row r="14" spans="1:108" ht="12.75" customHeight="1" x14ac:dyDescent="0.25">
      <c r="C14"/>
      <c r="H14" s="54"/>
      <c r="N14" s="10"/>
    </row>
    <row r="15" spans="1:108" ht="12.75" customHeight="1" x14ac:dyDescent="0.25">
      <c r="C15" t="s">
        <v>254</v>
      </c>
      <c r="H15" s="54" t="s">
        <v>3</v>
      </c>
      <c r="N15" s="25" t="e">
        <f t="shared" ref="N15:N16" si="1">SUM(P15:DD15)</f>
        <v>#REF!</v>
      </c>
      <c r="P15" s="10" t="e">
        <f>CF!P26</f>
        <v>#REF!</v>
      </c>
      <c r="Q15" s="10" t="e">
        <f>CF!Q26</f>
        <v>#REF!</v>
      </c>
      <c r="R15" s="10" t="e">
        <f>CF!R26</f>
        <v>#REF!</v>
      </c>
      <c r="S15" s="10" t="e">
        <f>CF!S26</f>
        <v>#REF!</v>
      </c>
      <c r="T15" s="10" t="e">
        <f>CF!T26</f>
        <v>#REF!</v>
      </c>
      <c r="U15" s="10" t="e">
        <f>CF!U26</f>
        <v>#REF!</v>
      </c>
      <c r="V15" s="10" t="e">
        <f>CF!V26</f>
        <v>#REF!</v>
      </c>
      <c r="W15" s="10" t="e">
        <f>CF!W26</f>
        <v>#REF!</v>
      </c>
      <c r="X15" s="10" t="e">
        <f>CF!X26</f>
        <v>#REF!</v>
      </c>
      <c r="Y15" s="10" t="e">
        <f>CF!Y26</f>
        <v>#REF!</v>
      </c>
      <c r="Z15" s="10" t="e">
        <f>CF!Z26</f>
        <v>#REF!</v>
      </c>
      <c r="AA15" s="10" t="e">
        <f>CF!AA26</f>
        <v>#REF!</v>
      </c>
      <c r="AB15" s="10" t="e">
        <f>CF!AB26</f>
        <v>#REF!</v>
      </c>
      <c r="AC15" s="10" t="e">
        <f>CF!AC26</f>
        <v>#REF!</v>
      </c>
      <c r="AD15" s="10" t="e">
        <f>CF!AD26</f>
        <v>#REF!</v>
      </c>
      <c r="AE15" s="10" t="e">
        <f>CF!AE26</f>
        <v>#REF!</v>
      </c>
      <c r="AF15" s="10" t="e">
        <f>CF!AF26</f>
        <v>#REF!</v>
      </c>
      <c r="AG15" s="10" t="e">
        <f>CF!AG26</f>
        <v>#REF!</v>
      </c>
      <c r="AH15" s="10" t="e">
        <f>CF!AH26</f>
        <v>#REF!</v>
      </c>
      <c r="AI15" s="10" t="e">
        <f>CF!AI26</f>
        <v>#REF!</v>
      </c>
      <c r="AJ15" s="10" t="e">
        <f>CF!AJ26</f>
        <v>#REF!</v>
      </c>
      <c r="AK15" s="10" t="e">
        <f>CF!AK26</f>
        <v>#REF!</v>
      </c>
      <c r="AL15" s="10" t="e">
        <f>CF!AL26</f>
        <v>#REF!</v>
      </c>
      <c r="AM15" s="10" t="e">
        <f>CF!AM26</f>
        <v>#REF!</v>
      </c>
      <c r="AN15" s="10" t="e">
        <f>CF!AN26</f>
        <v>#REF!</v>
      </c>
      <c r="AO15" s="10" t="e">
        <f>CF!AO26</f>
        <v>#REF!</v>
      </c>
      <c r="AP15" s="10" t="e">
        <f>CF!AP26</f>
        <v>#REF!</v>
      </c>
      <c r="AQ15" s="10" t="e">
        <f>CF!AQ26</f>
        <v>#REF!</v>
      </c>
      <c r="AR15" s="10" t="e">
        <f>CF!AR26</f>
        <v>#REF!</v>
      </c>
      <c r="AS15" s="10" t="e">
        <f>CF!AS26</f>
        <v>#REF!</v>
      </c>
      <c r="AT15" s="10" t="e">
        <f>CF!AT26</f>
        <v>#REF!</v>
      </c>
      <c r="AU15" s="10" t="e">
        <f>CF!AU26</f>
        <v>#REF!</v>
      </c>
      <c r="AV15" s="10" t="e">
        <f>CF!AV26</f>
        <v>#REF!</v>
      </c>
      <c r="AW15" s="10" t="e">
        <f>CF!AW26</f>
        <v>#REF!</v>
      </c>
      <c r="AX15" s="10" t="e">
        <f>CF!AX26</f>
        <v>#REF!</v>
      </c>
      <c r="AY15" s="10" t="e">
        <f>CF!AY26</f>
        <v>#REF!</v>
      </c>
      <c r="AZ15" s="10" t="e">
        <f>CF!AZ26</f>
        <v>#REF!</v>
      </c>
      <c r="BA15" s="10" t="e">
        <f>CF!BA26</f>
        <v>#REF!</v>
      </c>
      <c r="BB15" s="10" t="e">
        <f>CF!BB26</f>
        <v>#REF!</v>
      </c>
      <c r="BC15" s="10" t="e">
        <f>CF!BC26</f>
        <v>#REF!</v>
      </c>
      <c r="BD15" s="10" t="e">
        <f>CF!BD26</f>
        <v>#REF!</v>
      </c>
      <c r="BE15" s="10" t="e">
        <f>CF!BE26</f>
        <v>#REF!</v>
      </c>
      <c r="BF15" s="10" t="e">
        <f>CF!BF26</f>
        <v>#REF!</v>
      </c>
      <c r="BG15" s="10" t="e">
        <f>CF!BG26</f>
        <v>#REF!</v>
      </c>
      <c r="BH15" s="10" t="e">
        <f>CF!BH26</f>
        <v>#REF!</v>
      </c>
      <c r="BI15" s="10" t="e">
        <f>CF!BI26</f>
        <v>#REF!</v>
      </c>
      <c r="BJ15" s="10" t="e">
        <f>CF!BJ26</f>
        <v>#REF!</v>
      </c>
      <c r="BK15" s="10" t="e">
        <f>CF!BK26</f>
        <v>#REF!</v>
      </c>
      <c r="BL15" s="10" t="e">
        <f>CF!BL26</f>
        <v>#REF!</v>
      </c>
      <c r="BM15" s="10" t="e">
        <f>CF!BM26</f>
        <v>#REF!</v>
      </c>
      <c r="BN15" s="10" t="e">
        <f>CF!BN26</f>
        <v>#REF!</v>
      </c>
      <c r="BO15" s="10" t="e">
        <f>CF!BO26</f>
        <v>#REF!</v>
      </c>
      <c r="BP15" s="10" t="e">
        <f>CF!BP26</f>
        <v>#REF!</v>
      </c>
      <c r="BQ15" s="10" t="e">
        <f>CF!BQ26</f>
        <v>#REF!</v>
      </c>
      <c r="BR15" s="10" t="e">
        <f>CF!BR26</f>
        <v>#REF!</v>
      </c>
      <c r="BS15" s="10" t="e">
        <f>CF!BS26</f>
        <v>#REF!</v>
      </c>
      <c r="BT15" s="10" t="e">
        <f>CF!BT26</f>
        <v>#REF!</v>
      </c>
      <c r="BU15" s="10" t="e">
        <f>CF!BU26</f>
        <v>#REF!</v>
      </c>
      <c r="BV15" s="10" t="e">
        <f>CF!BV26</f>
        <v>#REF!</v>
      </c>
      <c r="BW15" s="10" t="e">
        <f>CF!BW26</f>
        <v>#REF!</v>
      </c>
      <c r="BX15" s="10" t="e">
        <f>CF!BX26</f>
        <v>#REF!</v>
      </c>
      <c r="BY15" s="10" t="e">
        <f>CF!BY26</f>
        <v>#REF!</v>
      </c>
      <c r="BZ15" s="10" t="e">
        <f>CF!BZ26</f>
        <v>#REF!</v>
      </c>
      <c r="CA15" s="10" t="e">
        <f>CF!CA26</f>
        <v>#REF!</v>
      </c>
      <c r="CB15" s="10" t="e">
        <f>CF!CB26</f>
        <v>#REF!</v>
      </c>
      <c r="CC15" s="10" t="e">
        <f>CF!CC26</f>
        <v>#REF!</v>
      </c>
      <c r="CD15" s="10" t="e">
        <f>CF!CD26</f>
        <v>#REF!</v>
      </c>
      <c r="CE15" s="10" t="e">
        <f>CF!CE26</f>
        <v>#REF!</v>
      </c>
      <c r="CF15" s="10" t="e">
        <f>CF!CF26</f>
        <v>#REF!</v>
      </c>
      <c r="CG15" s="10" t="e">
        <f>CF!CG26</f>
        <v>#REF!</v>
      </c>
      <c r="CH15" s="10" t="e">
        <f>CF!CH26</f>
        <v>#REF!</v>
      </c>
      <c r="CI15" s="10" t="e">
        <f>CF!CI26</f>
        <v>#REF!</v>
      </c>
      <c r="CJ15" s="10" t="e">
        <f>CF!CJ26</f>
        <v>#REF!</v>
      </c>
      <c r="CK15" s="10" t="e">
        <f>CF!CK26</f>
        <v>#REF!</v>
      </c>
      <c r="CL15" s="10" t="e">
        <f>CF!CL26</f>
        <v>#REF!</v>
      </c>
      <c r="CM15" s="10" t="e">
        <f>CF!CM26</f>
        <v>#REF!</v>
      </c>
      <c r="CN15" s="10" t="e">
        <f>CF!CN26</f>
        <v>#REF!</v>
      </c>
      <c r="CO15" s="10" t="e">
        <f>CF!CO26</f>
        <v>#REF!</v>
      </c>
      <c r="CP15" s="10" t="e">
        <f>CF!CP26</f>
        <v>#REF!</v>
      </c>
      <c r="CQ15" s="10" t="e">
        <f>CF!CQ26</f>
        <v>#REF!</v>
      </c>
      <c r="CR15" s="10" t="e">
        <f>CF!CR26</f>
        <v>#REF!</v>
      </c>
      <c r="CS15" s="10" t="e">
        <f>CF!CS26</f>
        <v>#REF!</v>
      </c>
      <c r="CT15" s="10" t="e">
        <f>CF!CT26</f>
        <v>#REF!</v>
      </c>
    </row>
    <row r="16" spans="1:108" ht="12.75" customHeight="1" x14ac:dyDescent="0.25">
      <c r="C16" t="s">
        <v>314</v>
      </c>
      <c r="H16" s="54" t="s">
        <v>3</v>
      </c>
      <c r="N16" s="25" t="e">
        <f t="shared" si="1"/>
        <v>#REF!</v>
      </c>
      <c r="P16" s="10">
        <f>Financing!P109</f>
        <v>0</v>
      </c>
      <c r="Q16" s="10" t="e">
        <f>Financing!Q109</f>
        <v>#REF!</v>
      </c>
      <c r="R16" s="10" t="e">
        <f>Financing!R109</f>
        <v>#REF!</v>
      </c>
      <c r="S16" s="10" t="e">
        <f>Financing!S109</f>
        <v>#REF!</v>
      </c>
      <c r="T16" s="10" t="e">
        <f>Financing!T109</f>
        <v>#REF!</v>
      </c>
      <c r="U16" s="10" t="e">
        <f>Financing!U109</f>
        <v>#REF!</v>
      </c>
      <c r="V16" s="10" t="e">
        <f>Financing!V109</f>
        <v>#REF!</v>
      </c>
      <c r="W16" s="10" t="e">
        <f>Financing!W109</f>
        <v>#REF!</v>
      </c>
      <c r="X16" s="10" t="e">
        <f>Financing!X109</f>
        <v>#REF!</v>
      </c>
      <c r="Y16" s="10" t="e">
        <f>Financing!Y109</f>
        <v>#REF!</v>
      </c>
      <c r="Z16" s="10" t="e">
        <f>Financing!Z109</f>
        <v>#REF!</v>
      </c>
      <c r="AA16" s="10" t="e">
        <f>Financing!AA109</f>
        <v>#REF!</v>
      </c>
      <c r="AB16" s="10" t="e">
        <f>Financing!AB109</f>
        <v>#REF!</v>
      </c>
      <c r="AC16" s="10" t="e">
        <f>Financing!AC109</f>
        <v>#REF!</v>
      </c>
      <c r="AD16" s="10" t="e">
        <f>Financing!AD109</f>
        <v>#REF!</v>
      </c>
      <c r="AE16" s="10" t="e">
        <f>Financing!AE109</f>
        <v>#REF!</v>
      </c>
      <c r="AF16" s="10" t="e">
        <f>Financing!AF109</f>
        <v>#REF!</v>
      </c>
      <c r="AG16" s="10" t="e">
        <f>Financing!AG109</f>
        <v>#REF!</v>
      </c>
      <c r="AH16" s="10" t="e">
        <f>Financing!AH109</f>
        <v>#REF!</v>
      </c>
      <c r="AI16" s="10" t="e">
        <f>Financing!AI109</f>
        <v>#REF!</v>
      </c>
      <c r="AJ16" s="10" t="e">
        <f>Financing!AJ109</f>
        <v>#REF!</v>
      </c>
      <c r="AK16" s="10" t="e">
        <f>Financing!AK109</f>
        <v>#REF!</v>
      </c>
      <c r="AL16" s="10" t="e">
        <f>Financing!AL109</f>
        <v>#REF!</v>
      </c>
      <c r="AM16" s="10" t="e">
        <f>Financing!AM109</f>
        <v>#REF!</v>
      </c>
      <c r="AN16" s="10" t="e">
        <f>Financing!AN109</f>
        <v>#REF!</v>
      </c>
      <c r="AO16" s="10" t="e">
        <f>Financing!AO109</f>
        <v>#REF!</v>
      </c>
      <c r="AP16" s="10" t="e">
        <f>Financing!AP109</f>
        <v>#REF!</v>
      </c>
      <c r="AQ16" s="10" t="e">
        <f>Financing!AQ109</f>
        <v>#REF!</v>
      </c>
      <c r="AR16" s="10" t="e">
        <f>Financing!AR109</f>
        <v>#REF!</v>
      </c>
      <c r="AS16" s="10" t="e">
        <f>Financing!AS109</f>
        <v>#REF!</v>
      </c>
      <c r="AT16" s="10" t="e">
        <f>Financing!AT109</f>
        <v>#REF!</v>
      </c>
      <c r="AU16" s="10" t="e">
        <f>Financing!AU109</f>
        <v>#REF!</v>
      </c>
      <c r="AV16" s="10" t="e">
        <f>Financing!AV109</f>
        <v>#REF!</v>
      </c>
      <c r="AW16" s="10" t="e">
        <f>Financing!AW109</f>
        <v>#REF!</v>
      </c>
      <c r="AX16" s="10" t="e">
        <f>Financing!AX109</f>
        <v>#REF!</v>
      </c>
      <c r="AY16" s="10" t="e">
        <f>Financing!AY109</f>
        <v>#REF!</v>
      </c>
      <c r="AZ16" s="10" t="e">
        <f>Financing!AZ109</f>
        <v>#REF!</v>
      </c>
      <c r="BA16" s="10" t="e">
        <f>Financing!BA109</f>
        <v>#REF!</v>
      </c>
      <c r="BB16" s="10" t="e">
        <f>Financing!BB109</f>
        <v>#REF!</v>
      </c>
      <c r="BC16" s="10" t="e">
        <f>Financing!BC109</f>
        <v>#REF!</v>
      </c>
      <c r="BD16" s="10" t="e">
        <f>Financing!BD109</f>
        <v>#REF!</v>
      </c>
      <c r="BE16" s="10" t="e">
        <f>Financing!BE109</f>
        <v>#REF!</v>
      </c>
      <c r="BF16" s="10" t="e">
        <f>Financing!BF109</f>
        <v>#REF!</v>
      </c>
      <c r="BG16" s="10" t="e">
        <f>Financing!BG109</f>
        <v>#REF!</v>
      </c>
      <c r="BH16" s="10" t="e">
        <f>Financing!BH109</f>
        <v>#REF!</v>
      </c>
      <c r="BI16" s="10" t="e">
        <f>Financing!BI109</f>
        <v>#REF!</v>
      </c>
      <c r="BJ16" s="10" t="e">
        <f>Financing!BJ109</f>
        <v>#REF!</v>
      </c>
      <c r="BK16" s="10" t="e">
        <f>Financing!BK109</f>
        <v>#REF!</v>
      </c>
      <c r="BL16" s="10" t="e">
        <f>Financing!BL109</f>
        <v>#REF!</v>
      </c>
      <c r="BM16" s="10" t="e">
        <f>Financing!BM109</f>
        <v>#REF!</v>
      </c>
      <c r="BN16" s="10" t="e">
        <f>Financing!BN109</f>
        <v>#REF!</v>
      </c>
      <c r="BO16" s="10" t="e">
        <f>Financing!BO109</f>
        <v>#REF!</v>
      </c>
      <c r="BP16" s="10" t="e">
        <f>Financing!BP109</f>
        <v>#REF!</v>
      </c>
      <c r="BQ16" s="10" t="e">
        <f>Financing!BQ109</f>
        <v>#REF!</v>
      </c>
      <c r="BR16" s="10" t="e">
        <f>Financing!BR109</f>
        <v>#REF!</v>
      </c>
      <c r="BS16" s="10" t="e">
        <f>Financing!BS109</f>
        <v>#REF!</v>
      </c>
      <c r="BT16" s="10" t="e">
        <f>Financing!BT109</f>
        <v>#REF!</v>
      </c>
      <c r="BU16" s="10" t="e">
        <f>Financing!BU109</f>
        <v>#REF!</v>
      </c>
      <c r="BV16" s="10" t="e">
        <f>Financing!BV109</f>
        <v>#REF!</v>
      </c>
      <c r="BW16" s="10" t="e">
        <f>Financing!BW109</f>
        <v>#REF!</v>
      </c>
      <c r="BX16" s="10" t="e">
        <f>Financing!BX109</f>
        <v>#REF!</v>
      </c>
      <c r="BY16" s="10" t="e">
        <f>Financing!BY109</f>
        <v>#REF!</v>
      </c>
      <c r="BZ16" s="10" t="e">
        <f>Financing!BZ109</f>
        <v>#REF!</v>
      </c>
      <c r="CA16" s="10" t="e">
        <f>Financing!CA109</f>
        <v>#REF!</v>
      </c>
      <c r="CB16" s="10" t="e">
        <f>Financing!CB109</f>
        <v>#REF!</v>
      </c>
      <c r="CC16" s="10" t="e">
        <f>Financing!CC109</f>
        <v>#REF!</v>
      </c>
      <c r="CD16" s="10" t="e">
        <f>Financing!CD109</f>
        <v>#REF!</v>
      </c>
      <c r="CE16" s="10" t="e">
        <f>Financing!CE109</f>
        <v>#REF!</v>
      </c>
      <c r="CF16" s="10" t="e">
        <f>Financing!CF109</f>
        <v>#REF!</v>
      </c>
      <c r="CG16" s="10" t="e">
        <f>Financing!CG109</f>
        <v>#REF!</v>
      </c>
      <c r="CH16" s="10" t="e">
        <f>Financing!CH109</f>
        <v>#REF!</v>
      </c>
      <c r="CI16" s="10" t="e">
        <f>Financing!CI109</f>
        <v>#REF!</v>
      </c>
      <c r="CJ16" s="10" t="e">
        <f>Financing!CJ109</f>
        <v>#REF!</v>
      </c>
      <c r="CK16" s="10" t="e">
        <f>Financing!CK109</f>
        <v>#REF!</v>
      </c>
      <c r="CL16" s="10" t="e">
        <f>Financing!CL109</f>
        <v>#REF!</v>
      </c>
      <c r="CM16" s="10" t="e">
        <f>Financing!CM109</f>
        <v>#REF!</v>
      </c>
      <c r="CN16" s="10" t="e">
        <f>Financing!CN109</f>
        <v>#REF!</v>
      </c>
      <c r="CO16" s="10" t="e">
        <f>Financing!CO109</f>
        <v>#REF!</v>
      </c>
      <c r="CP16" s="10" t="e">
        <f>Financing!CP109</f>
        <v>#REF!</v>
      </c>
      <c r="CQ16" s="10" t="e">
        <f>Financing!CQ109</f>
        <v>#REF!</v>
      </c>
      <c r="CR16" s="10" t="e">
        <f>Financing!CR109</f>
        <v>#REF!</v>
      </c>
      <c r="CS16" s="10" t="e">
        <f>Financing!CS109</f>
        <v>#REF!</v>
      </c>
      <c r="CT16" s="10" t="e">
        <f>Financing!CT109</f>
        <v>#REF!</v>
      </c>
    </row>
    <row r="17" spans="2:108" ht="12.75" customHeight="1" x14ac:dyDescent="0.25">
      <c r="C17"/>
      <c r="H17" s="54"/>
      <c r="N17" s="10"/>
    </row>
    <row r="18" spans="2:108" ht="12.75" customHeight="1" x14ac:dyDescent="0.25">
      <c r="C18" t="s">
        <v>315</v>
      </c>
      <c r="H18" s="54" t="s">
        <v>50</v>
      </c>
      <c r="J18" s="86">
        <f>InputC!K150</f>
        <v>1.2</v>
      </c>
      <c r="N18" s="10"/>
      <c r="O18" s="87"/>
      <c r="P18" s="87">
        <f>$J$18*P13</f>
        <v>0</v>
      </c>
      <c r="Q18" s="87">
        <f t="shared" ref="Q18:CB18" si="2">$J$18*Q13</f>
        <v>0</v>
      </c>
      <c r="R18" s="87">
        <f t="shared" si="2"/>
        <v>0</v>
      </c>
      <c r="S18" s="87">
        <f t="shared" si="2"/>
        <v>1.2</v>
      </c>
      <c r="T18" s="87">
        <f t="shared" si="2"/>
        <v>1.2</v>
      </c>
      <c r="U18" s="87">
        <f t="shared" si="2"/>
        <v>1.2</v>
      </c>
      <c r="V18" s="87">
        <f t="shared" si="2"/>
        <v>1.2</v>
      </c>
      <c r="W18" s="87">
        <f t="shared" si="2"/>
        <v>1.2</v>
      </c>
      <c r="X18" s="87">
        <f t="shared" si="2"/>
        <v>1.2</v>
      </c>
      <c r="Y18" s="87">
        <f t="shared" si="2"/>
        <v>1.2</v>
      </c>
      <c r="Z18" s="87">
        <f t="shared" si="2"/>
        <v>1.2</v>
      </c>
      <c r="AA18" s="87">
        <f t="shared" si="2"/>
        <v>1.2</v>
      </c>
      <c r="AB18" s="87">
        <f t="shared" si="2"/>
        <v>1.2</v>
      </c>
      <c r="AC18" s="87">
        <f t="shared" si="2"/>
        <v>1.2</v>
      </c>
      <c r="AD18" s="87">
        <f t="shared" si="2"/>
        <v>1.2</v>
      </c>
      <c r="AE18" s="87">
        <f t="shared" si="2"/>
        <v>1.2</v>
      </c>
      <c r="AF18" s="87">
        <f t="shared" si="2"/>
        <v>1.2</v>
      </c>
      <c r="AG18" s="87">
        <f t="shared" si="2"/>
        <v>1.2</v>
      </c>
      <c r="AH18" s="87">
        <f t="shared" si="2"/>
        <v>1.2</v>
      </c>
      <c r="AI18" s="87">
        <f t="shared" si="2"/>
        <v>1.2</v>
      </c>
      <c r="AJ18" s="87">
        <f t="shared" si="2"/>
        <v>1.2</v>
      </c>
      <c r="AK18" s="87">
        <f t="shared" si="2"/>
        <v>1.2</v>
      </c>
      <c r="AL18" s="87">
        <f t="shared" si="2"/>
        <v>1.2</v>
      </c>
      <c r="AM18" s="87">
        <f t="shared" si="2"/>
        <v>1.2</v>
      </c>
      <c r="AN18" s="87">
        <f t="shared" si="2"/>
        <v>1.2</v>
      </c>
      <c r="AO18" s="87">
        <f t="shared" si="2"/>
        <v>1.2</v>
      </c>
      <c r="AP18" s="87">
        <f t="shared" si="2"/>
        <v>1.2</v>
      </c>
      <c r="AQ18" s="87">
        <f t="shared" si="2"/>
        <v>1.2</v>
      </c>
      <c r="AR18" s="87">
        <f t="shared" si="2"/>
        <v>0</v>
      </c>
      <c r="AS18" s="87">
        <f t="shared" si="2"/>
        <v>0</v>
      </c>
      <c r="AT18" s="87">
        <f t="shared" si="2"/>
        <v>0</v>
      </c>
      <c r="AU18" s="87">
        <f t="shared" si="2"/>
        <v>0</v>
      </c>
      <c r="AV18" s="87">
        <f t="shared" si="2"/>
        <v>0</v>
      </c>
      <c r="AW18" s="87">
        <f t="shared" si="2"/>
        <v>0</v>
      </c>
      <c r="AX18" s="87">
        <f t="shared" si="2"/>
        <v>0</v>
      </c>
      <c r="AY18" s="87">
        <f t="shared" si="2"/>
        <v>0</v>
      </c>
      <c r="AZ18" s="87">
        <f t="shared" si="2"/>
        <v>0</v>
      </c>
      <c r="BA18" s="87">
        <f t="shared" si="2"/>
        <v>0</v>
      </c>
      <c r="BB18" s="87">
        <f t="shared" si="2"/>
        <v>0</v>
      </c>
      <c r="BC18" s="87">
        <f t="shared" si="2"/>
        <v>0</v>
      </c>
      <c r="BD18" s="87">
        <f t="shared" si="2"/>
        <v>0</v>
      </c>
      <c r="BE18" s="87">
        <f t="shared" si="2"/>
        <v>0</v>
      </c>
      <c r="BF18" s="87">
        <f t="shared" si="2"/>
        <v>0</v>
      </c>
      <c r="BG18" s="87">
        <f t="shared" si="2"/>
        <v>0</v>
      </c>
      <c r="BH18" s="87">
        <f t="shared" si="2"/>
        <v>0</v>
      </c>
      <c r="BI18" s="87">
        <f t="shared" si="2"/>
        <v>0</v>
      </c>
      <c r="BJ18" s="87">
        <f t="shared" si="2"/>
        <v>0</v>
      </c>
      <c r="BK18" s="87">
        <f t="shared" si="2"/>
        <v>0</v>
      </c>
      <c r="BL18" s="87">
        <f t="shared" si="2"/>
        <v>0</v>
      </c>
      <c r="BM18" s="87">
        <f t="shared" si="2"/>
        <v>0</v>
      </c>
      <c r="BN18" s="87">
        <f t="shared" si="2"/>
        <v>0</v>
      </c>
      <c r="BO18" s="87">
        <f t="shared" si="2"/>
        <v>0</v>
      </c>
      <c r="BP18" s="87">
        <f t="shared" si="2"/>
        <v>0</v>
      </c>
      <c r="BQ18" s="87">
        <f t="shared" si="2"/>
        <v>0</v>
      </c>
      <c r="BR18" s="87">
        <f t="shared" si="2"/>
        <v>0</v>
      </c>
      <c r="BS18" s="87">
        <f t="shared" si="2"/>
        <v>0</v>
      </c>
      <c r="BT18" s="87">
        <f t="shared" si="2"/>
        <v>0</v>
      </c>
      <c r="BU18" s="87">
        <f t="shared" si="2"/>
        <v>0</v>
      </c>
      <c r="BV18" s="87">
        <f t="shared" si="2"/>
        <v>0</v>
      </c>
      <c r="BW18" s="87">
        <f t="shared" si="2"/>
        <v>0</v>
      </c>
      <c r="BX18" s="87">
        <f t="shared" si="2"/>
        <v>0</v>
      </c>
      <c r="BY18" s="87">
        <f t="shared" si="2"/>
        <v>0</v>
      </c>
      <c r="BZ18" s="87">
        <f t="shared" si="2"/>
        <v>0</v>
      </c>
      <c r="CA18" s="87">
        <f t="shared" si="2"/>
        <v>0</v>
      </c>
      <c r="CB18" s="87">
        <f t="shared" si="2"/>
        <v>0</v>
      </c>
      <c r="CC18" s="87">
        <f t="shared" ref="CC18:CQ18" si="3">$J$18*CC13</f>
        <v>0</v>
      </c>
      <c r="CD18" s="87">
        <f t="shared" si="3"/>
        <v>0</v>
      </c>
      <c r="CE18" s="87">
        <f t="shared" si="3"/>
        <v>0</v>
      </c>
      <c r="CF18" s="87">
        <f t="shared" si="3"/>
        <v>0</v>
      </c>
      <c r="CG18" s="87">
        <f t="shared" si="3"/>
        <v>0</v>
      </c>
      <c r="CH18" s="87">
        <f t="shared" si="3"/>
        <v>0</v>
      </c>
      <c r="CI18" s="87">
        <f t="shared" si="3"/>
        <v>0</v>
      </c>
      <c r="CJ18" s="87">
        <f t="shared" si="3"/>
        <v>0</v>
      </c>
      <c r="CK18" s="87">
        <f t="shared" si="3"/>
        <v>0</v>
      </c>
      <c r="CL18" s="87">
        <f t="shared" si="3"/>
        <v>0</v>
      </c>
      <c r="CM18" s="87">
        <f t="shared" si="3"/>
        <v>0</v>
      </c>
      <c r="CN18" s="87">
        <f t="shared" si="3"/>
        <v>0</v>
      </c>
      <c r="CO18" s="87">
        <f t="shared" si="3"/>
        <v>0</v>
      </c>
      <c r="CP18" s="87">
        <f t="shared" si="3"/>
        <v>0</v>
      </c>
      <c r="CQ18" s="87">
        <f t="shared" si="3"/>
        <v>0</v>
      </c>
      <c r="CR18" s="87">
        <f t="shared" ref="CR18:CT18" si="4">$J$18*CR13</f>
        <v>0</v>
      </c>
      <c r="CS18" s="87">
        <f t="shared" si="4"/>
        <v>0</v>
      </c>
      <c r="CT18" s="87">
        <f t="shared" si="4"/>
        <v>0</v>
      </c>
      <c r="CU18" s="87"/>
      <c r="CV18" s="87"/>
      <c r="CW18" s="87"/>
      <c r="CX18" s="87"/>
      <c r="CY18" s="87"/>
      <c r="CZ18" s="87"/>
      <c r="DA18" s="87"/>
      <c r="DB18" s="87"/>
      <c r="DC18" s="87"/>
      <c r="DD18" s="87"/>
    </row>
    <row r="19" spans="2:108" ht="12.75" customHeight="1" x14ac:dyDescent="0.25">
      <c r="C19" t="s">
        <v>316</v>
      </c>
      <c r="H19" s="54" t="s">
        <v>50</v>
      </c>
      <c r="J19" s="140">
        <f>MIN(P19:CQ19)</f>
        <v>0</v>
      </c>
      <c r="N19" s="10"/>
      <c r="O19" s="87"/>
      <c r="P19" s="87" t="str">
        <f>IFERROR(P15/P16,"")</f>
        <v/>
      </c>
      <c r="Q19" s="87" t="str">
        <f t="shared" ref="Q19:CB19" si="5">IFERROR(Q15/Q16,"")</f>
        <v/>
      </c>
      <c r="R19" s="87" t="str">
        <f t="shared" si="5"/>
        <v/>
      </c>
      <c r="S19" s="87" t="str">
        <f t="shared" si="5"/>
        <v/>
      </c>
      <c r="T19" s="87" t="str">
        <f t="shared" si="5"/>
        <v/>
      </c>
      <c r="U19" s="87" t="str">
        <f t="shared" si="5"/>
        <v/>
      </c>
      <c r="V19" s="87" t="str">
        <f t="shared" si="5"/>
        <v/>
      </c>
      <c r="W19" s="87" t="str">
        <f t="shared" si="5"/>
        <v/>
      </c>
      <c r="X19" s="87" t="str">
        <f t="shared" si="5"/>
        <v/>
      </c>
      <c r="Y19" s="87" t="str">
        <f t="shared" si="5"/>
        <v/>
      </c>
      <c r="Z19" s="87" t="str">
        <f t="shared" si="5"/>
        <v/>
      </c>
      <c r="AA19" s="87" t="str">
        <f t="shared" si="5"/>
        <v/>
      </c>
      <c r="AB19" s="87" t="str">
        <f t="shared" si="5"/>
        <v/>
      </c>
      <c r="AC19" s="87" t="str">
        <f t="shared" si="5"/>
        <v/>
      </c>
      <c r="AD19" s="87" t="str">
        <f t="shared" si="5"/>
        <v/>
      </c>
      <c r="AE19" s="87" t="str">
        <f t="shared" si="5"/>
        <v/>
      </c>
      <c r="AF19" s="87" t="str">
        <f t="shared" si="5"/>
        <v/>
      </c>
      <c r="AG19" s="87" t="str">
        <f t="shared" si="5"/>
        <v/>
      </c>
      <c r="AH19" s="87" t="str">
        <f t="shared" si="5"/>
        <v/>
      </c>
      <c r="AI19" s="87" t="str">
        <f t="shared" si="5"/>
        <v/>
      </c>
      <c r="AJ19" s="87" t="str">
        <f t="shared" si="5"/>
        <v/>
      </c>
      <c r="AK19" s="87" t="str">
        <f t="shared" si="5"/>
        <v/>
      </c>
      <c r="AL19" s="87" t="str">
        <f t="shared" si="5"/>
        <v/>
      </c>
      <c r="AM19" s="87" t="str">
        <f t="shared" si="5"/>
        <v/>
      </c>
      <c r="AN19" s="87" t="str">
        <f t="shared" si="5"/>
        <v/>
      </c>
      <c r="AO19" s="87" t="str">
        <f t="shared" si="5"/>
        <v/>
      </c>
      <c r="AP19" s="87" t="str">
        <f t="shared" si="5"/>
        <v/>
      </c>
      <c r="AQ19" s="87" t="str">
        <f t="shared" si="5"/>
        <v/>
      </c>
      <c r="AR19" s="87" t="str">
        <f t="shared" si="5"/>
        <v/>
      </c>
      <c r="AS19" s="87" t="str">
        <f t="shared" si="5"/>
        <v/>
      </c>
      <c r="AT19" s="87" t="str">
        <f t="shared" si="5"/>
        <v/>
      </c>
      <c r="AU19" s="87" t="str">
        <f t="shared" si="5"/>
        <v/>
      </c>
      <c r="AV19" s="87" t="str">
        <f t="shared" si="5"/>
        <v/>
      </c>
      <c r="AW19" s="87" t="str">
        <f t="shared" si="5"/>
        <v/>
      </c>
      <c r="AX19" s="87" t="str">
        <f t="shared" si="5"/>
        <v/>
      </c>
      <c r="AY19" s="87" t="str">
        <f t="shared" si="5"/>
        <v/>
      </c>
      <c r="AZ19" s="87" t="str">
        <f t="shared" si="5"/>
        <v/>
      </c>
      <c r="BA19" s="87" t="str">
        <f t="shared" si="5"/>
        <v/>
      </c>
      <c r="BB19" s="87" t="str">
        <f t="shared" si="5"/>
        <v/>
      </c>
      <c r="BC19" s="87" t="str">
        <f t="shared" si="5"/>
        <v/>
      </c>
      <c r="BD19" s="87" t="str">
        <f t="shared" si="5"/>
        <v/>
      </c>
      <c r="BE19" s="87" t="str">
        <f t="shared" si="5"/>
        <v/>
      </c>
      <c r="BF19" s="87" t="str">
        <f t="shared" si="5"/>
        <v/>
      </c>
      <c r="BG19" s="87" t="str">
        <f t="shared" si="5"/>
        <v/>
      </c>
      <c r="BH19" s="87" t="str">
        <f t="shared" si="5"/>
        <v/>
      </c>
      <c r="BI19" s="87" t="str">
        <f t="shared" si="5"/>
        <v/>
      </c>
      <c r="BJ19" s="87" t="str">
        <f t="shared" si="5"/>
        <v/>
      </c>
      <c r="BK19" s="87" t="str">
        <f t="shared" si="5"/>
        <v/>
      </c>
      <c r="BL19" s="87" t="str">
        <f t="shared" si="5"/>
        <v/>
      </c>
      <c r="BM19" s="87" t="str">
        <f t="shared" si="5"/>
        <v/>
      </c>
      <c r="BN19" s="87" t="str">
        <f t="shared" si="5"/>
        <v/>
      </c>
      <c r="BO19" s="87" t="str">
        <f t="shared" si="5"/>
        <v/>
      </c>
      <c r="BP19" s="87" t="str">
        <f t="shared" si="5"/>
        <v/>
      </c>
      <c r="BQ19" s="87" t="str">
        <f t="shared" si="5"/>
        <v/>
      </c>
      <c r="BR19" s="87" t="str">
        <f t="shared" si="5"/>
        <v/>
      </c>
      <c r="BS19" s="87" t="str">
        <f t="shared" si="5"/>
        <v/>
      </c>
      <c r="BT19" s="87" t="str">
        <f t="shared" si="5"/>
        <v/>
      </c>
      <c r="BU19" s="87" t="str">
        <f t="shared" si="5"/>
        <v/>
      </c>
      <c r="BV19" s="87" t="str">
        <f t="shared" si="5"/>
        <v/>
      </c>
      <c r="BW19" s="87" t="str">
        <f t="shared" si="5"/>
        <v/>
      </c>
      <c r="BX19" s="87" t="str">
        <f t="shared" si="5"/>
        <v/>
      </c>
      <c r="BY19" s="87" t="str">
        <f t="shared" si="5"/>
        <v/>
      </c>
      <c r="BZ19" s="87" t="str">
        <f t="shared" si="5"/>
        <v/>
      </c>
      <c r="CA19" s="87" t="str">
        <f t="shared" si="5"/>
        <v/>
      </c>
      <c r="CB19" s="87" t="str">
        <f t="shared" si="5"/>
        <v/>
      </c>
      <c r="CC19" s="87" t="str">
        <f t="shared" ref="CC19:CQ19" si="6">IFERROR(CC15/CC16,"")</f>
        <v/>
      </c>
      <c r="CD19" s="87" t="str">
        <f t="shared" si="6"/>
        <v/>
      </c>
      <c r="CE19" s="87" t="str">
        <f t="shared" si="6"/>
        <v/>
      </c>
      <c r="CF19" s="87" t="str">
        <f t="shared" si="6"/>
        <v/>
      </c>
      <c r="CG19" s="87" t="str">
        <f t="shared" si="6"/>
        <v/>
      </c>
      <c r="CH19" s="87" t="str">
        <f t="shared" si="6"/>
        <v/>
      </c>
      <c r="CI19" s="87" t="str">
        <f t="shared" si="6"/>
        <v/>
      </c>
      <c r="CJ19" s="87" t="str">
        <f t="shared" si="6"/>
        <v/>
      </c>
      <c r="CK19" s="87" t="str">
        <f t="shared" si="6"/>
        <v/>
      </c>
      <c r="CL19" s="87" t="str">
        <f t="shared" si="6"/>
        <v/>
      </c>
      <c r="CM19" s="87" t="str">
        <f t="shared" si="6"/>
        <v/>
      </c>
      <c r="CN19" s="87" t="str">
        <f t="shared" si="6"/>
        <v/>
      </c>
      <c r="CO19" s="87" t="str">
        <f t="shared" si="6"/>
        <v/>
      </c>
      <c r="CP19" s="87" t="str">
        <f t="shared" si="6"/>
        <v/>
      </c>
      <c r="CQ19" s="87" t="str">
        <f t="shared" si="6"/>
        <v/>
      </c>
      <c r="CR19" s="87" t="str">
        <f t="shared" ref="CR19:CT19" si="7">IFERROR(CR15/CR16,"")</f>
        <v/>
      </c>
      <c r="CS19" s="87" t="str">
        <f t="shared" si="7"/>
        <v/>
      </c>
      <c r="CT19" s="87" t="str">
        <f t="shared" si="7"/>
        <v/>
      </c>
      <c r="CU19" s="87"/>
      <c r="CV19" s="87"/>
      <c r="CW19" s="87"/>
      <c r="CX19" s="87"/>
      <c r="CY19" s="87"/>
      <c r="CZ19" s="87"/>
      <c r="DA19" s="87"/>
      <c r="DB19" s="87"/>
      <c r="DC19" s="87"/>
      <c r="DD19" s="87"/>
    </row>
    <row r="20" spans="2:108" ht="12.75" customHeight="1" x14ac:dyDescent="0.25">
      <c r="C20"/>
      <c r="H20" s="54"/>
      <c r="N20" s="10"/>
    </row>
    <row r="21" spans="2:108" ht="12.75" customHeight="1" x14ac:dyDescent="0.25">
      <c r="C21" t="s">
        <v>317</v>
      </c>
      <c r="H21" s="54" t="s">
        <v>25</v>
      </c>
      <c r="J21" s="40" t="b">
        <f>AND(P21:DD21)</f>
        <v>1</v>
      </c>
      <c r="N21" s="10"/>
      <c r="O21" s="204"/>
      <c r="P21" s="204" t="b">
        <f>IF(P19&gt;=P18,TRUE,FALSE)</f>
        <v>1</v>
      </c>
      <c r="Q21" s="204" t="b">
        <f t="shared" ref="Q21:CB21" si="8">IF(Q19&gt;=Q18,TRUE,FALSE)</f>
        <v>1</v>
      </c>
      <c r="R21" s="204" t="b">
        <f t="shared" si="8"/>
        <v>1</v>
      </c>
      <c r="S21" s="204" t="b">
        <f t="shared" si="8"/>
        <v>1</v>
      </c>
      <c r="T21" s="204" t="b">
        <f t="shared" si="8"/>
        <v>1</v>
      </c>
      <c r="U21" s="204" t="b">
        <f t="shared" si="8"/>
        <v>1</v>
      </c>
      <c r="V21" s="204" t="b">
        <f t="shared" si="8"/>
        <v>1</v>
      </c>
      <c r="W21" s="204" t="b">
        <f t="shared" si="8"/>
        <v>1</v>
      </c>
      <c r="X21" s="204" t="b">
        <f t="shared" si="8"/>
        <v>1</v>
      </c>
      <c r="Y21" s="204" t="b">
        <f t="shared" si="8"/>
        <v>1</v>
      </c>
      <c r="Z21" s="204" t="b">
        <f t="shared" si="8"/>
        <v>1</v>
      </c>
      <c r="AA21" s="204" t="b">
        <f t="shared" si="8"/>
        <v>1</v>
      </c>
      <c r="AB21" s="204" t="b">
        <f t="shared" si="8"/>
        <v>1</v>
      </c>
      <c r="AC21" s="204" t="b">
        <f t="shared" si="8"/>
        <v>1</v>
      </c>
      <c r="AD21" s="204" t="b">
        <f t="shared" si="8"/>
        <v>1</v>
      </c>
      <c r="AE21" s="204" t="b">
        <f t="shared" si="8"/>
        <v>1</v>
      </c>
      <c r="AF21" s="204" t="b">
        <f t="shared" si="8"/>
        <v>1</v>
      </c>
      <c r="AG21" s="204" t="b">
        <f t="shared" si="8"/>
        <v>1</v>
      </c>
      <c r="AH21" s="204" t="b">
        <f t="shared" si="8"/>
        <v>1</v>
      </c>
      <c r="AI21" s="204" t="b">
        <f t="shared" si="8"/>
        <v>1</v>
      </c>
      <c r="AJ21" s="204" t="b">
        <f t="shared" si="8"/>
        <v>1</v>
      </c>
      <c r="AK21" s="204" t="b">
        <f t="shared" si="8"/>
        <v>1</v>
      </c>
      <c r="AL21" s="204" t="b">
        <f t="shared" si="8"/>
        <v>1</v>
      </c>
      <c r="AM21" s="204" t="b">
        <f t="shared" si="8"/>
        <v>1</v>
      </c>
      <c r="AN21" s="204" t="b">
        <f t="shared" si="8"/>
        <v>1</v>
      </c>
      <c r="AO21" s="204" t="b">
        <f t="shared" si="8"/>
        <v>1</v>
      </c>
      <c r="AP21" s="204" t="b">
        <f t="shared" si="8"/>
        <v>1</v>
      </c>
      <c r="AQ21" s="204" t="b">
        <f t="shared" si="8"/>
        <v>1</v>
      </c>
      <c r="AR21" s="204" t="b">
        <f t="shared" si="8"/>
        <v>1</v>
      </c>
      <c r="AS21" s="204" t="b">
        <f t="shared" si="8"/>
        <v>1</v>
      </c>
      <c r="AT21" s="204" t="b">
        <f t="shared" si="8"/>
        <v>1</v>
      </c>
      <c r="AU21" s="204" t="b">
        <f t="shared" si="8"/>
        <v>1</v>
      </c>
      <c r="AV21" s="204" t="b">
        <f t="shared" si="8"/>
        <v>1</v>
      </c>
      <c r="AW21" s="204" t="b">
        <f t="shared" si="8"/>
        <v>1</v>
      </c>
      <c r="AX21" s="204" t="b">
        <f t="shared" si="8"/>
        <v>1</v>
      </c>
      <c r="AY21" s="204" t="b">
        <f t="shared" si="8"/>
        <v>1</v>
      </c>
      <c r="AZ21" s="204" t="b">
        <f t="shared" si="8"/>
        <v>1</v>
      </c>
      <c r="BA21" s="204" t="b">
        <f t="shared" si="8"/>
        <v>1</v>
      </c>
      <c r="BB21" s="204" t="b">
        <f t="shared" si="8"/>
        <v>1</v>
      </c>
      <c r="BC21" s="204" t="b">
        <f t="shared" si="8"/>
        <v>1</v>
      </c>
      <c r="BD21" s="204" t="b">
        <f t="shared" si="8"/>
        <v>1</v>
      </c>
      <c r="BE21" s="204" t="b">
        <f t="shared" si="8"/>
        <v>1</v>
      </c>
      <c r="BF21" s="204" t="b">
        <f t="shared" si="8"/>
        <v>1</v>
      </c>
      <c r="BG21" s="204" t="b">
        <f t="shared" si="8"/>
        <v>1</v>
      </c>
      <c r="BH21" s="204" t="b">
        <f t="shared" si="8"/>
        <v>1</v>
      </c>
      <c r="BI21" s="204" t="b">
        <f t="shared" si="8"/>
        <v>1</v>
      </c>
      <c r="BJ21" s="204" t="b">
        <f t="shared" si="8"/>
        <v>1</v>
      </c>
      <c r="BK21" s="204" t="b">
        <f t="shared" si="8"/>
        <v>1</v>
      </c>
      <c r="BL21" s="204" t="b">
        <f t="shared" si="8"/>
        <v>1</v>
      </c>
      <c r="BM21" s="204" t="b">
        <f t="shared" si="8"/>
        <v>1</v>
      </c>
      <c r="BN21" s="204" t="b">
        <f t="shared" si="8"/>
        <v>1</v>
      </c>
      <c r="BO21" s="204" t="b">
        <f t="shared" si="8"/>
        <v>1</v>
      </c>
      <c r="BP21" s="204" t="b">
        <f t="shared" si="8"/>
        <v>1</v>
      </c>
      <c r="BQ21" s="204" t="b">
        <f t="shared" si="8"/>
        <v>1</v>
      </c>
      <c r="BR21" s="204" t="b">
        <f t="shared" si="8"/>
        <v>1</v>
      </c>
      <c r="BS21" s="204" t="b">
        <f t="shared" si="8"/>
        <v>1</v>
      </c>
      <c r="BT21" s="204" t="b">
        <f t="shared" si="8"/>
        <v>1</v>
      </c>
      <c r="BU21" s="204" t="b">
        <f t="shared" si="8"/>
        <v>1</v>
      </c>
      <c r="BV21" s="204" t="b">
        <f t="shared" si="8"/>
        <v>1</v>
      </c>
      <c r="BW21" s="204" t="b">
        <f t="shared" si="8"/>
        <v>1</v>
      </c>
      <c r="BX21" s="204" t="b">
        <f t="shared" si="8"/>
        <v>1</v>
      </c>
      <c r="BY21" s="204" t="b">
        <f t="shared" si="8"/>
        <v>1</v>
      </c>
      <c r="BZ21" s="204" t="b">
        <f t="shared" si="8"/>
        <v>1</v>
      </c>
      <c r="CA21" s="204" t="b">
        <f t="shared" si="8"/>
        <v>1</v>
      </c>
      <c r="CB21" s="204" t="b">
        <f t="shared" si="8"/>
        <v>1</v>
      </c>
      <c r="CC21" s="204" t="b">
        <f t="shared" ref="CC21:CQ21" si="9">IF(CC19&gt;=CC18,TRUE,FALSE)</f>
        <v>1</v>
      </c>
      <c r="CD21" s="204" t="b">
        <f t="shared" si="9"/>
        <v>1</v>
      </c>
      <c r="CE21" s="204" t="b">
        <f t="shared" si="9"/>
        <v>1</v>
      </c>
      <c r="CF21" s="204" t="b">
        <f t="shared" si="9"/>
        <v>1</v>
      </c>
      <c r="CG21" s="204" t="b">
        <f t="shared" si="9"/>
        <v>1</v>
      </c>
      <c r="CH21" s="204" t="b">
        <f t="shared" si="9"/>
        <v>1</v>
      </c>
      <c r="CI21" s="204" t="b">
        <f t="shared" si="9"/>
        <v>1</v>
      </c>
      <c r="CJ21" s="204" t="b">
        <f t="shared" si="9"/>
        <v>1</v>
      </c>
      <c r="CK21" s="204" t="b">
        <f t="shared" si="9"/>
        <v>1</v>
      </c>
      <c r="CL21" s="204" t="b">
        <f t="shared" si="9"/>
        <v>1</v>
      </c>
      <c r="CM21" s="204" t="b">
        <f t="shared" si="9"/>
        <v>1</v>
      </c>
      <c r="CN21" s="204" t="b">
        <f t="shared" si="9"/>
        <v>1</v>
      </c>
      <c r="CO21" s="204" t="b">
        <f t="shared" si="9"/>
        <v>1</v>
      </c>
      <c r="CP21" s="204" t="b">
        <f t="shared" si="9"/>
        <v>1</v>
      </c>
      <c r="CQ21" s="204" t="b">
        <f t="shared" si="9"/>
        <v>1</v>
      </c>
      <c r="CR21" s="204" t="b">
        <f t="shared" ref="CR21:CT21" si="10">IF(CR19&gt;=CR18,TRUE,FALSE)</f>
        <v>1</v>
      </c>
      <c r="CS21" s="204" t="b">
        <f t="shared" si="10"/>
        <v>1</v>
      </c>
      <c r="CT21" s="204" t="b">
        <f t="shared" si="10"/>
        <v>1</v>
      </c>
      <c r="CU21" s="204"/>
      <c r="CV21" s="204"/>
      <c r="CW21" s="204"/>
      <c r="CX21" s="204"/>
      <c r="CY21" s="204"/>
      <c r="CZ21" s="204"/>
      <c r="DA21" s="204"/>
      <c r="DB21" s="204"/>
      <c r="DC21" s="204"/>
      <c r="DD21" s="204"/>
    </row>
    <row r="22" spans="2:108" ht="12.75" customHeight="1" x14ac:dyDescent="0.25">
      <c r="C22"/>
      <c r="H22" s="54"/>
      <c r="N22" s="10"/>
    </row>
    <row r="23" spans="2:108" ht="12.75" customHeight="1" x14ac:dyDescent="0.25">
      <c r="B23" s="21" t="s">
        <v>318</v>
      </c>
      <c r="C23"/>
      <c r="H23" s="54"/>
      <c r="N23" s="10"/>
    </row>
    <row r="24" spans="2:108" ht="12.75" customHeight="1" x14ac:dyDescent="0.25">
      <c r="C24"/>
      <c r="H24" s="54"/>
      <c r="N24" s="10"/>
    </row>
    <row r="25" spans="2:108" ht="12.75" customHeight="1" x14ac:dyDescent="0.25">
      <c r="C25" t="s">
        <v>319</v>
      </c>
      <c r="H25" s="54" t="s">
        <v>3</v>
      </c>
      <c r="N25" s="10"/>
      <c r="O25" s="10"/>
      <c r="P25" s="10">
        <f>O31</f>
        <v>0</v>
      </c>
      <c r="Q25" s="10" t="e">
        <f t="shared" ref="Q25:CB25" si="11">P31</f>
        <v>#REF!</v>
      </c>
      <c r="R25" s="10" t="e">
        <f t="shared" si="11"/>
        <v>#REF!</v>
      </c>
      <c r="S25" s="10" t="e">
        <f t="shared" si="11"/>
        <v>#REF!</v>
      </c>
      <c r="T25" s="10" t="e">
        <f t="shared" si="11"/>
        <v>#REF!</v>
      </c>
      <c r="U25" s="10" t="e">
        <f t="shared" si="11"/>
        <v>#REF!</v>
      </c>
      <c r="V25" s="10" t="e">
        <f t="shared" si="11"/>
        <v>#REF!</v>
      </c>
      <c r="W25" s="10" t="e">
        <f t="shared" si="11"/>
        <v>#REF!</v>
      </c>
      <c r="X25" s="10" t="e">
        <f t="shared" si="11"/>
        <v>#REF!</v>
      </c>
      <c r="Y25" s="10" t="e">
        <f t="shared" si="11"/>
        <v>#REF!</v>
      </c>
      <c r="Z25" s="10" t="e">
        <f t="shared" si="11"/>
        <v>#REF!</v>
      </c>
      <c r="AA25" s="10" t="e">
        <f t="shared" si="11"/>
        <v>#REF!</v>
      </c>
      <c r="AB25" s="10" t="e">
        <f t="shared" si="11"/>
        <v>#REF!</v>
      </c>
      <c r="AC25" s="10" t="e">
        <f t="shared" si="11"/>
        <v>#REF!</v>
      </c>
      <c r="AD25" s="10" t="e">
        <f t="shared" si="11"/>
        <v>#REF!</v>
      </c>
      <c r="AE25" s="10" t="e">
        <f t="shared" si="11"/>
        <v>#REF!</v>
      </c>
      <c r="AF25" s="10" t="e">
        <f t="shared" si="11"/>
        <v>#REF!</v>
      </c>
      <c r="AG25" s="10" t="e">
        <f t="shared" si="11"/>
        <v>#REF!</v>
      </c>
      <c r="AH25" s="10" t="e">
        <f t="shared" si="11"/>
        <v>#REF!</v>
      </c>
      <c r="AI25" s="10" t="e">
        <f t="shared" si="11"/>
        <v>#REF!</v>
      </c>
      <c r="AJ25" s="10" t="e">
        <f t="shared" si="11"/>
        <v>#REF!</v>
      </c>
      <c r="AK25" s="10" t="e">
        <f t="shared" si="11"/>
        <v>#REF!</v>
      </c>
      <c r="AL25" s="10" t="e">
        <f t="shared" si="11"/>
        <v>#REF!</v>
      </c>
      <c r="AM25" s="10" t="e">
        <f t="shared" si="11"/>
        <v>#REF!</v>
      </c>
      <c r="AN25" s="10" t="e">
        <f t="shared" si="11"/>
        <v>#REF!</v>
      </c>
      <c r="AO25" s="10" t="e">
        <f t="shared" si="11"/>
        <v>#REF!</v>
      </c>
      <c r="AP25" s="10" t="e">
        <f t="shared" si="11"/>
        <v>#REF!</v>
      </c>
      <c r="AQ25" s="10" t="e">
        <f t="shared" si="11"/>
        <v>#REF!</v>
      </c>
      <c r="AR25" s="10" t="e">
        <f t="shared" si="11"/>
        <v>#REF!</v>
      </c>
      <c r="AS25" s="10" t="e">
        <f t="shared" si="11"/>
        <v>#REF!</v>
      </c>
      <c r="AT25" s="10" t="e">
        <f t="shared" si="11"/>
        <v>#REF!</v>
      </c>
      <c r="AU25" s="10" t="e">
        <f t="shared" si="11"/>
        <v>#REF!</v>
      </c>
      <c r="AV25" s="10" t="e">
        <f t="shared" si="11"/>
        <v>#REF!</v>
      </c>
      <c r="AW25" s="10" t="e">
        <f t="shared" si="11"/>
        <v>#REF!</v>
      </c>
      <c r="AX25" s="10" t="e">
        <f t="shared" si="11"/>
        <v>#REF!</v>
      </c>
      <c r="AY25" s="10" t="e">
        <f t="shared" si="11"/>
        <v>#REF!</v>
      </c>
      <c r="AZ25" s="10" t="e">
        <f t="shared" si="11"/>
        <v>#REF!</v>
      </c>
      <c r="BA25" s="10" t="e">
        <f t="shared" si="11"/>
        <v>#REF!</v>
      </c>
      <c r="BB25" s="10" t="e">
        <f t="shared" si="11"/>
        <v>#REF!</v>
      </c>
      <c r="BC25" s="10" t="e">
        <f t="shared" si="11"/>
        <v>#REF!</v>
      </c>
      <c r="BD25" s="10" t="e">
        <f t="shared" si="11"/>
        <v>#REF!</v>
      </c>
      <c r="BE25" s="10" t="e">
        <f t="shared" si="11"/>
        <v>#REF!</v>
      </c>
      <c r="BF25" s="10" t="e">
        <f t="shared" si="11"/>
        <v>#REF!</v>
      </c>
      <c r="BG25" s="10" t="e">
        <f t="shared" si="11"/>
        <v>#REF!</v>
      </c>
      <c r="BH25" s="10" t="e">
        <f t="shared" si="11"/>
        <v>#REF!</v>
      </c>
      <c r="BI25" s="10" t="e">
        <f t="shared" si="11"/>
        <v>#REF!</v>
      </c>
      <c r="BJ25" s="10" t="e">
        <f t="shared" si="11"/>
        <v>#REF!</v>
      </c>
      <c r="BK25" s="10" t="e">
        <f t="shared" si="11"/>
        <v>#REF!</v>
      </c>
      <c r="BL25" s="10" t="e">
        <f t="shared" si="11"/>
        <v>#REF!</v>
      </c>
      <c r="BM25" s="10" t="e">
        <f t="shared" si="11"/>
        <v>#REF!</v>
      </c>
      <c r="BN25" s="10" t="e">
        <f t="shared" si="11"/>
        <v>#REF!</v>
      </c>
      <c r="BO25" s="10" t="e">
        <f t="shared" si="11"/>
        <v>#REF!</v>
      </c>
      <c r="BP25" s="10" t="e">
        <f t="shared" si="11"/>
        <v>#REF!</v>
      </c>
      <c r="BQ25" s="10" t="e">
        <f t="shared" si="11"/>
        <v>#REF!</v>
      </c>
      <c r="BR25" s="10" t="e">
        <f t="shared" si="11"/>
        <v>#REF!</v>
      </c>
      <c r="BS25" s="10" t="e">
        <f t="shared" si="11"/>
        <v>#REF!</v>
      </c>
      <c r="BT25" s="10" t="e">
        <f t="shared" si="11"/>
        <v>#REF!</v>
      </c>
      <c r="BU25" s="10" t="e">
        <f t="shared" si="11"/>
        <v>#REF!</v>
      </c>
      <c r="BV25" s="10" t="e">
        <f t="shared" si="11"/>
        <v>#REF!</v>
      </c>
      <c r="BW25" s="10" t="e">
        <f t="shared" si="11"/>
        <v>#REF!</v>
      </c>
      <c r="BX25" s="10" t="e">
        <f t="shared" si="11"/>
        <v>#REF!</v>
      </c>
      <c r="BY25" s="10" t="e">
        <f t="shared" si="11"/>
        <v>#REF!</v>
      </c>
      <c r="BZ25" s="10" t="e">
        <f t="shared" si="11"/>
        <v>#REF!</v>
      </c>
      <c r="CA25" s="10" t="e">
        <f t="shared" si="11"/>
        <v>#REF!</v>
      </c>
      <c r="CB25" s="10" t="e">
        <f t="shared" si="11"/>
        <v>#REF!</v>
      </c>
      <c r="CC25" s="10" t="e">
        <f t="shared" ref="CC25:CQ25" si="12">CB31</f>
        <v>#REF!</v>
      </c>
      <c r="CD25" s="10" t="e">
        <f t="shared" si="12"/>
        <v>#REF!</v>
      </c>
      <c r="CE25" s="10" t="e">
        <f t="shared" si="12"/>
        <v>#REF!</v>
      </c>
      <c r="CF25" s="10" t="e">
        <f t="shared" si="12"/>
        <v>#REF!</v>
      </c>
      <c r="CG25" s="10" t="e">
        <f t="shared" si="12"/>
        <v>#REF!</v>
      </c>
      <c r="CH25" s="10" t="e">
        <f t="shared" si="12"/>
        <v>#REF!</v>
      </c>
      <c r="CI25" s="10" t="e">
        <f t="shared" si="12"/>
        <v>#REF!</v>
      </c>
      <c r="CJ25" s="10" t="e">
        <f t="shared" si="12"/>
        <v>#REF!</v>
      </c>
      <c r="CK25" s="10" t="e">
        <f t="shared" si="12"/>
        <v>#REF!</v>
      </c>
      <c r="CL25" s="10" t="e">
        <f t="shared" si="12"/>
        <v>#REF!</v>
      </c>
      <c r="CM25" s="10" t="e">
        <f t="shared" si="12"/>
        <v>#REF!</v>
      </c>
      <c r="CN25" s="10" t="e">
        <f t="shared" si="12"/>
        <v>#REF!</v>
      </c>
      <c r="CO25" s="10" t="e">
        <f t="shared" si="12"/>
        <v>#REF!</v>
      </c>
      <c r="CP25" s="10" t="e">
        <f t="shared" si="12"/>
        <v>#REF!</v>
      </c>
      <c r="CQ25" s="10" t="e">
        <f t="shared" si="12"/>
        <v>#REF!</v>
      </c>
      <c r="CR25" s="10" t="e">
        <f t="shared" ref="CR25" si="13">CQ31</f>
        <v>#REF!</v>
      </c>
      <c r="CS25" s="10" t="e">
        <f t="shared" ref="CS25" si="14">CR31</f>
        <v>#REF!</v>
      </c>
      <c r="CT25" s="10" t="e">
        <f t="shared" ref="CT25" si="15">CS31</f>
        <v>#REF!</v>
      </c>
      <c r="CU25" s="10"/>
      <c r="CV25" s="10"/>
      <c r="CW25" s="10"/>
      <c r="CX25" s="10"/>
      <c r="CY25" s="10"/>
      <c r="CZ25" s="10"/>
      <c r="DA25" s="10"/>
      <c r="DB25" s="10"/>
      <c r="DC25" s="10"/>
      <c r="DD25" s="10"/>
    </row>
    <row r="26" spans="2:108" ht="12.75" customHeight="1" x14ac:dyDescent="0.25">
      <c r="C26" s="54" t="s">
        <v>34</v>
      </c>
      <c r="D26" t="s">
        <v>320</v>
      </c>
      <c r="H26" s="54" t="s">
        <v>3</v>
      </c>
      <c r="N26" s="25" t="e">
        <f>SUM(P26:DD26)</f>
        <v>#REF!</v>
      </c>
      <c r="O26" s="10"/>
      <c r="P26" s="10" t="e">
        <f>IS!P27</f>
        <v>#REF!</v>
      </c>
      <c r="Q26" s="10" t="e">
        <f>IS!Q27</f>
        <v>#REF!</v>
      </c>
      <c r="R26" s="10" t="e">
        <f>IS!R27</f>
        <v>#REF!</v>
      </c>
      <c r="S26" s="10" t="e">
        <f>IS!S27</f>
        <v>#REF!</v>
      </c>
      <c r="T26" s="10" t="e">
        <f>IS!T27</f>
        <v>#REF!</v>
      </c>
      <c r="U26" s="10" t="e">
        <f>IS!U27</f>
        <v>#REF!</v>
      </c>
      <c r="V26" s="10" t="e">
        <f>IS!V27</f>
        <v>#REF!</v>
      </c>
      <c r="W26" s="10" t="e">
        <f>IS!W27</f>
        <v>#REF!</v>
      </c>
      <c r="X26" s="10" t="e">
        <f>IS!X27</f>
        <v>#REF!</v>
      </c>
      <c r="Y26" s="10" t="e">
        <f>IS!Y27</f>
        <v>#REF!</v>
      </c>
      <c r="Z26" s="10" t="e">
        <f>IS!Z27</f>
        <v>#REF!</v>
      </c>
      <c r="AA26" s="10" t="e">
        <f>IS!AA27</f>
        <v>#REF!</v>
      </c>
      <c r="AB26" s="10" t="e">
        <f>IS!AB27</f>
        <v>#REF!</v>
      </c>
      <c r="AC26" s="10" t="e">
        <f>IS!AC27</f>
        <v>#REF!</v>
      </c>
      <c r="AD26" s="10" t="e">
        <f>IS!AD27</f>
        <v>#REF!</v>
      </c>
      <c r="AE26" s="10" t="e">
        <f>IS!AE27</f>
        <v>#REF!</v>
      </c>
      <c r="AF26" s="10" t="e">
        <f>IS!AF27</f>
        <v>#REF!</v>
      </c>
      <c r="AG26" s="10" t="e">
        <f>IS!AG27</f>
        <v>#REF!</v>
      </c>
      <c r="AH26" s="10" t="e">
        <f>IS!AH27</f>
        <v>#REF!</v>
      </c>
      <c r="AI26" s="10" t="e">
        <f>IS!AI27</f>
        <v>#REF!</v>
      </c>
      <c r="AJ26" s="10" t="e">
        <f>IS!AJ27</f>
        <v>#REF!</v>
      </c>
      <c r="AK26" s="10" t="e">
        <f>IS!AK27</f>
        <v>#REF!</v>
      </c>
      <c r="AL26" s="10" t="e">
        <f>IS!AL27</f>
        <v>#REF!</v>
      </c>
      <c r="AM26" s="10" t="e">
        <f>IS!AM27</f>
        <v>#REF!</v>
      </c>
      <c r="AN26" s="10" t="e">
        <f>IS!AN27</f>
        <v>#REF!</v>
      </c>
      <c r="AO26" s="10" t="e">
        <f>IS!AO27</f>
        <v>#REF!</v>
      </c>
      <c r="AP26" s="10" t="e">
        <f>IS!AP27</f>
        <v>#REF!</v>
      </c>
      <c r="AQ26" s="10" t="e">
        <f>IS!AQ27</f>
        <v>#REF!</v>
      </c>
      <c r="AR26" s="10" t="e">
        <f>IS!AR27</f>
        <v>#REF!</v>
      </c>
      <c r="AS26" s="10" t="e">
        <f>IS!AS27</f>
        <v>#REF!</v>
      </c>
      <c r="AT26" s="10" t="e">
        <f>IS!AT27</f>
        <v>#REF!</v>
      </c>
      <c r="AU26" s="10" t="e">
        <f>IS!AU27</f>
        <v>#REF!</v>
      </c>
      <c r="AV26" s="10" t="e">
        <f>IS!AV27</f>
        <v>#REF!</v>
      </c>
      <c r="AW26" s="10" t="e">
        <f>IS!AW27</f>
        <v>#REF!</v>
      </c>
      <c r="AX26" s="10" t="e">
        <f>IS!AX27</f>
        <v>#REF!</v>
      </c>
      <c r="AY26" s="10" t="e">
        <f>IS!AY27</f>
        <v>#REF!</v>
      </c>
      <c r="AZ26" s="10" t="e">
        <f>IS!AZ27</f>
        <v>#REF!</v>
      </c>
      <c r="BA26" s="10" t="e">
        <f>IS!BA27</f>
        <v>#REF!</v>
      </c>
      <c r="BB26" s="10" t="e">
        <f>IS!BB27</f>
        <v>#REF!</v>
      </c>
      <c r="BC26" s="10" t="e">
        <f>IS!BC27</f>
        <v>#REF!</v>
      </c>
      <c r="BD26" s="10" t="e">
        <f>IS!BD27</f>
        <v>#REF!</v>
      </c>
      <c r="BE26" s="10" t="e">
        <f>IS!BE27</f>
        <v>#REF!</v>
      </c>
      <c r="BF26" s="10" t="e">
        <f>IS!BF27</f>
        <v>#REF!</v>
      </c>
      <c r="BG26" s="10" t="e">
        <f>IS!BG27</f>
        <v>#REF!</v>
      </c>
      <c r="BH26" s="10" t="e">
        <f>IS!BH27</f>
        <v>#REF!</v>
      </c>
      <c r="BI26" s="10" t="e">
        <f>IS!BI27</f>
        <v>#REF!</v>
      </c>
      <c r="BJ26" s="10" t="e">
        <f>IS!BJ27</f>
        <v>#REF!</v>
      </c>
      <c r="BK26" s="10" t="e">
        <f>IS!BK27</f>
        <v>#REF!</v>
      </c>
      <c r="BL26" s="10" t="e">
        <f>IS!BL27</f>
        <v>#REF!</v>
      </c>
      <c r="BM26" s="10" t="e">
        <f>IS!BM27</f>
        <v>#REF!</v>
      </c>
      <c r="BN26" s="10" t="e">
        <f>IS!BN27</f>
        <v>#REF!</v>
      </c>
      <c r="BO26" s="10" t="e">
        <f>IS!BO27</f>
        <v>#REF!</v>
      </c>
      <c r="BP26" s="10" t="e">
        <f>IS!BP27</f>
        <v>#REF!</v>
      </c>
      <c r="BQ26" s="10" t="e">
        <f>IS!BQ27</f>
        <v>#REF!</v>
      </c>
      <c r="BR26" s="10" t="e">
        <f>IS!BR27</f>
        <v>#REF!</v>
      </c>
      <c r="BS26" s="10" t="e">
        <f>IS!BS27</f>
        <v>#REF!</v>
      </c>
      <c r="BT26" s="10" t="e">
        <f>IS!BT27</f>
        <v>#REF!</v>
      </c>
      <c r="BU26" s="10" t="e">
        <f>IS!BU27</f>
        <v>#REF!</v>
      </c>
      <c r="BV26" s="10" t="e">
        <f>IS!BV27</f>
        <v>#REF!</v>
      </c>
      <c r="BW26" s="10" t="e">
        <f>IS!BW27</f>
        <v>#REF!</v>
      </c>
      <c r="BX26" s="10" t="e">
        <f>IS!BX27</f>
        <v>#REF!</v>
      </c>
      <c r="BY26" s="10" t="e">
        <f>IS!BY27</f>
        <v>#REF!</v>
      </c>
      <c r="BZ26" s="10" t="e">
        <f>IS!BZ27</f>
        <v>#REF!</v>
      </c>
      <c r="CA26" s="10" t="e">
        <f>IS!CA27</f>
        <v>#REF!</v>
      </c>
      <c r="CB26" s="10" t="e">
        <f>IS!CB27</f>
        <v>#REF!</v>
      </c>
      <c r="CC26" s="10" t="e">
        <f>IS!CC27</f>
        <v>#REF!</v>
      </c>
      <c r="CD26" s="10" t="e">
        <f>IS!CD27</f>
        <v>#REF!</v>
      </c>
      <c r="CE26" s="10" t="e">
        <f>IS!CE27</f>
        <v>#REF!</v>
      </c>
      <c r="CF26" s="10" t="e">
        <f>IS!CF27</f>
        <v>#REF!</v>
      </c>
      <c r="CG26" s="10" t="e">
        <f>IS!CG27</f>
        <v>#REF!</v>
      </c>
      <c r="CH26" s="10" t="e">
        <f>IS!CH27</f>
        <v>#REF!</v>
      </c>
      <c r="CI26" s="10" t="e">
        <f>IS!CI27</f>
        <v>#REF!</v>
      </c>
      <c r="CJ26" s="10" t="e">
        <f>IS!CJ27</f>
        <v>#REF!</v>
      </c>
      <c r="CK26" s="10" t="e">
        <f>IS!CK27</f>
        <v>#REF!</v>
      </c>
      <c r="CL26" s="10" t="e">
        <f>IS!CL27</f>
        <v>#REF!</v>
      </c>
      <c r="CM26" s="10" t="e">
        <f>IS!CM27</f>
        <v>#REF!</v>
      </c>
      <c r="CN26" s="10" t="e">
        <f>IS!CN27</f>
        <v>#REF!</v>
      </c>
      <c r="CO26" s="10" t="e">
        <f>IS!CO27</f>
        <v>#REF!</v>
      </c>
      <c r="CP26" s="10" t="e">
        <f>IS!CP27</f>
        <v>#REF!</v>
      </c>
      <c r="CQ26" s="10" t="e">
        <f>IS!CQ27</f>
        <v>#REF!</v>
      </c>
      <c r="CR26" s="10">
        <f>IS!CR27</f>
        <v>0</v>
      </c>
      <c r="CS26" s="10">
        <f>IS!CS27</f>
        <v>0</v>
      </c>
      <c r="CT26" s="10">
        <f>IS!CT27</f>
        <v>0</v>
      </c>
      <c r="CU26" s="10"/>
      <c r="CV26" s="10"/>
      <c r="CW26" s="10"/>
      <c r="CX26" s="10"/>
      <c r="CY26" s="10"/>
      <c r="CZ26" s="10"/>
      <c r="DA26" s="10"/>
      <c r="DB26" s="10"/>
      <c r="DC26" s="10"/>
      <c r="DD26" s="10"/>
    </row>
    <row r="27" spans="2:108" ht="12.75" customHeight="1" x14ac:dyDescent="0.25">
      <c r="C27" t="s">
        <v>321</v>
      </c>
      <c r="H27" s="54" t="s">
        <v>3</v>
      </c>
      <c r="N27" s="10"/>
      <c r="O27" s="10"/>
      <c r="P27" s="10" t="e">
        <f t="shared" ref="P27:CA27" si="16">SUM(P25:P26)</f>
        <v>#REF!</v>
      </c>
      <c r="Q27" s="10" t="e">
        <f t="shared" si="16"/>
        <v>#REF!</v>
      </c>
      <c r="R27" s="10" t="e">
        <f t="shared" si="16"/>
        <v>#REF!</v>
      </c>
      <c r="S27" s="10" t="e">
        <f t="shared" si="16"/>
        <v>#REF!</v>
      </c>
      <c r="T27" s="10" t="e">
        <f t="shared" si="16"/>
        <v>#REF!</v>
      </c>
      <c r="U27" s="10" t="e">
        <f t="shared" si="16"/>
        <v>#REF!</v>
      </c>
      <c r="V27" s="10" t="e">
        <f t="shared" si="16"/>
        <v>#REF!</v>
      </c>
      <c r="W27" s="10" t="e">
        <f t="shared" si="16"/>
        <v>#REF!</v>
      </c>
      <c r="X27" s="10" t="e">
        <f t="shared" si="16"/>
        <v>#REF!</v>
      </c>
      <c r="Y27" s="10" t="e">
        <f t="shared" si="16"/>
        <v>#REF!</v>
      </c>
      <c r="Z27" s="10" t="e">
        <f t="shared" si="16"/>
        <v>#REF!</v>
      </c>
      <c r="AA27" s="10" t="e">
        <f t="shared" si="16"/>
        <v>#REF!</v>
      </c>
      <c r="AB27" s="10" t="e">
        <f t="shared" si="16"/>
        <v>#REF!</v>
      </c>
      <c r="AC27" s="10" t="e">
        <f t="shared" si="16"/>
        <v>#REF!</v>
      </c>
      <c r="AD27" s="10" t="e">
        <f t="shared" si="16"/>
        <v>#REF!</v>
      </c>
      <c r="AE27" s="10" t="e">
        <f t="shared" si="16"/>
        <v>#REF!</v>
      </c>
      <c r="AF27" s="10" t="e">
        <f t="shared" si="16"/>
        <v>#REF!</v>
      </c>
      <c r="AG27" s="10" t="e">
        <f t="shared" si="16"/>
        <v>#REF!</v>
      </c>
      <c r="AH27" s="10" t="e">
        <f t="shared" si="16"/>
        <v>#REF!</v>
      </c>
      <c r="AI27" s="10" t="e">
        <f t="shared" si="16"/>
        <v>#REF!</v>
      </c>
      <c r="AJ27" s="10" t="e">
        <f t="shared" si="16"/>
        <v>#REF!</v>
      </c>
      <c r="AK27" s="10" t="e">
        <f t="shared" si="16"/>
        <v>#REF!</v>
      </c>
      <c r="AL27" s="10" t="e">
        <f t="shared" si="16"/>
        <v>#REF!</v>
      </c>
      <c r="AM27" s="10" t="e">
        <f t="shared" si="16"/>
        <v>#REF!</v>
      </c>
      <c r="AN27" s="10" t="e">
        <f t="shared" si="16"/>
        <v>#REF!</v>
      </c>
      <c r="AO27" s="10" t="e">
        <f t="shared" si="16"/>
        <v>#REF!</v>
      </c>
      <c r="AP27" s="10" t="e">
        <f t="shared" si="16"/>
        <v>#REF!</v>
      </c>
      <c r="AQ27" s="10" t="e">
        <f t="shared" si="16"/>
        <v>#REF!</v>
      </c>
      <c r="AR27" s="10" t="e">
        <f t="shared" si="16"/>
        <v>#REF!</v>
      </c>
      <c r="AS27" s="10" t="e">
        <f t="shared" si="16"/>
        <v>#REF!</v>
      </c>
      <c r="AT27" s="10" t="e">
        <f t="shared" si="16"/>
        <v>#REF!</v>
      </c>
      <c r="AU27" s="10" t="e">
        <f t="shared" si="16"/>
        <v>#REF!</v>
      </c>
      <c r="AV27" s="10" t="e">
        <f t="shared" si="16"/>
        <v>#REF!</v>
      </c>
      <c r="AW27" s="10" t="e">
        <f t="shared" si="16"/>
        <v>#REF!</v>
      </c>
      <c r="AX27" s="10" t="e">
        <f t="shared" si="16"/>
        <v>#REF!</v>
      </c>
      <c r="AY27" s="10" t="e">
        <f t="shared" si="16"/>
        <v>#REF!</v>
      </c>
      <c r="AZ27" s="10" t="e">
        <f t="shared" si="16"/>
        <v>#REF!</v>
      </c>
      <c r="BA27" s="10" t="e">
        <f t="shared" si="16"/>
        <v>#REF!</v>
      </c>
      <c r="BB27" s="10" t="e">
        <f t="shared" si="16"/>
        <v>#REF!</v>
      </c>
      <c r="BC27" s="10" t="e">
        <f t="shared" si="16"/>
        <v>#REF!</v>
      </c>
      <c r="BD27" s="10" t="e">
        <f t="shared" si="16"/>
        <v>#REF!</v>
      </c>
      <c r="BE27" s="10" t="e">
        <f t="shared" si="16"/>
        <v>#REF!</v>
      </c>
      <c r="BF27" s="10" t="e">
        <f t="shared" si="16"/>
        <v>#REF!</v>
      </c>
      <c r="BG27" s="10" t="e">
        <f t="shared" si="16"/>
        <v>#REF!</v>
      </c>
      <c r="BH27" s="10" t="e">
        <f t="shared" si="16"/>
        <v>#REF!</v>
      </c>
      <c r="BI27" s="10" t="e">
        <f t="shared" si="16"/>
        <v>#REF!</v>
      </c>
      <c r="BJ27" s="10" t="e">
        <f t="shared" si="16"/>
        <v>#REF!</v>
      </c>
      <c r="BK27" s="10" t="e">
        <f t="shared" si="16"/>
        <v>#REF!</v>
      </c>
      <c r="BL27" s="10" t="e">
        <f t="shared" si="16"/>
        <v>#REF!</v>
      </c>
      <c r="BM27" s="10" t="e">
        <f t="shared" si="16"/>
        <v>#REF!</v>
      </c>
      <c r="BN27" s="10" t="e">
        <f t="shared" si="16"/>
        <v>#REF!</v>
      </c>
      <c r="BO27" s="10" t="e">
        <f t="shared" si="16"/>
        <v>#REF!</v>
      </c>
      <c r="BP27" s="10" t="e">
        <f t="shared" si="16"/>
        <v>#REF!</v>
      </c>
      <c r="BQ27" s="10" t="e">
        <f t="shared" si="16"/>
        <v>#REF!</v>
      </c>
      <c r="BR27" s="10" t="e">
        <f t="shared" si="16"/>
        <v>#REF!</v>
      </c>
      <c r="BS27" s="10" t="e">
        <f t="shared" si="16"/>
        <v>#REF!</v>
      </c>
      <c r="BT27" s="10" t="e">
        <f t="shared" si="16"/>
        <v>#REF!</v>
      </c>
      <c r="BU27" s="10" t="e">
        <f t="shared" si="16"/>
        <v>#REF!</v>
      </c>
      <c r="BV27" s="10" t="e">
        <f t="shared" si="16"/>
        <v>#REF!</v>
      </c>
      <c r="BW27" s="10" t="e">
        <f t="shared" si="16"/>
        <v>#REF!</v>
      </c>
      <c r="BX27" s="10" t="e">
        <f t="shared" si="16"/>
        <v>#REF!</v>
      </c>
      <c r="BY27" s="10" t="e">
        <f t="shared" si="16"/>
        <v>#REF!</v>
      </c>
      <c r="BZ27" s="10" t="e">
        <f t="shared" si="16"/>
        <v>#REF!</v>
      </c>
      <c r="CA27" s="10" t="e">
        <f t="shared" si="16"/>
        <v>#REF!</v>
      </c>
      <c r="CB27" s="10" t="e">
        <f t="shared" ref="CB27:CQ27" si="17">SUM(CB25:CB26)</f>
        <v>#REF!</v>
      </c>
      <c r="CC27" s="10" t="e">
        <f t="shared" si="17"/>
        <v>#REF!</v>
      </c>
      <c r="CD27" s="10" t="e">
        <f t="shared" si="17"/>
        <v>#REF!</v>
      </c>
      <c r="CE27" s="10" t="e">
        <f t="shared" si="17"/>
        <v>#REF!</v>
      </c>
      <c r="CF27" s="10" t="e">
        <f t="shared" si="17"/>
        <v>#REF!</v>
      </c>
      <c r="CG27" s="10" t="e">
        <f t="shared" si="17"/>
        <v>#REF!</v>
      </c>
      <c r="CH27" s="10" t="e">
        <f t="shared" si="17"/>
        <v>#REF!</v>
      </c>
      <c r="CI27" s="10" t="e">
        <f t="shared" si="17"/>
        <v>#REF!</v>
      </c>
      <c r="CJ27" s="10" t="e">
        <f t="shared" si="17"/>
        <v>#REF!</v>
      </c>
      <c r="CK27" s="10" t="e">
        <f t="shared" si="17"/>
        <v>#REF!</v>
      </c>
      <c r="CL27" s="10" t="e">
        <f t="shared" si="17"/>
        <v>#REF!</v>
      </c>
      <c r="CM27" s="10" t="e">
        <f t="shared" si="17"/>
        <v>#REF!</v>
      </c>
      <c r="CN27" s="10" t="e">
        <f t="shared" si="17"/>
        <v>#REF!</v>
      </c>
      <c r="CO27" s="10" t="e">
        <f t="shared" si="17"/>
        <v>#REF!</v>
      </c>
      <c r="CP27" s="10" t="e">
        <f t="shared" si="17"/>
        <v>#REF!</v>
      </c>
      <c r="CQ27" s="10" t="e">
        <f t="shared" si="17"/>
        <v>#REF!</v>
      </c>
      <c r="CR27" s="10" t="e">
        <f t="shared" ref="CR27:CT27" si="18">SUM(CR25:CR26)</f>
        <v>#REF!</v>
      </c>
      <c r="CS27" s="10" t="e">
        <f t="shared" si="18"/>
        <v>#REF!</v>
      </c>
      <c r="CT27" s="10" t="e">
        <f t="shared" si="18"/>
        <v>#REF!</v>
      </c>
      <c r="CU27" s="10"/>
      <c r="CV27" s="10"/>
      <c r="CW27" s="10"/>
      <c r="CX27" s="10"/>
      <c r="CY27" s="10"/>
      <c r="CZ27" s="10"/>
      <c r="DA27" s="10"/>
      <c r="DB27" s="10"/>
      <c r="DC27" s="10"/>
      <c r="DD27" s="10"/>
    </row>
    <row r="28" spans="2:108" ht="12.75" customHeight="1" x14ac:dyDescent="0.25">
      <c r="C28"/>
      <c r="H28" s="54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</row>
    <row r="29" spans="2:108" ht="12.75" customHeight="1" x14ac:dyDescent="0.25">
      <c r="C29" t="s">
        <v>295</v>
      </c>
      <c r="H29" s="54" t="s">
        <v>3</v>
      </c>
      <c r="N29" s="25" t="e">
        <f>SUM(P29:DD29)</f>
        <v>#REF!</v>
      </c>
      <c r="O29" s="10"/>
      <c r="P29" s="10" t="e">
        <f t="shared" ref="P29:CA29" si="19">P50</f>
        <v>#REF!</v>
      </c>
      <c r="Q29" s="10" t="e">
        <f t="shared" si="19"/>
        <v>#REF!</v>
      </c>
      <c r="R29" s="10" t="e">
        <f t="shared" si="19"/>
        <v>#REF!</v>
      </c>
      <c r="S29" s="10" t="e">
        <f t="shared" si="19"/>
        <v>#REF!</v>
      </c>
      <c r="T29" s="10" t="e">
        <f t="shared" si="19"/>
        <v>#REF!</v>
      </c>
      <c r="U29" s="10" t="e">
        <f t="shared" si="19"/>
        <v>#REF!</v>
      </c>
      <c r="V29" s="10" t="e">
        <f t="shared" si="19"/>
        <v>#REF!</v>
      </c>
      <c r="W29" s="10" t="e">
        <f t="shared" si="19"/>
        <v>#REF!</v>
      </c>
      <c r="X29" s="10" t="e">
        <f t="shared" si="19"/>
        <v>#REF!</v>
      </c>
      <c r="Y29" s="10" t="e">
        <f t="shared" si="19"/>
        <v>#REF!</v>
      </c>
      <c r="Z29" s="10" t="e">
        <f t="shared" si="19"/>
        <v>#REF!</v>
      </c>
      <c r="AA29" s="10" t="e">
        <f t="shared" si="19"/>
        <v>#REF!</v>
      </c>
      <c r="AB29" s="10" t="e">
        <f t="shared" si="19"/>
        <v>#REF!</v>
      </c>
      <c r="AC29" s="10" t="e">
        <f t="shared" si="19"/>
        <v>#REF!</v>
      </c>
      <c r="AD29" s="10" t="e">
        <f t="shared" si="19"/>
        <v>#REF!</v>
      </c>
      <c r="AE29" s="10" t="e">
        <f t="shared" si="19"/>
        <v>#REF!</v>
      </c>
      <c r="AF29" s="10" t="e">
        <f t="shared" si="19"/>
        <v>#REF!</v>
      </c>
      <c r="AG29" s="10" t="e">
        <f t="shared" si="19"/>
        <v>#REF!</v>
      </c>
      <c r="AH29" s="10" t="e">
        <f t="shared" si="19"/>
        <v>#REF!</v>
      </c>
      <c r="AI29" s="10" t="e">
        <f t="shared" si="19"/>
        <v>#REF!</v>
      </c>
      <c r="AJ29" s="10" t="e">
        <f t="shared" si="19"/>
        <v>#REF!</v>
      </c>
      <c r="AK29" s="10" t="e">
        <f t="shared" si="19"/>
        <v>#REF!</v>
      </c>
      <c r="AL29" s="10" t="e">
        <f t="shared" si="19"/>
        <v>#REF!</v>
      </c>
      <c r="AM29" s="10" t="e">
        <f t="shared" si="19"/>
        <v>#REF!</v>
      </c>
      <c r="AN29" s="10" t="e">
        <f t="shared" si="19"/>
        <v>#REF!</v>
      </c>
      <c r="AO29" s="10" t="e">
        <f t="shared" si="19"/>
        <v>#REF!</v>
      </c>
      <c r="AP29" s="10" t="e">
        <f t="shared" si="19"/>
        <v>#REF!</v>
      </c>
      <c r="AQ29" s="10" t="e">
        <f t="shared" si="19"/>
        <v>#REF!</v>
      </c>
      <c r="AR29" s="10" t="e">
        <f t="shared" si="19"/>
        <v>#REF!</v>
      </c>
      <c r="AS29" s="10" t="e">
        <f t="shared" si="19"/>
        <v>#REF!</v>
      </c>
      <c r="AT29" s="10" t="e">
        <f t="shared" si="19"/>
        <v>#REF!</v>
      </c>
      <c r="AU29" s="10" t="e">
        <f t="shared" si="19"/>
        <v>#REF!</v>
      </c>
      <c r="AV29" s="10" t="e">
        <f t="shared" si="19"/>
        <v>#REF!</v>
      </c>
      <c r="AW29" s="10" t="e">
        <f t="shared" si="19"/>
        <v>#REF!</v>
      </c>
      <c r="AX29" s="10" t="e">
        <f t="shared" si="19"/>
        <v>#REF!</v>
      </c>
      <c r="AY29" s="10" t="e">
        <f t="shared" si="19"/>
        <v>#REF!</v>
      </c>
      <c r="AZ29" s="10" t="e">
        <f t="shared" si="19"/>
        <v>#REF!</v>
      </c>
      <c r="BA29" s="10" t="e">
        <f t="shared" si="19"/>
        <v>#REF!</v>
      </c>
      <c r="BB29" s="10" t="e">
        <f t="shared" si="19"/>
        <v>#REF!</v>
      </c>
      <c r="BC29" s="10" t="e">
        <f t="shared" si="19"/>
        <v>#REF!</v>
      </c>
      <c r="BD29" s="10" t="e">
        <f t="shared" si="19"/>
        <v>#REF!</v>
      </c>
      <c r="BE29" s="10" t="e">
        <f t="shared" si="19"/>
        <v>#REF!</v>
      </c>
      <c r="BF29" s="10" t="e">
        <f t="shared" si="19"/>
        <v>#REF!</v>
      </c>
      <c r="BG29" s="10" t="e">
        <f t="shared" si="19"/>
        <v>#REF!</v>
      </c>
      <c r="BH29" s="10" t="e">
        <f t="shared" si="19"/>
        <v>#REF!</v>
      </c>
      <c r="BI29" s="10" t="e">
        <f t="shared" si="19"/>
        <v>#REF!</v>
      </c>
      <c r="BJ29" s="10" t="e">
        <f t="shared" si="19"/>
        <v>#REF!</v>
      </c>
      <c r="BK29" s="10" t="e">
        <f t="shared" si="19"/>
        <v>#REF!</v>
      </c>
      <c r="BL29" s="10" t="e">
        <f t="shared" si="19"/>
        <v>#REF!</v>
      </c>
      <c r="BM29" s="10" t="e">
        <f t="shared" si="19"/>
        <v>#REF!</v>
      </c>
      <c r="BN29" s="10" t="e">
        <f t="shared" si="19"/>
        <v>#REF!</v>
      </c>
      <c r="BO29" s="10" t="e">
        <f t="shared" si="19"/>
        <v>#REF!</v>
      </c>
      <c r="BP29" s="10" t="e">
        <f t="shared" si="19"/>
        <v>#REF!</v>
      </c>
      <c r="BQ29" s="10" t="e">
        <f t="shared" si="19"/>
        <v>#REF!</v>
      </c>
      <c r="BR29" s="10" t="e">
        <f t="shared" si="19"/>
        <v>#REF!</v>
      </c>
      <c r="BS29" s="10" t="e">
        <f t="shared" si="19"/>
        <v>#REF!</v>
      </c>
      <c r="BT29" s="10" t="e">
        <f t="shared" si="19"/>
        <v>#REF!</v>
      </c>
      <c r="BU29" s="10" t="e">
        <f t="shared" si="19"/>
        <v>#REF!</v>
      </c>
      <c r="BV29" s="10" t="e">
        <f t="shared" si="19"/>
        <v>#REF!</v>
      </c>
      <c r="BW29" s="10" t="e">
        <f t="shared" si="19"/>
        <v>#REF!</v>
      </c>
      <c r="BX29" s="10" t="e">
        <f t="shared" si="19"/>
        <v>#REF!</v>
      </c>
      <c r="BY29" s="10" t="e">
        <f t="shared" si="19"/>
        <v>#REF!</v>
      </c>
      <c r="BZ29" s="10" t="e">
        <f t="shared" si="19"/>
        <v>#REF!</v>
      </c>
      <c r="CA29" s="10" t="e">
        <f t="shared" si="19"/>
        <v>#REF!</v>
      </c>
      <c r="CB29" s="10" t="e">
        <f t="shared" ref="CB29:CQ29" si="20">CB50</f>
        <v>#REF!</v>
      </c>
      <c r="CC29" s="10" t="e">
        <f t="shared" si="20"/>
        <v>#REF!</v>
      </c>
      <c r="CD29" s="10" t="e">
        <f t="shared" si="20"/>
        <v>#REF!</v>
      </c>
      <c r="CE29" s="10" t="e">
        <f t="shared" si="20"/>
        <v>#REF!</v>
      </c>
      <c r="CF29" s="10" t="e">
        <f t="shared" si="20"/>
        <v>#REF!</v>
      </c>
      <c r="CG29" s="10" t="e">
        <f t="shared" si="20"/>
        <v>#REF!</v>
      </c>
      <c r="CH29" s="10" t="e">
        <f t="shared" si="20"/>
        <v>#REF!</v>
      </c>
      <c r="CI29" s="10" t="e">
        <f t="shared" si="20"/>
        <v>#REF!</v>
      </c>
      <c r="CJ29" s="10" t="e">
        <f t="shared" si="20"/>
        <v>#REF!</v>
      </c>
      <c r="CK29" s="10" t="e">
        <f t="shared" si="20"/>
        <v>#REF!</v>
      </c>
      <c r="CL29" s="10" t="e">
        <f t="shared" si="20"/>
        <v>#REF!</v>
      </c>
      <c r="CM29" s="10" t="e">
        <f t="shared" si="20"/>
        <v>#REF!</v>
      </c>
      <c r="CN29" s="10" t="e">
        <f t="shared" si="20"/>
        <v>#REF!</v>
      </c>
      <c r="CO29" s="10" t="e">
        <f t="shared" si="20"/>
        <v>#REF!</v>
      </c>
      <c r="CP29" s="10" t="e">
        <f t="shared" si="20"/>
        <v>#REF!</v>
      </c>
      <c r="CQ29" s="10" t="e">
        <f t="shared" si="20"/>
        <v>#REF!</v>
      </c>
      <c r="CR29" s="10" t="e">
        <f t="shared" ref="CR29:CT29" si="21">CR50</f>
        <v>#REF!</v>
      </c>
      <c r="CS29" s="10" t="e">
        <f t="shared" si="21"/>
        <v>#REF!</v>
      </c>
      <c r="CT29" s="10" t="e">
        <f t="shared" si="21"/>
        <v>#REF!</v>
      </c>
      <c r="CU29" s="10"/>
      <c r="CV29" s="10"/>
      <c r="CW29" s="10"/>
      <c r="CX29" s="10"/>
      <c r="CY29" s="10"/>
      <c r="CZ29" s="10"/>
      <c r="DA29" s="10"/>
      <c r="DB29" s="10"/>
      <c r="DC29" s="10"/>
      <c r="DD29" s="10"/>
    </row>
    <row r="30" spans="2:108" ht="12.75" customHeight="1" x14ac:dyDescent="0.25">
      <c r="C30"/>
      <c r="H30" s="54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</row>
    <row r="31" spans="2:108" ht="12.75" customHeight="1" x14ac:dyDescent="0.25">
      <c r="C31" t="s">
        <v>322</v>
      </c>
      <c r="H31" s="54" t="s">
        <v>3</v>
      </c>
      <c r="N31" s="10"/>
      <c r="O31" s="10"/>
      <c r="P31" s="10" t="e">
        <f t="shared" ref="P31:CA31" si="22">P27-P29</f>
        <v>#REF!</v>
      </c>
      <c r="Q31" s="10" t="e">
        <f t="shared" si="22"/>
        <v>#REF!</v>
      </c>
      <c r="R31" s="10" t="e">
        <f t="shared" si="22"/>
        <v>#REF!</v>
      </c>
      <c r="S31" s="10" t="e">
        <f t="shared" si="22"/>
        <v>#REF!</v>
      </c>
      <c r="T31" s="10" t="e">
        <f t="shared" si="22"/>
        <v>#REF!</v>
      </c>
      <c r="U31" s="10" t="e">
        <f t="shared" si="22"/>
        <v>#REF!</v>
      </c>
      <c r="V31" s="10" t="e">
        <f t="shared" si="22"/>
        <v>#REF!</v>
      </c>
      <c r="W31" s="10" t="e">
        <f t="shared" si="22"/>
        <v>#REF!</v>
      </c>
      <c r="X31" s="10" t="e">
        <f t="shared" si="22"/>
        <v>#REF!</v>
      </c>
      <c r="Y31" s="10" t="e">
        <f t="shared" si="22"/>
        <v>#REF!</v>
      </c>
      <c r="Z31" s="10" t="e">
        <f t="shared" si="22"/>
        <v>#REF!</v>
      </c>
      <c r="AA31" s="10" t="e">
        <f t="shared" si="22"/>
        <v>#REF!</v>
      </c>
      <c r="AB31" s="10" t="e">
        <f t="shared" si="22"/>
        <v>#REF!</v>
      </c>
      <c r="AC31" s="10" t="e">
        <f t="shared" si="22"/>
        <v>#REF!</v>
      </c>
      <c r="AD31" s="10" t="e">
        <f t="shared" si="22"/>
        <v>#REF!</v>
      </c>
      <c r="AE31" s="10" t="e">
        <f t="shared" si="22"/>
        <v>#REF!</v>
      </c>
      <c r="AF31" s="10" t="e">
        <f t="shared" si="22"/>
        <v>#REF!</v>
      </c>
      <c r="AG31" s="10" t="e">
        <f t="shared" si="22"/>
        <v>#REF!</v>
      </c>
      <c r="AH31" s="10" t="e">
        <f t="shared" si="22"/>
        <v>#REF!</v>
      </c>
      <c r="AI31" s="10" t="e">
        <f t="shared" si="22"/>
        <v>#REF!</v>
      </c>
      <c r="AJ31" s="10" t="e">
        <f t="shared" si="22"/>
        <v>#REF!</v>
      </c>
      <c r="AK31" s="10" t="e">
        <f t="shared" si="22"/>
        <v>#REF!</v>
      </c>
      <c r="AL31" s="10" t="e">
        <f t="shared" si="22"/>
        <v>#REF!</v>
      </c>
      <c r="AM31" s="10" t="e">
        <f t="shared" si="22"/>
        <v>#REF!</v>
      </c>
      <c r="AN31" s="10" t="e">
        <f t="shared" si="22"/>
        <v>#REF!</v>
      </c>
      <c r="AO31" s="10" t="e">
        <f t="shared" si="22"/>
        <v>#REF!</v>
      </c>
      <c r="AP31" s="10" t="e">
        <f t="shared" si="22"/>
        <v>#REF!</v>
      </c>
      <c r="AQ31" s="10" t="e">
        <f t="shared" si="22"/>
        <v>#REF!</v>
      </c>
      <c r="AR31" s="10" t="e">
        <f t="shared" si="22"/>
        <v>#REF!</v>
      </c>
      <c r="AS31" s="10" t="e">
        <f t="shared" si="22"/>
        <v>#REF!</v>
      </c>
      <c r="AT31" s="10" t="e">
        <f t="shared" si="22"/>
        <v>#REF!</v>
      </c>
      <c r="AU31" s="10" t="e">
        <f t="shared" si="22"/>
        <v>#REF!</v>
      </c>
      <c r="AV31" s="10" t="e">
        <f t="shared" si="22"/>
        <v>#REF!</v>
      </c>
      <c r="AW31" s="10" t="e">
        <f t="shared" si="22"/>
        <v>#REF!</v>
      </c>
      <c r="AX31" s="10" t="e">
        <f t="shared" si="22"/>
        <v>#REF!</v>
      </c>
      <c r="AY31" s="10" t="e">
        <f t="shared" si="22"/>
        <v>#REF!</v>
      </c>
      <c r="AZ31" s="10" t="e">
        <f t="shared" si="22"/>
        <v>#REF!</v>
      </c>
      <c r="BA31" s="10" t="e">
        <f t="shared" si="22"/>
        <v>#REF!</v>
      </c>
      <c r="BB31" s="10" t="e">
        <f t="shared" si="22"/>
        <v>#REF!</v>
      </c>
      <c r="BC31" s="10" t="e">
        <f t="shared" si="22"/>
        <v>#REF!</v>
      </c>
      <c r="BD31" s="10" t="e">
        <f t="shared" si="22"/>
        <v>#REF!</v>
      </c>
      <c r="BE31" s="10" t="e">
        <f t="shared" si="22"/>
        <v>#REF!</v>
      </c>
      <c r="BF31" s="10" t="e">
        <f t="shared" si="22"/>
        <v>#REF!</v>
      </c>
      <c r="BG31" s="10" t="e">
        <f t="shared" si="22"/>
        <v>#REF!</v>
      </c>
      <c r="BH31" s="10" t="e">
        <f t="shared" si="22"/>
        <v>#REF!</v>
      </c>
      <c r="BI31" s="10" t="e">
        <f t="shared" si="22"/>
        <v>#REF!</v>
      </c>
      <c r="BJ31" s="10" t="e">
        <f t="shared" si="22"/>
        <v>#REF!</v>
      </c>
      <c r="BK31" s="10" t="e">
        <f t="shared" si="22"/>
        <v>#REF!</v>
      </c>
      <c r="BL31" s="10" t="e">
        <f t="shared" si="22"/>
        <v>#REF!</v>
      </c>
      <c r="BM31" s="10" t="e">
        <f t="shared" si="22"/>
        <v>#REF!</v>
      </c>
      <c r="BN31" s="10" t="e">
        <f t="shared" si="22"/>
        <v>#REF!</v>
      </c>
      <c r="BO31" s="10" t="e">
        <f t="shared" si="22"/>
        <v>#REF!</v>
      </c>
      <c r="BP31" s="10" t="e">
        <f t="shared" si="22"/>
        <v>#REF!</v>
      </c>
      <c r="BQ31" s="10" t="e">
        <f t="shared" si="22"/>
        <v>#REF!</v>
      </c>
      <c r="BR31" s="10" t="e">
        <f t="shared" si="22"/>
        <v>#REF!</v>
      </c>
      <c r="BS31" s="10" t="e">
        <f t="shared" si="22"/>
        <v>#REF!</v>
      </c>
      <c r="BT31" s="10" t="e">
        <f t="shared" si="22"/>
        <v>#REF!</v>
      </c>
      <c r="BU31" s="10" t="e">
        <f t="shared" si="22"/>
        <v>#REF!</v>
      </c>
      <c r="BV31" s="10" t="e">
        <f t="shared" si="22"/>
        <v>#REF!</v>
      </c>
      <c r="BW31" s="10" t="e">
        <f t="shared" si="22"/>
        <v>#REF!</v>
      </c>
      <c r="BX31" s="10" t="e">
        <f t="shared" si="22"/>
        <v>#REF!</v>
      </c>
      <c r="BY31" s="10" t="e">
        <f t="shared" si="22"/>
        <v>#REF!</v>
      </c>
      <c r="BZ31" s="10" t="e">
        <f t="shared" si="22"/>
        <v>#REF!</v>
      </c>
      <c r="CA31" s="10" t="e">
        <f t="shared" si="22"/>
        <v>#REF!</v>
      </c>
      <c r="CB31" s="10" t="e">
        <f t="shared" ref="CB31:CQ31" si="23">CB27-CB29</f>
        <v>#REF!</v>
      </c>
      <c r="CC31" s="10" t="e">
        <f t="shared" si="23"/>
        <v>#REF!</v>
      </c>
      <c r="CD31" s="10" t="e">
        <f t="shared" si="23"/>
        <v>#REF!</v>
      </c>
      <c r="CE31" s="10" t="e">
        <f t="shared" si="23"/>
        <v>#REF!</v>
      </c>
      <c r="CF31" s="10" t="e">
        <f t="shared" si="23"/>
        <v>#REF!</v>
      </c>
      <c r="CG31" s="10" t="e">
        <f t="shared" si="23"/>
        <v>#REF!</v>
      </c>
      <c r="CH31" s="10" t="e">
        <f t="shared" si="23"/>
        <v>#REF!</v>
      </c>
      <c r="CI31" s="10" t="e">
        <f t="shared" si="23"/>
        <v>#REF!</v>
      </c>
      <c r="CJ31" s="10" t="e">
        <f t="shared" si="23"/>
        <v>#REF!</v>
      </c>
      <c r="CK31" s="10" t="e">
        <f t="shared" si="23"/>
        <v>#REF!</v>
      </c>
      <c r="CL31" s="10" t="e">
        <f t="shared" si="23"/>
        <v>#REF!</v>
      </c>
      <c r="CM31" s="10" t="e">
        <f t="shared" si="23"/>
        <v>#REF!</v>
      </c>
      <c r="CN31" s="10" t="e">
        <f t="shared" si="23"/>
        <v>#REF!</v>
      </c>
      <c r="CO31" s="10" t="e">
        <f t="shared" si="23"/>
        <v>#REF!</v>
      </c>
      <c r="CP31" s="10" t="e">
        <f t="shared" si="23"/>
        <v>#REF!</v>
      </c>
      <c r="CQ31" s="10" t="e">
        <f t="shared" si="23"/>
        <v>#REF!</v>
      </c>
      <c r="CR31" s="10" t="e">
        <f t="shared" ref="CR31:CT31" si="24">CR27-CR29</f>
        <v>#REF!</v>
      </c>
      <c r="CS31" s="10" t="e">
        <f t="shared" si="24"/>
        <v>#REF!</v>
      </c>
      <c r="CT31" s="10" t="e">
        <f t="shared" si="24"/>
        <v>#REF!</v>
      </c>
      <c r="CU31" s="10"/>
      <c r="CV31" s="10"/>
      <c r="CW31" s="10"/>
      <c r="CX31" s="10"/>
      <c r="CY31" s="10"/>
      <c r="CZ31" s="10"/>
      <c r="DA31" s="10"/>
      <c r="DB31" s="10"/>
      <c r="DC31" s="10"/>
      <c r="DD31" s="10"/>
    </row>
    <row r="32" spans="2:108" ht="12.75" customHeight="1" x14ac:dyDescent="0.25">
      <c r="C32"/>
      <c r="H32" s="54"/>
      <c r="N32" s="10"/>
    </row>
    <row r="33" spans="2:108" ht="12.75" customHeight="1" x14ac:dyDescent="0.25">
      <c r="B33" s="21" t="s">
        <v>323</v>
      </c>
      <c r="C33"/>
      <c r="H33" s="54"/>
      <c r="N33" s="10"/>
    </row>
    <row r="34" spans="2:108" ht="12.75" customHeight="1" x14ac:dyDescent="0.25">
      <c r="C34"/>
      <c r="H34" s="54"/>
      <c r="N34" s="10"/>
    </row>
    <row r="35" spans="2:108" ht="12.75" customHeight="1" x14ac:dyDescent="0.25">
      <c r="C35" t="s">
        <v>324</v>
      </c>
      <c r="H35" s="54" t="s">
        <v>3</v>
      </c>
      <c r="N35" s="10"/>
      <c r="O35" s="10"/>
      <c r="P35" s="10">
        <f>O41</f>
        <v>0</v>
      </c>
      <c r="Q35" s="10" t="e">
        <f t="shared" ref="Q35:CB35" si="25">P41</f>
        <v>#REF!</v>
      </c>
      <c r="R35" s="10" t="e">
        <f t="shared" si="25"/>
        <v>#REF!</v>
      </c>
      <c r="S35" s="10" t="e">
        <f t="shared" si="25"/>
        <v>#REF!</v>
      </c>
      <c r="T35" s="10" t="e">
        <f t="shared" si="25"/>
        <v>#REF!</v>
      </c>
      <c r="U35" s="10" t="e">
        <f t="shared" si="25"/>
        <v>#REF!</v>
      </c>
      <c r="V35" s="10" t="e">
        <f t="shared" si="25"/>
        <v>#REF!</v>
      </c>
      <c r="W35" s="10" t="e">
        <f t="shared" si="25"/>
        <v>#REF!</v>
      </c>
      <c r="X35" s="10" t="e">
        <f t="shared" si="25"/>
        <v>#REF!</v>
      </c>
      <c r="Y35" s="10" t="e">
        <f t="shared" si="25"/>
        <v>#REF!</v>
      </c>
      <c r="Z35" s="10" t="e">
        <f t="shared" si="25"/>
        <v>#REF!</v>
      </c>
      <c r="AA35" s="10" t="e">
        <f t="shared" si="25"/>
        <v>#REF!</v>
      </c>
      <c r="AB35" s="10" t="e">
        <f t="shared" si="25"/>
        <v>#REF!</v>
      </c>
      <c r="AC35" s="10" t="e">
        <f t="shared" si="25"/>
        <v>#REF!</v>
      </c>
      <c r="AD35" s="10" t="e">
        <f t="shared" si="25"/>
        <v>#REF!</v>
      </c>
      <c r="AE35" s="10" t="e">
        <f t="shared" si="25"/>
        <v>#REF!</v>
      </c>
      <c r="AF35" s="10" t="e">
        <f t="shared" si="25"/>
        <v>#REF!</v>
      </c>
      <c r="AG35" s="10" t="e">
        <f t="shared" si="25"/>
        <v>#REF!</v>
      </c>
      <c r="AH35" s="10" t="e">
        <f t="shared" si="25"/>
        <v>#REF!</v>
      </c>
      <c r="AI35" s="10" t="e">
        <f t="shared" si="25"/>
        <v>#REF!</v>
      </c>
      <c r="AJ35" s="10" t="e">
        <f t="shared" si="25"/>
        <v>#REF!</v>
      </c>
      <c r="AK35" s="10" t="e">
        <f t="shared" si="25"/>
        <v>#REF!</v>
      </c>
      <c r="AL35" s="10" t="e">
        <f t="shared" si="25"/>
        <v>#REF!</v>
      </c>
      <c r="AM35" s="10" t="e">
        <f t="shared" si="25"/>
        <v>#REF!</v>
      </c>
      <c r="AN35" s="10" t="e">
        <f t="shared" si="25"/>
        <v>#REF!</v>
      </c>
      <c r="AO35" s="10" t="e">
        <f t="shared" si="25"/>
        <v>#REF!</v>
      </c>
      <c r="AP35" s="10" t="e">
        <f t="shared" si="25"/>
        <v>#REF!</v>
      </c>
      <c r="AQ35" s="10" t="e">
        <f t="shared" si="25"/>
        <v>#REF!</v>
      </c>
      <c r="AR35" s="10" t="e">
        <f t="shared" si="25"/>
        <v>#REF!</v>
      </c>
      <c r="AS35" s="10" t="e">
        <f t="shared" si="25"/>
        <v>#REF!</v>
      </c>
      <c r="AT35" s="10" t="e">
        <f t="shared" si="25"/>
        <v>#REF!</v>
      </c>
      <c r="AU35" s="10" t="e">
        <f t="shared" si="25"/>
        <v>#REF!</v>
      </c>
      <c r="AV35" s="10" t="e">
        <f t="shared" si="25"/>
        <v>#REF!</v>
      </c>
      <c r="AW35" s="10" t="e">
        <f t="shared" si="25"/>
        <v>#REF!</v>
      </c>
      <c r="AX35" s="10" t="e">
        <f t="shared" si="25"/>
        <v>#REF!</v>
      </c>
      <c r="AY35" s="10" t="e">
        <f t="shared" si="25"/>
        <v>#REF!</v>
      </c>
      <c r="AZ35" s="10" t="e">
        <f t="shared" si="25"/>
        <v>#REF!</v>
      </c>
      <c r="BA35" s="10" t="e">
        <f t="shared" si="25"/>
        <v>#REF!</v>
      </c>
      <c r="BB35" s="10" t="e">
        <f t="shared" si="25"/>
        <v>#REF!</v>
      </c>
      <c r="BC35" s="10" t="e">
        <f t="shared" si="25"/>
        <v>#REF!</v>
      </c>
      <c r="BD35" s="10" t="e">
        <f t="shared" si="25"/>
        <v>#REF!</v>
      </c>
      <c r="BE35" s="10" t="e">
        <f t="shared" si="25"/>
        <v>#REF!</v>
      </c>
      <c r="BF35" s="10" t="e">
        <f t="shared" si="25"/>
        <v>#REF!</v>
      </c>
      <c r="BG35" s="10" t="e">
        <f t="shared" si="25"/>
        <v>#REF!</v>
      </c>
      <c r="BH35" s="10" t="e">
        <f t="shared" si="25"/>
        <v>#REF!</v>
      </c>
      <c r="BI35" s="10" t="e">
        <f t="shared" si="25"/>
        <v>#REF!</v>
      </c>
      <c r="BJ35" s="10" t="e">
        <f t="shared" si="25"/>
        <v>#REF!</v>
      </c>
      <c r="BK35" s="10" t="e">
        <f t="shared" si="25"/>
        <v>#REF!</v>
      </c>
      <c r="BL35" s="10" t="e">
        <f t="shared" si="25"/>
        <v>#REF!</v>
      </c>
      <c r="BM35" s="10" t="e">
        <f t="shared" si="25"/>
        <v>#REF!</v>
      </c>
      <c r="BN35" s="10" t="e">
        <f t="shared" si="25"/>
        <v>#REF!</v>
      </c>
      <c r="BO35" s="10" t="e">
        <f t="shared" si="25"/>
        <v>#REF!</v>
      </c>
      <c r="BP35" s="10" t="e">
        <f t="shared" si="25"/>
        <v>#REF!</v>
      </c>
      <c r="BQ35" s="10" t="e">
        <f t="shared" si="25"/>
        <v>#REF!</v>
      </c>
      <c r="BR35" s="10" t="e">
        <f t="shared" si="25"/>
        <v>#REF!</v>
      </c>
      <c r="BS35" s="10" t="e">
        <f t="shared" si="25"/>
        <v>#REF!</v>
      </c>
      <c r="BT35" s="10" t="e">
        <f t="shared" si="25"/>
        <v>#REF!</v>
      </c>
      <c r="BU35" s="10" t="e">
        <f t="shared" si="25"/>
        <v>#REF!</v>
      </c>
      <c r="BV35" s="10" t="e">
        <f t="shared" si="25"/>
        <v>#REF!</v>
      </c>
      <c r="BW35" s="10" t="e">
        <f t="shared" si="25"/>
        <v>#REF!</v>
      </c>
      <c r="BX35" s="10" t="e">
        <f t="shared" si="25"/>
        <v>#REF!</v>
      </c>
      <c r="BY35" s="10" t="e">
        <f t="shared" si="25"/>
        <v>#REF!</v>
      </c>
      <c r="BZ35" s="10" t="e">
        <f t="shared" si="25"/>
        <v>#REF!</v>
      </c>
      <c r="CA35" s="10" t="e">
        <f t="shared" si="25"/>
        <v>#REF!</v>
      </c>
      <c r="CB35" s="10" t="e">
        <f t="shared" si="25"/>
        <v>#REF!</v>
      </c>
      <c r="CC35" s="10" t="e">
        <f t="shared" ref="CC35:CQ35" si="26">CB41</f>
        <v>#REF!</v>
      </c>
      <c r="CD35" s="10" t="e">
        <f t="shared" si="26"/>
        <v>#REF!</v>
      </c>
      <c r="CE35" s="10" t="e">
        <f t="shared" si="26"/>
        <v>#REF!</v>
      </c>
      <c r="CF35" s="10" t="e">
        <f t="shared" si="26"/>
        <v>#REF!</v>
      </c>
      <c r="CG35" s="10" t="e">
        <f t="shared" si="26"/>
        <v>#REF!</v>
      </c>
      <c r="CH35" s="10" t="e">
        <f t="shared" si="26"/>
        <v>#REF!</v>
      </c>
      <c r="CI35" s="10" t="e">
        <f t="shared" si="26"/>
        <v>#REF!</v>
      </c>
      <c r="CJ35" s="10" t="e">
        <f t="shared" si="26"/>
        <v>#REF!</v>
      </c>
      <c r="CK35" s="10" t="e">
        <f t="shared" si="26"/>
        <v>#REF!</v>
      </c>
      <c r="CL35" s="10" t="e">
        <f t="shared" si="26"/>
        <v>#REF!</v>
      </c>
      <c r="CM35" s="10" t="e">
        <f t="shared" si="26"/>
        <v>#REF!</v>
      </c>
      <c r="CN35" s="10" t="e">
        <f t="shared" si="26"/>
        <v>#REF!</v>
      </c>
      <c r="CO35" s="10" t="e">
        <f t="shared" si="26"/>
        <v>#REF!</v>
      </c>
      <c r="CP35" s="10" t="e">
        <f t="shared" si="26"/>
        <v>#REF!</v>
      </c>
      <c r="CQ35" s="10" t="e">
        <f t="shared" si="26"/>
        <v>#REF!</v>
      </c>
      <c r="CR35" s="10" t="e">
        <f t="shared" ref="CR35" si="27">CQ41</f>
        <v>#REF!</v>
      </c>
      <c r="CS35" s="10" t="e">
        <f t="shared" ref="CS35" si="28">CR41</f>
        <v>#REF!</v>
      </c>
      <c r="CT35" s="10" t="e">
        <f t="shared" ref="CT35" si="29">CS41</f>
        <v>#REF!</v>
      </c>
      <c r="CU35" s="10"/>
      <c r="CV35" s="10"/>
      <c r="CW35" s="10"/>
      <c r="CX35" s="10"/>
      <c r="CY35" s="10"/>
      <c r="CZ35" s="10"/>
      <c r="DA35" s="10"/>
      <c r="DB35" s="10"/>
      <c r="DC35" s="10"/>
      <c r="DD35" s="10"/>
    </row>
    <row r="36" spans="2:108" ht="12.75" customHeight="1" x14ac:dyDescent="0.25">
      <c r="C36" s="54" t="s">
        <v>34</v>
      </c>
      <c r="D36" t="s">
        <v>325</v>
      </c>
      <c r="H36" s="54" t="s">
        <v>3</v>
      </c>
      <c r="N36" s="25" t="e">
        <f>SUM(P36:DD36)</f>
        <v>#REF!</v>
      </c>
      <c r="O36" s="10"/>
      <c r="P36" s="10" t="e">
        <f>CF!P42+CF!P44</f>
        <v>#REF!</v>
      </c>
      <c r="Q36" s="10" t="e">
        <f>CF!Q42+CF!Q44</f>
        <v>#REF!</v>
      </c>
      <c r="R36" s="10" t="e">
        <f>CF!R42+CF!R44</f>
        <v>#REF!</v>
      </c>
      <c r="S36" s="10" t="e">
        <f>CF!S42+CF!S44</f>
        <v>#REF!</v>
      </c>
      <c r="T36" s="10" t="e">
        <f>CF!T42+CF!T44</f>
        <v>#REF!</v>
      </c>
      <c r="U36" s="10" t="e">
        <f>CF!U42+CF!U44</f>
        <v>#REF!</v>
      </c>
      <c r="V36" s="10" t="e">
        <f>CF!V42+CF!V44</f>
        <v>#REF!</v>
      </c>
      <c r="W36" s="10" t="e">
        <f>CF!W42+CF!W44</f>
        <v>#REF!</v>
      </c>
      <c r="X36" s="10" t="e">
        <f>CF!X42+CF!X44</f>
        <v>#REF!</v>
      </c>
      <c r="Y36" s="10" t="e">
        <f>CF!Y42+CF!Y44</f>
        <v>#REF!</v>
      </c>
      <c r="Z36" s="10" t="e">
        <f>CF!Z42+CF!Z44</f>
        <v>#REF!</v>
      </c>
      <c r="AA36" s="10" t="e">
        <f>CF!AA42+CF!AA44</f>
        <v>#REF!</v>
      </c>
      <c r="AB36" s="10" t="e">
        <f>CF!AB42+CF!AB44</f>
        <v>#REF!</v>
      </c>
      <c r="AC36" s="10" t="e">
        <f>CF!AC42+CF!AC44</f>
        <v>#REF!</v>
      </c>
      <c r="AD36" s="10" t="e">
        <f>CF!AD42+CF!AD44</f>
        <v>#REF!</v>
      </c>
      <c r="AE36" s="10" t="e">
        <f>CF!AE42+CF!AE44</f>
        <v>#REF!</v>
      </c>
      <c r="AF36" s="10" t="e">
        <f>CF!AF42+CF!AF44</f>
        <v>#REF!</v>
      </c>
      <c r="AG36" s="10" t="e">
        <f>CF!AG42+CF!AG44</f>
        <v>#REF!</v>
      </c>
      <c r="AH36" s="10" t="e">
        <f>CF!AH42+CF!AH44</f>
        <v>#REF!</v>
      </c>
      <c r="AI36" s="10" t="e">
        <f>CF!AI42+CF!AI44</f>
        <v>#REF!</v>
      </c>
      <c r="AJ36" s="10" t="e">
        <f>CF!AJ42+CF!AJ44</f>
        <v>#REF!</v>
      </c>
      <c r="AK36" s="10" t="e">
        <f>CF!AK42+CF!AK44</f>
        <v>#REF!</v>
      </c>
      <c r="AL36" s="10" t="e">
        <f>CF!AL42+CF!AL44</f>
        <v>#REF!</v>
      </c>
      <c r="AM36" s="10" t="e">
        <f>CF!AM42+CF!AM44</f>
        <v>#REF!</v>
      </c>
      <c r="AN36" s="10" t="e">
        <f>CF!AN42+CF!AN44</f>
        <v>#REF!</v>
      </c>
      <c r="AO36" s="10" t="e">
        <f>CF!AO42+CF!AO44</f>
        <v>#REF!</v>
      </c>
      <c r="AP36" s="10" t="e">
        <f>CF!AP42+CF!AP44</f>
        <v>#REF!</v>
      </c>
      <c r="AQ36" s="10" t="e">
        <f>CF!AQ42+CF!AQ44</f>
        <v>#REF!</v>
      </c>
      <c r="AR36" s="10" t="e">
        <f>CF!AR42+CF!AR44</f>
        <v>#REF!</v>
      </c>
      <c r="AS36" s="10" t="e">
        <f>CF!AS42+CF!AS44</f>
        <v>#REF!</v>
      </c>
      <c r="AT36" s="10" t="e">
        <f>CF!AT42+CF!AT44</f>
        <v>#REF!</v>
      </c>
      <c r="AU36" s="10" t="e">
        <f>CF!AU42+CF!AU44</f>
        <v>#REF!</v>
      </c>
      <c r="AV36" s="10" t="e">
        <f>CF!AV42+CF!AV44</f>
        <v>#REF!</v>
      </c>
      <c r="AW36" s="10" t="e">
        <f>CF!AW42+CF!AW44</f>
        <v>#REF!</v>
      </c>
      <c r="AX36" s="10" t="e">
        <f>CF!AX42+CF!AX44</f>
        <v>#REF!</v>
      </c>
      <c r="AY36" s="10" t="e">
        <f>CF!AY42+CF!AY44</f>
        <v>#REF!</v>
      </c>
      <c r="AZ36" s="10" t="e">
        <f>CF!AZ42+CF!AZ44</f>
        <v>#REF!</v>
      </c>
      <c r="BA36" s="10" t="e">
        <f>CF!BA42+CF!BA44</f>
        <v>#REF!</v>
      </c>
      <c r="BB36" s="10" t="e">
        <f>CF!BB42+CF!BB44</f>
        <v>#REF!</v>
      </c>
      <c r="BC36" s="10" t="e">
        <f>CF!BC42+CF!BC44</f>
        <v>#REF!</v>
      </c>
      <c r="BD36" s="10" t="e">
        <f>CF!BD42+CF!BD44</f>
        <v>#REF!</v>
      </c>
      <c r="BE36" s="10" t="e">
        <f>CF!BE42+CF!BE44</f>
        <v>#REF!</v>
      </c>
      <c r="BF36" s="10" t="e">
        <f>CF!BF42+CF!BF44</f>
        <v>#REF!</v>
      </c>
      <c r="BG36" s="10" t="e">
        <f>CF!BG42+CF!BG44</f>
        <v>#REF!</v>
      </c>
      <c r="BH36" s="10" t="e">
        <f>CF!BH42+CF!BH44</f>
        <v>#REF!</v>
      </c>
      <c r="BI36" s="10" t="e">
        <f>CF!BI42+CF!BI44</f>
        <v>#REF!</v>
      </c>
      <c r="BJ36" s="10" t="e">
        <f>CF!BJ42+CF!BJ44</f>
        <v>#REF!</v>
      </c>
      <c r="BK36" s="10" t="e">
        <f>CF!BK42+CF!BK44</f>
        <v>#REF!</v>
      </c>
      <c r="BL36" s="10" t="e">
        <f>CF!BL42+CF!BL44</f>
        <v>#REF!</v>
      </c>
      <c r="BM36" s="10" t="e">
        <f>CF!BM42+CF!BM44</f>
        <v>#REF!</v>
      </c>
      <c r="BN36" s="10" t="e">
        <f>CF!BN42+CF!BN44</f>
        <v>#REF!</v>
      </c>
      <c r="BO36" s="10" t="e">
        <f>CF!BO42+CF!BO44</f>
        <v>#REF!</v>
      </c>
      <c r="BP36" s="10" t="e">
        <f>CF!BP42+CF!BP44</f>
        <v>#REF!</v>
      </c>
      <c r="BQ36" s="10" t="e">
        <f>CF!BQ42+CF!BQ44</f>
        <v>#REF!</v>
      </c>
      <c r="BR36" s="10" t="e">
        <f>CF!BR42+CF!BR44</f>
        <v>#REF!</v>
      </c>
      <c r="BS36" s="10" t="e">
        <f>CF!BS42+CF!BS44</f>
        <v>#REF!</v>
      </c>
      <c r="BT36" s="10" t="e">
        <f>CF!BT42+CF!BT44</f>
        <v>#REF!</v>
      </c>
      <c r="BU36" s="10" t="e">
        <f>CF!BU42+CF!BU44</f>
        <v>#REF!</v>
      </c>
      <c r="BV36" s="10" t="e">
        <f>CF!BV42+CF!BV44</f>
        <v>#REF!</v>
      </c>
      <c r="BW36" s="10" t="e">
        <f>CF!BW42+CF!BW44</f>
        <v>#REF!</v>
      </c>
      <c r="BX36" s="10" t="e">
        <f>CF!BX42+CF!BX44</f>
        <v>#REF!</v>
      </c>
      <c r="BY36" s="10" t="e">
        <f>CF!BY42+CF!BY44</f>
        <v>#REF!</v>
      </c>
      <c r="BZ36" s="10" t="e">
        <f>CF!BZ42+CF!BZ44</f>
        <v>#REF!</v>
      </c>
      <c r="CA36" s="10" t="e">
        <f>CF!CA42+CF!CA44</f>
        <v>#REF!</v>
      </c>
      <c r="CB36" s="10" t="e">
        <f>CF!CB42+CF!CB44</f>
        <v>#REF!</v>
      </c>
      <c r="CC36" s="10" t="e">
        <f>CF!CC42+CF!CC44</f>
        <v>#REF!</v>
      </c>
      <c r="CD36" s="10" t="e">
        <f>CF!CD42+CF!CD44</f>
        <v>#REF!</v>
      </c>
      <c r="CE36" s="10" t="e">
        <f>CF!CE42+CF!CE44</f>
        <v>#REF!</v>
      </c>
      <c r="CF36" s="10" t="e">
        <f>CF!CF42+CF!CF44</f>
        <v>#REF!</v>
      </c>
      <c r="CG36" s="10" t="e">
        <f>CF!CG42+CF!CG44</f>
        <v>#REF!</v>
      </c>
      <c r="CH36" s="10" t="e">
        <f>CF!CH42+CF!CH44</f>
        <v>#REF!</v>
      </c>
      <c r="CI36" s="10" t="e">
        <f>CF!CI42+CF!CI44</f>
        <v>#REF!</v>
      </c>
      <c r="CJ36" s="10" t="e">
        <f>CF!CJ42+CF!CJ44</f>
        <v>#REF!</v>
      </c>
      <c r="CK36" s="10" t="e">
        <f>CF!CK42+CF!CK44</f>
        <v>#REF!</v>
      </c>
      <c r="CL36" s="10" t="e">
        <f>CF!CL42+CF!CL44</f>
        <v>#REF!</v>
      </c>
      <c r="CM36" s="10" t="e">
        <f>CF!CM42+CF!CM44</f>
        <v>#REF!</v>
      </c>
      <c r="CN36" s="10" t="e">
        <f>CF!CN42+CF!CN44</f>
        <v>#REF!</v>
      </c>
      <c r="CO36" s="10" t="e">
        <f>CF!CO42+CF!CO44</f>
        <v>#REF!</v>
      </c>
      <c r="CP36" s="10" t="e">
        <f>CF!CP42+CF!CP44</f>
        <v>#REF!</v>
      </c>
      <c r="CQ36" s="10" t="e">
        <f>CF!CQ42+CF!CQ44</f>
        <v>#REF!</v>
      </c>
      <c r="CR36" s="10" t="e">
        <f>CF!CR42+CF!CR44</f>
        <v>#REF!</v>
      </c>
      <c r="CS36" s="10" t="e">
        <f>CF!CS42+CF!CS44</f>
        <v>#REF!</v>
      </c>
      <c r="CT36" s="10" t="e">
        <f>CF!CT42+CF!CT44</f>
        <v>#REF!</v>
      </c>
      <c r="CU36" s="10"/>
      <c r="CV36" s="10"/>
      <c r="CW36" s="10"/>
      <c r="CX36" s="10"/>
      <c r="CY36" s="10"/>
      <c r="CZ36" s="10"/>
      <c r="DA36" s="10"/>
      <c r="DB36" s="10"/>
      <c r="DC36" s="10"/>
      <c r="DD36" s="10"/>
    </row>
    <row r="37" spans="2:108" ht="12.75" customHeight="1" x14ac:dyDescent="0.25">
      <c r="C37" t="s">
        <v>321</v>
      </c>
      <c r="H37" s="54" t="s">
        <v>3</v>
      </c>
      <c r="N37" s="10"/>
      <c r="O37" s="10"/>
      <c r="P37" s="10" t="e">
        <f t="shared" ref="P37:CA37" si="30">SUM(P35:P36)</f>
        <v>#REF!</v>
      </c>
      <c r="Q37" s="10" t="e">
        <f t="shared" si="30"/>
        <v>#REF!</v>
      </c>
      <c r="R37" s="10" t="e">
        <f t="shared" si="30"/>
        <v>#REF!</v>
      </c>
      <c r="S37" s="10" t="e">
        <f t="shared" si="30"/>
        <v>#REF!</v>
      </c>
      <c r="T37" s="10" t="e">
        <f t="shared" si="30"/>
        <v>#REF!</v>
      </c>
      <c r="U37" s="10" t="e">
        <f t="shared" si="30"/>
        <v>#REF!</v>
      </c>
      <c r="V37" s="10" t="e">
        <f t="shared" si="30"/>
        <v>#REF!</v>
      </c>
      <c r="W37" s="10" t="e">
        <f t="shared" si="30"/>
        <v>#REF!</v>
      </c>
      <c r="X37" s="10" t="e">
        <f t="shared" si="30"/>
        <v>#REF!</v>
      </c>
      <c r="Y37" s="10" t="e">
        <f t="shared" si="30"/>
        <v>#REF!</v>
      </c>
      <c r="Z37" s="10" t="e">
        <f t="shared" si="30"/>
        <v>#REF!</v>
      </c>
      <c r="AA37" s="10" t="e">
        <f t="shared" si="30"/>
        <v>#REF!</v>
      </c>
      <c r="AB37" s="10" t="e">
        <f t="shared" si="30"/>
        <v>#REF!</v>
      </c>
      <c r="AC37" s="10" t="e">
        <f t="shared" si="30"/>
        <v>#REF!</v>
      </c>
      <c r="AD37" s="10" t="e">
        <f t="shared" si="30"/>
        <v>#REF!</v>
      </c>
      <c r="AE37" s="10" t="e">
        <f t="shared" si="30"/>
        <v>#REF!</v>
      </c>
      <c r="AF37" s="10" t="e">
        <f t="shared" si="30"/>
        <v>#REF!</v>
      </c>
      <c r="AG37" s="10" t="e">
        <f t="shared" si="30"/>
        <v>#REF!</v>
      </c>
      <c r="AH37" s="10" t="e">
        <f t="shared" si="30"/>
        <v>#REF!</v>
      </c>
      <c r="AI37" s="10" t="e">
        <f t="shared" si="30"/>
        <v>#REF!</v>
      </c>
      <c r="AJ37" s="10" t="e">
        <f t="shared" si="30"/>
        <v>#REF!</v>
      </c>
      <c r="AK37" s="10" t="e">
        <f t="shared" si="30"/>
        <v>#REF!</v>
      </c>
      <c r="AL37" s="10" t="e">
        <f t="shared" si="30"/>
        <v>#REF!</v>
      </c>
      <c r="AM37" s="10" t="e">
        <f t="shared" si="30"/>
        <v>#REF!</v>
      </c>
      <c r="AN37" s="10" t="e">
        <f t="shared" si="30"/>
        <v>#REF!</v>
      </c>
      <c r="AO37" s="10" t="e">
        <f t="shared" si="30"/>
        <v>#REF!</v>
      </c>
      <c r="AP37" s="10" t="e">
        <f t="shared" si="30"/>
        <v>#REF!</v>
      </c>
      <c r="AQ37" s="10" t="e">
        <f t="shared" si="30"/>
        <v>#REF!</v>
      </c>
      <c r="AR37" s="10" t="e">
        <f t="shared" si="30"/>
        <v>#REF!</v>
      </c>
      <c r="AS37" s="10" t="e">
        <f t="shared" si="30"/>
        <v>#REF!</v>
      </c>
      <c r="AT37" s="10" t="e">
        <f t="shared" si="30"/>
        <v>#REF!</v>
      </c>
      <c r="AU37" s="10" t="e">
        <f t="shared" si="30"/>
        <v>#REF!</v>
      </c>
      <c r="AV37" s="10" t="e">
        <f t="shared" si="30"/>
        <v>#REF!</v>
      </c>
      <c r="AW37" s="10" t="e">
        <f t="shared" si="30"/>
        <v>#REF!</v>
      </c>
      <c r="AX37" s="10" t="e">
        <f t="shared" si="30"/>
        <v>#REF!</v>
      </c>
      <c r="AY37" s="10" t="e">
        <f t="shared" si="30"/>
        <v>#REF!</v>
      </c>
      <c r="AZ37" s="10" t="e">
        <f t="shared" si="30"/>
        <v>#REF!</v>
      </c>
      <c r="BA37" s="10" t="e">
        <f t="shared" si="30"/>
        <v>#REF!</v>
      </c>
      <c r="BB37" s="10" t="e">
        <f t="shared" si="30"/>
        <v>#REF!</v>
      </c>
      <c r="BC37" s="10" t="e">
        <f t="shared" si="30"/>
        <v>#REF!</v>
      </c>
      <c r="BD37" s="10" t="e">
        <f t="shared" si="30"/>
        <v>#REF!</v>
      </c>
      <c r="BE37" s="10" t="e">
        <f t="shared" si="30"/>
        <v>#REF!</v>
      </c>
      <c r="BF37" s="10" t="e">
        <f t="shared" si="30"/>
        <v>#REF!</v>
      </c>
      <c r="BG37" s="10" t="e">
        <f t="shared" si="30"/>
        <v>#REF!</v>
      </c>
      <c r="BH37" s="10" t="e">
        <f t="shared" si="30"/>
        <v>#REF!</v>
      </c>
      <c r="BI37" s="10" t="e">
        <f t="shared" si="30"/>
        <v>#REF!</v>
      </c>
      <c r="BJ37" s="10" t="e">
        <f t="shared" si="30"/>
        <v>#REF!</v>
      </c>
      <c r="BK37" s="10" t="e">
        <f t="shared" si="30"/>
        <v>#REF!</v>
      </c>
      <c r="BL37" s="10" t="e">
        <f t="shared" si="30"/>
        <v>#REF!</v>
      </c>
      <c r="BM37" s="10" t="e">
        <f t="shared" si="30"/>
        <v>#REF!</v>
      </c>
      <c r="BN37" s="10" t="e">
        <f t="shared" si="30"/>
        <v>#REF!</v>
      </c>
      <c r="BO37" s="10" t="e">
        <f t="shared" si="30"/>
        <v>#REF!</v>
      </c>
      <c r="BP37" s="10" t="e">
        <f t="shared" si="30"/>
        <v>#REF!</v>
      </c>
      <c r="BQ37" s="10" t="e">
        <f t="shared" si="30"/>
        <v>#REF!</v>
      </c>
      <c r="BR37" s="10" t="e">
        <f t="shared" si="30"/>
        <v>#REF!</v>
      </c>
      <c r="BS37" s="10" t="e">
        <f t="shared" si="30"/>
        <v>#REF!</v>
      </c>
      <c r="BT37" s="10" t="e">
        <f t="shared" si="30"/>
        <v>#REF!</v>
      </c>
      <c r="BU37" s="10" t="e">
        <f t="shared" si="30"/>
        <v>#REF!</v>
      </c>
      <c r="BV37" s="10" t="e">
        <f t="shared" si="30"/>
        <v>#REF!</v>
      </c>
      <c r="BW37" s="10" t="e">
        <f t="shared" si="30"/>
        <v>#REF!</v>
      </c>
      <c r="BX37" s="10" t="e">
        <f t="shared" si="30"/>
        <v>#REF!</v>
      </c>
      <c r="BY37" s="10" t="e">
        <f t="shared" si="30"/>
        <v>#REF!</v>
      </c>
      <c r="BZ37" s="10" t="e">
        <f t="shared" si="30"/>
        <v>#REF!</v>
      </c>
      <c r="CA37" s="10" t="e">
        <f t="shared" si="30"/>
        <v>#REF!</v>
      </c>
      <c r="CB37" s="10" t="e">
        <f t="shared" ref="CB37:CQ37" si="31">SUM(CB35:CB36)</f>
        <v>#REF!</v>
      </c>
      <c r="CC37" s="10" t="e">
        <f t="shared" si="31"/>
        <v>#REF!</v>
      </c>
      <c r="CD37" s="10" t="e">
        <f t="shared" si="31"/>
        <v>#REF!</v>
      </c>
      <c r="CE37" s="10" t="e">
        <f t="shared" si="31"/>
        <v>#REF!</v>
      </c>
      <c r="CF37" s="10" t="e">
        <f t="shared" si="31"/>
        <v>#REF!</v>
      </c>
      <c r="CG37" s="10" t="e">
        <f t="shared" si="31"/>
        <v>#REF!</v>
      </c>
      <c r="CH37" s="10" t="e">
        <f t="shared" si="31"/>
        <v>#REF!</v>
      </c>
      <c r="CI37" s="10" t="e">
        <f t="shared" si="31"/>
        <v>#REF!</v>
      </c>
      <c r="CJ37" s="10" t="e">
        <f t="shared" si="31"/>
        <v>#REF!</v>
      </c>
      <c r="CK37" s="10" t="e">
        <f t="shared" si="31"/>
        <v>#REF!</v>
      </c>
      <c r="CL37" s="10" t="e">
        <f t="shared" si="31"/>
        <v>#REF!</v>
      </c>
      <c r="CM37" s="10" t="e">
        <f t="shared" si="31"/>
        <v>#REF!</v>
      </c>
      <c r="CN37" s="10" t="e">
        <f t="shared" si="31"/>
        <v>#REF!</v>
      </c>
      <c r="CO37" s="10" t="e">
        <f t="shared" si="31"/>
        <v>#REF!</v>
      </c>
      <c r="CP37" s="10" t="e">
        <f t="shared" si="31"/>
        <v>#REF!</v>
      </c>
      <c r="CQ37" s="10" t="e">
        <f t="shared" si="31"/>
        <v>#REF!</v>
      </c>
      <c r="CR37" s="10" t="e">
        <f t="shared" ref="CR37:CT37" si="32">SUM(CR35:CR36)</f>
        <v>#REF!</v>
      </c>
      <c r="CS37" s="10" t="e">
        <f t="shared" si="32"/>
        <v>#REF!</v>
      </c>
      <c r="CT37" s="10" t="e">
        <f t="shared" si="32"/>
        <v>#REF!</v>
      </c>
      <c r="CU37" s="10"/>
      <c r="CV37" s="10"/>
      <c r="CW37" s="10"/>
      <c r="CX37" s="10"/>
      <c r="CY37" s="10"/>
      <c r="CZ37" s="10"/>
      <c r="DA37" s="10"/>
      <c r="DB37" s="10"/>
      <c r="DC37" s="10"/>
      <c r="DD37" s="10"/>
    </row>
    <row r="38" spans="2:108" ht="12.75" customHeight="1" x14ac:dyDescent="0.25">
      <c r="C38"/>
      <c r="H38" s="54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</row>
    <row r="39" spans="2:108" ht="12.75" customHeight="1" x14ac:dyDescent="0.25">
      <c r="C39" t="s">
        <v>295</v>
      </c>
      <c r="H39" s="54" t="s">
        <v>3</v>
      </c>
      <c r="N39" s="25" t="e">
        <f>SUM(P39:DD39)</f>
        <v>#REF!</v>
      </c>
      <c r="O39" s="10"/>
      <c r="P39" s="10" t="e">
        <f t="shared" ref="P39:CA39" si="33">P50</f>
        <v>#REF!</v>
      </c>
      <c r="Q39" s="10" t="e">
        <f t="shared" si="33"/>
        <v>#REF!</v>
      </c>
      <c r="R39" s="10" t="e">
        <f t="shared" si="33"/>
        <v>#REF!</v>
      </c>
      <c r="S39" s="10" t="e">
        <f t="shared" si="33"/>
        <v>#REF!</v>
      </c>
      <c r="T39" s="10" t="e">
        <f t="shared" si="33"/>
        <v>#REF!</v>
      </c>
      <c r="U39" s="10" t="e">
        <f t="shared" si="33"/>
        <v>#REF!</v>
      </c>
      <c r="V39" s="10" t="e">
        <f t="shared" si="33"/>
        <v>#REF!</v>
      </c>
      <c r="W39" s="10" t="e">
        <f t="shared" si="33"/>
        <v>#REF!</v>
      </c>
      <c r="X39" s="10" t="e">
        <f t="shared" si="33"/>
        <v>#REF!</v>
      </c>
      <c r="Y39" s="10" t="e">
        <f t="shared" si="33"/>
        <v>#REF!</v>
      </c>
      <c r="Z39" s="10" t="e">
        <f t="shared" si="33"/>
        <v>#REF!</v>
      </c>
      <c r="AA39" s="10" t="e">
        <f t="shared" si="33"/>
        <v>#REF!</v>
      </c>
      <c r="AB39" s="10" t="e">
        <f t="shared" si="33"/>
        <v>#REF!</v>
      </c>
      <c r="AC39" s="10" t="e">
        <f t="shared" si="33"/>
        <v>#REF!</v>
      </c>
      <c r="AD39" s="10" t="e">
        <f t="shared" si="33"/>
        <v>#REF!</v>
      </c>
      <c r="AE39" s="10" t="e">
        <f t="shared" si="33"/>
        <v>#REF!</v>
      </c>
      <c r="AF39" s="10" t="e">
        <f t="shared" si="33"/>
        <v>#REF!</v>
      </c>
      <c r="AG39" s="10" t="e">
        <f t="shared" si="33"/>
        <v>#REF!</v>
      </c>
      <c r="AH39" s="10" t="e">
        <f t="shared" si="33"/>
        <v>#REF!</v>
      </c>
      <c r="AI39" s="10" t="e">
        <f t="shared" si="33"/>
        <v>#REF!</v>
      </c>
      <c r="AJ39" s="10" t="e">
        <f t="shared" si="33"/>
        <v>#REF!</v>
      </c>
      <c r="AK39" s="10" t="e">
        <f t="shared" si="33"/>
        <v>#REF!</v>
      </c>
      <c r="AL39" s="10" t="e">
        <f t="shared" si="33"/>
        <v>#REF!</v>
      </c>
      <c r="AM39" s="10" t="e">
        <f t="shared" si="33"/>
        <v>#REF!</v>
      </c>
      <c r="AN39" s="10" t="e">
        <f t="shared" si="33"/>
        <v>#REF!</v>
      </c>
      <c r="AO39" s="10" t="e">
        <f t="shared" si="33"/>
        <v>#REF!</v>
      </c>
      <c r="AP39" s="10" t="e">
        <f t="shared" si="33"/>
        <v>#REF!</v>
      </c>
      <c r="AQ39" s="10" t="e">
        <f t="shared" si="33"/>
        <v>#REF!</v>
      </c>
      <c r="AR39" s="10" t="e">
        <f t="shared" si="33"/>
        <v>#REF!</v>
      </c>
      <c r="AS39" s="10" t="e">
        <f t="shared" si="33"/>
        <v>#REF!</v>
      </c>
      <c r="AT39" s="10" t="e">
        <f t="shared" si="33"/>
        <v>#REF!</v>
      </c>
      <c r="AU39" s="10" t="e">
        <f t="shared" si="33"/>
        <v>#REF!</v>
      </c>
      <c r="AV39" s="10" t="e">
        <f t="shared" si="33"/>
        <v>#REF!</v>
      </c>
      <c r="AW39" s="10" t="e">
        <f t="shared" si="33"/>
        <v>#REF!</v>
      </c>
      <c r="AX39" s="10" t="e">
        <f t="shared" si="33"/>
        <v>#REF!</v>
      </c>
      <c r="AY39" s="10" t="e">
        <f t="shared" si="33"/>
        <v>#REF!</v>
      </c>
      <c r="AZ39" s="10" t="e">
        <f t="shared" si="33"/>
        <v>#REF!</v>
      </c>
      <c r="BA39" s="10" t="e">
        <f t="shared" si="33"/>
        <v>#REF!</v>
      </c>
      <c r="BB39" s="10" t="e">
        <f t="shared" si="33"/>
        <v>#REF!</v>
      </c>
      <c r="BC39" s="10" t="e">
        <f t="shared" si="33"/>
        <v>#REF!</v>
      </c>
      <c r="BD39" s="10" t="e">
        <f t="shared" si="33"/>
        <v>#REF!</v>
      </c>
      <c r="BE39" s="10" t="e">
        <f t="shared" si="33"/>
        <v>#REF!</v>
      </c>
      <c r="BF39" s="10" t="e">
        <f t="shared" si="33"/>
        <v>#REF!</v>
      </c>
      <c r="BG39" s="10" t="e">
        <f t="shared" si="33"/>
        <v>#REF!</v>
      </c>
      <c r="BH39" s="10" t="e">
        <f t="shared" si="33"/>
        <v>#REF!</v>
      </c>
      <c r="BI39" s="10" t="e">
        <f t="shared" si="33"/>
        <v>#REF!</v>
      </c>
      <c r="BJ39" s="10" t="e">
        <f t="shared" si="33"/>
        <v>#REF!</v>
      </c>
      <c r="BK39" s="10" t="e">
        <f t="shared" si="33"/>
        <v>#REF!</v>
      </c>
      <c r="BL39" s="10" t="e">
        <f t="shared" si="33"/>
        <v>#REF!</v>
      </c>
      <c r="BM39" s="10" t="e">
        <f t="shared" si="33"/>
        <v>#REF!</v>
      </c>
      <c r="BN39" s="10" t="e">
        <f t="shared" si="33"/>
        <v>#REF!</v>
      </c>
      <c r="BO39" s="10" t="e">
        <f t="shared" si="33"/>
        <v>#REF!</v>
      </c>
      <c r="BP39" s="10" t="e">
        <f t="shared" si="33"/>
        <v>#REF!</v>
      </c>
      <c r="BQ39" s="10" t="e">
        <f t="shared" si="33"/>
        <v>#REF!</v>
      </c>
      <c r="BR39" s="10" t="e">
        <f t="shared" si="33"/>
        <v>#REF!</v>
      </c>
      <c r="BS39" s="10" t="e">
        <f t="shared" si="33"/>
        <v>#REF!</v>
      </c>
      <c r="BT39" s="10" t="e">
        <f t="shared" si="33"/>
        <v>#REF!</v>
      </c>
      <c r="BU39" s="10" t="e">
        <f t="shared" si="33"/>
        <v>#REF!</v>
      </c>
      <c r="BV39" s="10" t="e">
        <f t="shared" si="33"/>
        <v>#REF!</v>
      </c>
      <c r="BW39" s="10" t="e">
        <f t="shared" si="33"/>
        <v>#REF!</v>
      </c>
      <c r="BX39" s="10" t="e">
        <f t="shared" si="33"/>
        <v>#REF!</v>
      </c>
      <c r="BY39" s="10" t="e">
        <f t="shared" si="33"/>
        <v>#REF!</v>
      </c>
      <c r="BZ39" s="10" t="e">
        <f t="shared" si="33"/>
        <v>#REF!</v>
      </c>
      <c r="CA39" s="10" t="e">
        <f t="shared" si="33"/>
        <v>#REF!</v>
      </c>
      <c r="CB39" s="10" t="e">
        <f t="shared" ref="CB39:CQ39" si="34">CB50</f>
        <v>#REF!</v>
      </c>
      <c r="CC39" s="10" t="e">
        <f t="shared" si="34"/>
        <v>#REF!</v>
      </c>
      <c r="CD39" s="10" t="e">
        <f t="shared" si="34"/>
        <v>#REF!</v>
      </c>
      <c r="CE39" s="10" t="e">
        <f t="shared" si="34"/>
        <v>#REF!</v>
      </c>
      <c r="CF39" s="10" t="e">
        <f t="shared" si="34"/>
        <v>#REF!</v>
      </c>
      <c r="CG39" s="10" t="e">
        <f t="shared" si="34"/>
        <v>#REF!</v>
      </c>
      <c r="CH39" s="10" t="e">
        <f t="shared" si="34"/>
        <v>#REF!</v>
      </c>
      <c r="CI39" s="10" t="e">
        <f t="shared" si="34"/>
        <v>#REF!</v>
      </c>
      <c r="CJ39" s="10" t="e">
        <f t="shared" si="34"/>
        <v>#REF!</v>
      </c>
      <c r="CK39" s="10" t="e">
        <f t="shared" si="34"/>
        <v>#REF!</v>
      </c>
      <c r="CL39" s="10" t="e">
        <f t="shared" si="34"/>
        <v>#REF!</v>
      </c>
      <c r="CM39" s="10" t="e">
        <f t="shared" si="34"/>
        <v>#REF!</v>
      </c>
      <c r="CN39" s="10" t="e">
        <f t="shared" si="34"/>
        <v>#REF!</v>
      </c>
      <c r="CO39" s="10" t="e">
        <f t="shared" si="34"/>
        <v>#REF!</v>
      </c>
      <c r="CP39" s="10" t="e">
        <f t="shared" si="34"/>
        <v>#REF!</v>
      </c>
      <c r="CQ39" s="10" t="e">
        <f t="shared" si="34"/>
        <v>#REF!</v>
      </c>
      <c r="CR39" s="10" t="e">
        <f t="shared" ref="CR39:CT39" si="35">CR50</f>
        <v>#REF!</v>
      </c>
      <c r="CS39" s="10" t="e">
        <f t="shared" si="35"/>
        <v>#REF!</v>
      </c>
      <c r="CT39" s="10" t="e">
        <f t="shared" si="35"/>
        <v>#REF!</v>
      </c>
      <c r="CU39" s="10"/>
      <c r="CV39" s="10"/>
      <c r="CW39" s="10"/>
      <c r="CX39" s="10"/>
      <c r="CY39" s="10"/>
      <c r="CZ39" s="10"/>
      <c r="DA39" s="10"/>
      <c r="DB39" s="10"/>
      <c r="DC39" s="10"/>
      <c r="DD39" s="10"/>
    </row>
    <row r="40" spans="2:108" ht="12.75" customHeight="1" x14ac:dyDescent="0.25">
      <c r="C40"/>
      <c r="H40" s="54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</row>
    <row r="41" spans="2:108" ht="12.75" customHeight="1" x14ac:dyDescent="0.25">
      <c r="C41" t="s">
        <v>326</v>
      </c>
      <c r="H41" s="54" t="s">
        <v>3</v>
      </c>
      <c r="N41" s="10"/>
      <c r="O41" s="10"/>
      <c r="P41" s="10" t="e">
        <f>P37-P39</f>
        <v>#REF!</v>
      </c>
      <c r="Q41" s="10" t="e">
        <f t="shared" ref="Q41:CB41" si="36">Q37-Q39</f>
        <v>#REF!</v>
      </c>
      <c r="R41" s="10" t="e">
        <f t="shared" si="36"/>
        <v>#REF!</v>
      </c>
      <c r="S41" s="10" t="e">
        <f t="shared" si="36"/>
        <v>#REF!</v>
      </c>
      <c r="T41" s="10" t="e">
        <f t="shared" si="36"/>
        <v>#REF!</v>
      </c>
      <c r="U41" s="10" t="e">
        <f t="shared" si="36"/>
        <v>#REF!</v>
      </c>
      <c r="V41" s="10" t="e">
        <f t="shared" si="36"/>
        <v>#REF!</v>
      </c>
      <c r="W41" s="10" t="e">
        <f t="shared" si="36"/>
        <v>#REF!</v>
      </c>
      <c r="X41" s="10" t="e">
        <f t="shared" si="36"/>
        <v>#REF!</v>
      </c>
      <c r="Y41" s="10" t="e">
        <f t="shared" si="36"/>
        <v>#REF!</v>
      </c>
      <c r="Z41" s="10" t="e">
        <f t="shared" si="36"/>
        <v>#REF!</v>
      </c>
      <c r="AA41" s="10" t="e">
        <f t="shared" si="36"/>
        <v>#REF!</v>
      </c>
      <c r="AB41" s="10" t="e">
        <f t="shared" si="36"/>
        <v>#REF!</v>
      </c>
      <c r="AC41" s="10" t="e">
        <f t="shared" si="36"/>
        <v>#REF!</v>
      </c>
      <c r="AD41" s="10" t="e">
        <f t="shared" si="36"/>
        <v>#REF!</v>
      </c>
      <c r="AE41" s="10" t="e">
        <f t="shared" si="36"/>
        <v>#REF!</v>
      </c>
      <c r="AF41" s="10" t="e">
        <f t="shared" si="36"/>
        <v>#REF!</v>
      </c>
      <c r="AG41" s="10" t="e">
        <f t="shared" si="36"/>
        <v>#REF!</v>
      </c>
      <c r="AH41" s="10" t="e">
        <f t="shared" si="36"/>
        <v>#REF!</v>
      </c>
      <c r="AI41" s="10" t="e">
        <f t="shared" si="36"/>
        <v>#REF!</v>
      </c>
      <c r="AJ41" s="10" t="e">
        <f t="shared" si="36"/>
        <v>#REF!</v>
      </c>
      <c r="AK41" s="10" t="e">
        <f t="shared" si="36"/>
        <v>#REF!</v>
      </c>
      <c r="AL41" s="10" t="e">
        <f t="shared" si="36"/>
        <v>#REF!</v>
      </c>
      <c r="AM41" s="10" t="e">
        <f t="shared" si="36"/>
        <v>#REF!</v>
      </c>
      <c r="AN41" s="10" t="e">
        <f t="shared" si="36"/>
        <v>#REF!</v>
      </c>
      <c r="AO41" s="10" t="e">
        <f t="shared" si="36"/>
        <v>#REF!</v>
      </c>
      <c r="AP41" s="10" t="e">
        <f t="shared" si="36"/>
        <v>#REF!</v>
      </c>
      <c r="AQ41" s="10" t="e">
        <f t="shared" si="36"/>
        <v>#REF!</v>
      </c>
      <c r="AR41" s="10" t="e">
        <f t="shared" si="36"/>
        <v>#REF!</v>
      </c>
      <c r="AS41" s="10" t="e">
        <f t="shared" si="36"/>
        <v>#REF!</v>
      </c>
      <c r="AT41" s="10" t="e">
        <f t="shared" si="36"/>
        <v>#REF!</v>
      </c>
      <c r="AU41" s="10" t="e">
        <f t="shared" si="36"/>
        <v>#REF!</v>
      </c>
      <c r="AV41" s="10" t="e">
        <f t="shared" si="36"/>
        <v>#REF!</v>
      </c>
      <c r="AW41" s="10" t="e">
        <f t="shared" si="36"/>
        <v>#REF!</v>
      </c>
      <c r="AX41" s="10" t="e">
        <f t="shared" si="36"/>
        <v>#REF!</v>
      </c>
      <c r="AY41" s="10" t="e">
        <f t="shared" si="36"/>
        <v>#REF!</v>
      </c>
      <c r="AZ41" s="10" t="e">
        <f t="shared" si="36"/>
        <v>#REF!</v>
      </c>
      <c r="BA41" s="10" t="e">
        <f t="shared" si="36"/>
        <v>#REF!</v>
      </c>
      <c r="BB41" s="10" t="e">
        <f t="shared" si="36"/>
        <v>#REF!</v>
      </c>
      <c r="BC41" s="10" t="e">
        <f t="shared" si="36"/>
        <v>#REF!</v>
      </c>
      <c r="BD41" s="10" t="e">
        <f t="shared" si="36"/>
        <v>#REF!</v>
      </c>
      <c r="BE41" s="10" t="e">
        <f t="shared" si="36"/>
        <v>#REF!</v>
      </c>
      <c r="BF41" s="10" t="e">
        <f t="shared" si="36"/>
        <v>#REF!</v>
      </c>
      <c r="BG41" s="10" t="e">
        <f t="shared" si="36"/>
        <v>#REF!</v>
      </c>
      <c r="BH41" s="10" t="e">
        <f t="shared" si="36"/>
        <v>#REF!</v>
      </c>
      <c r="BI41" s="10" t="e">
        <f t="shared" si="36"/>
        <v>#REF!</v>
      </c>
      <c r="BJ41" s="10" t="e">
        <f t="shared" si="36"/>
        <v>#REF!</v>
      </c>
      <c r="BK41" s="10" t="e">
        <f t="shared" si="36"/>
        <v>#REF!</v>
      </c>
      <c r="BL41" s="10" t="e">
        <f t="shared" si="36"/>
        <v>#REF!</v>
      </c>
      <c r="BM41" s="10" t="e">
        <f t="shared" si="36"/>
        <v>#REF!</v>
      </c>
      <c r="BN41" s="10" t="e">
        <f t="shared" si="36"/>
        <v>#REF!</v>
      </c>
      <c r="BO41" s="10" t="e">
        <f t="shared" si="36"/>
        <v>#REF!</v>
      </c>
      <c r="BP41" s="10" t="e">
        <f t="shared" si="36"/>
        <v>#REF!</v>
      </c>
      <c r="BQ41" s="10" t="e">
        <f t="shared" si="36"/>
        <v>#REF!</v>
      </c>
      <c r="BR41" s="10" t="e">
        <f t="shared" si="36"/>
        <v>#REF!</v>
      </c>
      <c r="BS41" s="10" t="e">
        <f t="shared" si="36"/>
        <v>#REF!</v>
      </c>
      <c r="BT41" s="10" t="e">
        <f t="shared" si="36"/>
        <v>#REF!</v>
      </c>
      <c r="BU41" s="10" t="e">
        <f t="shared" si="36"/>
        <v>#REF!</v>
      </c>
      <c r="BV41" s="10" t="e">
        <f t="shared" si="36"/>
        <v>#REF!</v>
      </c>
      <c r="BW41" s="10" t="e">
        <f t="shared" si="36"/>
        <v>#REF!</v>
      </c>
      <c r="BX41" s="10" t="e">
        <f t="shared" si="36"/>
        <v>#REF!</v>
      </c>
      <c r="BY41" s="10" t="e">
        <f t="shared" si="36"/>
        <v>#REF!</v>
      </c>
      <c r="BZ41" s="10" t="e">
        <f t="shared" si="36"/>
        <v>#REF!</v>
      </c>
      <c r="CA41" s="10" t="e">
        <f t="shared" si="36"/>
        <v>#REF!</v>
      </c>
      <c r="CB41" s="10" t="e">
        <f t="shared" si="36"/>
        <v>#REF!</v>
      </c>
      <c r="CC41" s="10" t="e">
        <f t="shared" ref="CC41:CQ41" si="37">CC37-CC39</f>
        <v>#REF!</v>
      </c>
      <c r="CD41" s="10" t="e">
        <f t="shared" si="37"/>
        <v>#REF!</v>
      </c>
      <c r="CE41" s="10" t="e">
        <f t="shared" si="37"/>
        <v>#REF!</v>
      </c>
      <c r="CF41" s="10" t="e">
        <f t="shared" si="37"/>
        <v>#REF!</v>
      </c>
      <c r="CG41" s="10" t="e">
        <f t="shared" si="37"/>
        <v>#REF!</v>
      </c>
      <c r="CH41" s="10" t="e">
        <f t="shared" si="37"/>
        <v>#REF!</v>
      </c>
      <c r="CI41" s="10" t="e">
        <f t="shared" si="37"/>
        <v>#REF!</v>
      </c>
      <c r="CJ41" s="10" t="e">
        <f t="shared" si="37"/>
        <v>#REF!</v>
      </c>
      <c r="CK41" s="10" t="e">
        <f t="shared" si="37"/>
        <v>#REF!</v>
      </c>
      <c r="CL41" s="10" t="e">
        <f t="shared" si="37"/>
        <v>#REF!</v>
      </c>
      <c r="CM41" s="10" t="e">
        <f t="shared" si="37"/>
        <v>#REF!</v>
      </c>
      <c r="CN41" s="10" t="e">
        <f t="shared" si="37"/>
        <v>#REF!</v>
      </c>
      <c r="CO41" s="10" t="e">
        <f t="shared" si="37"/>
        <v>#REF!</v>
      </c>
      <c r="CP41" s="10" t="e">
        <f t="shared" si="37"/>
        <v>#REF!</v>
      </c>
      <c r="CQ41" s="10" t="e">
        <f t="shared" si="37"/>
        <v>#REF!</v>
      </c>
      <c r="CR41" s="10" t="e">
        <f t="shared" ref="CR41:CT41" si="38">CR37-CR39</f>
        <v>#REF!</v>
      </c>
      <c r="CS41" s="10" t="e">
        <f t="shared" si="38"/>
        <v>#REF!</v>
      </c>
      <c r="CT41" s="10" t="e">
        <f t="shared" si="38"/>
        <v>#REF!</v>
      </c>
      <c r="CU41" s="10"/>
      <c r="CV41" s="10"/>
      <c r="CW41" s="10"/>
      <c r="CX41" s="10"/>
      <c r="CY41" s="10"/>
      <c r="CZ41" s="10"/>
      <c r="DA41" s="10"/>
      <c r="DB41" s="10"/>
      <c r="DC41" s="10"/>
      <c r="DD41" s="10"/>
    </row>
    <row r="42" spans="2:108" ht="12.75" customHeight="1" x14ac:dyDescent="0.25">
      <c r="C42"/>
      <c r="H42" s="54"/>
      <c r="N42" s="10"/>
    </row>
    <row r="43" spans="2:108" ht="12.75" customHeight="1" x14ac:dyDescent="0.25">
      <c r="B43" s="21" t="s">
        <v>295</v>
      </c>
      <c r="C43"/>
      <c r="H43" s="54"/>
      <c r="N43" s="10"/>
    </row>
    <row r="44" spans="2:108" ht="12.75" customHeight="1" x14ac:dyDescent="0.25">
      <c r="C44"/>
      <c r="H44" s="54"/>
      <c r="N44" s="10"/>
    </row>
    <row r="45" spans="2:108" ht="12.75" customHeight="1" x14ac:dyDescent="0.25">
      <c r="C45" t="s">
        <v>327</v>
      </c>
      <c r="H45" s="54" t="s">
        <v>3</v>
      </c>
      <c r="N45" s="10"/>
      <c r="O45" s="10"/>
      <c r="P45" s="10" t="e">
        <f t="shared" ref="P45:CA45" si="39">P27</f>
        <v>#REF!</v>
      </c>
      <c r="Q45" s="10" t="e">
        <f t="shared" si="39"/>
        <v>#REF!</v>
      </c>
      <c r="R45" s="10" t="e">
        <f t="shared" si="39"/>
        <v>#REF!</v>
      </c>
      <c r="S45" s="10" t="e">
        <f t="shared" si="39"/>
        <v>#REF!</v>
      </c>
      <c r="T45" s="10" t="e">
        <f t="shared" si="39"/>
        <v>#REF!</v>
      </c>
      <c r="U45" s="10" t="e">
        <f t="shared" si="39"/>
        <v>#REF!</v>
      </c>
      <c r="V45" s="10" t="e">
        <f t="shared" si="39"/>
        <v>#REF!</v>
      </c>
      <c r="W45" s="10" t="e">
        <f t="shared" si="39"/>
        <v>#REF!</v>
      </c>
      <c r="X45" s="10" t="e">
        <f t="shared" si="39"/>
        <v>#REF!</v>
      </c>
      <c r="Y45" s="10" t="e">
        <f t="shared" si="39"/>
        <v>#REF!</v>
      </c>
      <c r="Z45" s="10" t="e">
        <f t="shared" si="39"/>
        <v>#REF!</v>
      </c>
      <c r="AA45" s="10" t="e">
        <f t="shared" si="39"/>
        <v>#REF!</v>
      </c>
      <c r="AB45" s="10" t="e">
        <f t="shared" si="39"/>
        <v>#REF!</v>
      </c>
      <c r="AC45" s="10" t="e">
        <f t="shared" si="39"/>
        <v>#REF!</v>
      </c>
      <c r="AD45" s="10" t="e">
        <f t="shared" si="39"/>
        <v>#REF!</v>
      </c>
      <c r="AE45" s="10" t="e">
        <f t="shared" si="39"/>
        <v>#REF!</v>
      </c>
      <c r="AF45" s="10" t="e">
        <f t="shared" si="39"/>
        <v>#REF!</v>
      </c>
      <c r="AG45" s="10" t="e">
        <f t="shared" si="39"/>
        <v>#REF!</v>
      </c>
      <c r="AH45" s="10" t="e">
        <f t="shared" si="39"/>
        <v>#REF!</v>
      </c>
      <c r="AI45" s="10" t="e">
        <f t="shared" si="39"/>
        <v>#REF!</v>
      </c>
      <c r="AJ45" s="10" t="e">
        <f t="shared" si="39"/>
        <v>#REF!</v>
      </c>
      <c r="AK45" s="10" t="e">
        <f t="shared" si="39"/>
        <v>#REF!</v>
      </c>
      <c r="AL45" s="10" t="e">
        <f t="shared" si="39"/>
        <v>#REF!</v>
      </c>
      <c r="AM45" s="10" t="e">
        <f t="shared" si="39"/>
        <v>#REF!</v>
      </c>
      <c r="AN45" s="10" t="e">
        <f t="shared" si="39"/>
        <v>#REF!</v>
      </c>
      <c r="AO45" s="10" t="e">
        <f t="shared" si="39"/>
        <v>#REF!</v>
      </c>
      <c r="AP45" s="10" t="e">
        <f t="shared" si="39"/>
        <v>#REF!</v>
      </c>
      <c r="AQ45" s="10" t="e">
        <f t="shared" si="39"/>
        <v>#REF!</v>
      </c>
      <c r="AR45" s="10" t="e">
        <f t="shared" si="39"/>
        <v>#REF!</v>
      </c>
      <c r="AS45" s="10" t="e">
        <f t="shared" si="39"/>
        <v>#REF!</v>
      </c>
      <c r="AT45" s="10" t="e">
        <f t="shared" si="39"/>
        <v>#REF!</v>
      </c>
      <c r="AU45" s="10" t="e">
        <f t="shared" si="39"/>
        <v>#REF!</v>
      </c>
      <c r="AV45" s="10" t="e">
        <f t="shared" si="39"/>
        <v>#REF!</v>
      </c>
      <c r="AW45" s="10" t="e">
        <f t="shared" si="39"/>
        <v>#REF!</v>
      </c>
      <c r="AX45" s="10" t="e">
        <f t="shared" si="39"/>
        <v>#REF!</v>
      </c>
      <c r="AY45" s="10" t="e">
        <f t="shared" si="39"/>
        <v>#REF!</v>
      </c>
      <c r="AZ45" s="10" t="e">
        <f t="shared" si="39"/>
        <v>#REF!</v>
      </c>
      <c r="BA45" s="10" t="e">
        <f t="shared" si="39"/>
        <v>#REF!</v>
      </c>
      <c r="BB45" s="10" t="e">
        <f t="shared" si="39"/>
        <v>#REF!</v>
      </c>
      <c r="BC45" s="10" t="e">
        <f t="shared" si="39"/>
        <v>#REF!</v>
      </c>
      <c r="BD45" s="10" t="e">
        <f t="shared" si="39"/>
        <v>#REF!</v>
      </c>
      <c r="BE45" s="10" t="e">
        <f t="shared" si="39"/>
        <v>#REF!</v>
      </c>
      <c r="BF45" s="10" t="e">
        <f t="shared" si="39"/>
        <v>#REF!</v>
      </c>
      <c r="BG45" s="10" t="e">
        <f t="shared" si="39"/>
        <v>#REF!</v>
      </c>
      <c r="BH45" s="10" t="e">
        <f t="shared" si="39"/>
        <v>#REF!</v>
      </c>
      <c r="BI45" s="10" t="e">
        <f t="shared" si="39"/>
        <v>#REF!</v>
      </c>
      <c r="BJ45" s="10" t="e">
        <f t="shared" si="39"/>
        <v>#REF!</v>
      </c>
      <c r="BK45" s="10" t="e">
        <f t="shared" si="39"/>
        <v>#REF!</v>
      </c>
      <c r="BL45" s="10" t="e">
        <f t="shared" si="39"/>
        <v>#REF!</v>
      </c>
      <c r="BM45" s="10" t="e">
        <f t="shared" si="39"/>
        <v>#REF!</v>
      </c>
      <c r="BN45" s="10" t="e">
        <f t="shared" si="39"/>
        <v>#REF!</v>
      </c>
      <c r="BO45" s="10" t="e">
        <f t="shared" si="39"/>
        <v>#REF!</v>
      </c>
      <c r="BP45" s="10" t="e">
        <f t="shared" si="39"/>
        <v>#REF!</v>
      </c>
      <c r="BQ45" s="10" t="e">
        <f t="shared" si="39"/>
        <v>#REF!</v>
      </c>
      <c r="BR45" s="10" t="e">
        <f t="shared" si="39"/>
        <v>#REF!</v>
      </c>
      <c r="BS45" s="10" t="e">
        <f t="shared" si="39"/>
        <v>#REF!</v>
      </c>
      <c r="BT45" s="10" t="e">
        <f t="shared" si="39"/>
        <v>#REF!</v>
      </c>
      <c r="BU45" s="10" t="e">
        <f t="shared" si="39"/>
        <v>#REF!</v>
      </c>
      <c r="BV45" s="10" t="e">
        <f t="shared" si="39"/>
        <v>#REF!</v>
      </c>
      <c r="BW45" s="10" t="e">
        <f t="shared" si="39"/>
        <v>#REF!</v>
      </c>
      <c r="BX45" s="10" t="e">
        <f t="shared" si="39"/>
        <v>#REF!</v>
      </c>
      <c r="BY45" s="10" t="e">
        <f t="shared" si="39"/>
        <v>#REF!</v>
      </c>
      <c r="BZ45" s="10" t="e">
        <f t="shared" si="39"/>
        <v>#REF!</v>
      </c>
      <c r="CA45" s="10" t="e">
        <f t="shared" si="39"/>
        <v>#REF!</v>
      </c>
      <c r="CB45" s="10" t="e">
        <f t="shared" ref="CB45:CQ45" si="40">CB27</f>
        <v>#REF!</v>
      </c>
      <c r="CC45" s="10" t="e">
        <f t="shared" si="40"/>
        <v>#REF!</v>
      </c>
      <c r="CD45" s="10" t="e">
        <f t="shared" si="40"/>
        <v>#REF!</v>
      </c>
      <c r="CE45" s="10" t="e">
        <f t="shared" si="40"/>
        <v>#REF!</v>
      </c>
      <c r="CF45" s="10" t="e">
        <f t="shared" si="40"/>
        <v>#REF!</v>
      </c>
      <c r="CG45" s="10" t="e">
        <f t="shared" si="40"/>
        <v>#REF!</v>
      </c>
      <c r="CH45" s="10" t="e">
        <f t="shared" si="40"/>
        <v>#REF!</v>
      </c>
      <c r="CI45" s="10" t="e">
        <f t="shared" si="40"/>
        <v>#REF!</v>
      </c>
      <c r="CJ45" s="10" t="e">
        <f t="shared" si="40"/>
        <v>#REF!</v>
      </c>
      <c r="CK45" s="10" t="e">
        <f t="shared" si="40"/>
        <v>#REF!</v>
      </c>
      <c r="CL45" s="10" t="e">
        <f t="shared" si="40"/>
        <v>#REF!</v>
      </c>
      <c r="CM45" s="10" t="e">
        <f t="shared" si="40"/>
        <v>#REF!</v>
      </c>
      <c r="CN45" s="10" t="e">
        <f t="shared" si="40"/>
        <v>#REF!</v>
      </c>
      <c r="CO45" s="10" t="e">
        <f t="shared" si="40"/>
        <v>#REF!</v>
      </c>
      <c r="CP45" s="10" t="e">
        <f t="shared" si="40"/>
        <v>#REF!</v>
      </c>
      <c r="CQ45" s="10" t="e">
        <f t="shared" si="40"/>
        <v>#REF!</v>
      </c>
      <c r="CR45" s="10" t="e">
        <f t="shared" ref="CR45:CT45" si="41">CR27</f>
        <v>#REF!</v>
      </c>
      <c r="CS45" s="10" t="e">
        <f t="shared" si="41"/>
        <v>#REF!</v>
      </c>
      <c r="CT45" s="10" t="e">
        <f t="shared" si="41"/>
        <v>#REF!</v>
      </c>
      <c r="CU45" s="10"/>
      <c r="CV45" s="10"/>
      <c r="CW45" s="10"/>
      <c r="CX45" s="10"/>
      <c r="CY45" s="10"/>
      <c r="CZ45" s="10"/>
      <c r="DA45" s="10"/>
      <c r="DB45" s="10"/>
      <c r="DC45" s="10"/>
      <c r="DD45" s="10"/>
    </row>
    <row r="46" spans="2:108" ht="12.75" customHeight="1" x14ac:dyDescent="0.25">
      <c r="C46" t="s">
        <v>328</v>
      </c>
      <c r="H46" s="54" t="s">
        <v>3</v>
      </c>
      <c r="N46" s="10"/>
      <c r="O46" s="10"/>
      <c r="P46" s="10" t="e">
        <f t="shared" ref="P46:CA46" si="42">P37</f>
        <v>#REF!</v>
      </c>
      <c r="Q46" s="10" t="e">
        <f t="shared" si="42"/>
        <v>#REF!</v>
      </c>
      <c r="R46" s="10" t="e">
        <f t="shared" si="42"/>
        <v>#REF!</v>
      </c>
      <c r="S46" s="10" t="e">
        <f t="shared" si="42"/>
        <v>#REF!</v>
      </c>
      <c r="T46" s="10" t="e">
        <f t="shared" si="42"/>
        <v>#REF!</v>
      </c>
      <c r="U46" s="10" t="e">
        <f t="shared" si="42"/>
        <v>#REF!</v>
      </c>
      <c r="V46" s="10" t="e">
        <f t="shared" si="42"/>
        <v>#REF!</v>
      </c>
      <c r="W46" s="10" t="e">
        <f t="shared" si="42"/>
        <v>#REF!</v>
      </c>
      <c r="X46" s="10" t="e">
        <f t="shared" si="42"/>
        <v>#REF!</v>
      </c>
      <c r="Y46" s="10" t="e">
        <f t="shared" si="42"/>
        <v>#REF!</v>
      </c>
      <c r="Z46" s="10" t="e">
        <f t="shared" si="42"/>
        <v>#REF!</v>
      </c>
      <c r="AA46" s="10" t="e">
        <f t="shared" si="42"/>
        <v>#REF!</v>
      </c>
      <c r="AB46" s="10" t="e">
        <f t="shared" si="42"/>
        <v>#REF!</v>
      </c>
      <c r="AC46" s="10" t="e">
        <f t="shared" si="42"/>
        <v>#REF!</v>
      </c>
      <c r="AD46" s="10" t="e">
        <f t="shared" si="42"/>
        <v>#REF!</v>
      </c>
      <c r="AE46" s="10" t="e">
        <f t="shared" si="42"/>
        <v>#REF!</v>
      </c>
      <c r="AF46" s="10" t="e">
        <f t="shared" si="42"/>
        <v>#REF!</v>
      </c>
      <c r="AG46" s="10" t="e">
        <f t="shared" si="42"/>
        <v>#REF!</v>
      </c>
      <c r="AH46" s="10" t="e">
        <f t="shared" si="42"/>
        <v>#REF!</v>
      </c>
      <c r="AI46" s="10" t="e">
        <f t="shared" si="42"/>
        <v>#REF!</v>
      </c>
      <c r="AJ46" s="10" t="e">
        <f t="shared" si="42"/>
        <v>#REF!</v>
      </c>
      <c r="AK46" s="10" t="e">
        <f t="shared" si="42"/>
        <v>#REF!</v>
      </c>
      <c r="AL46" s="10" t="e">
        <f t="shared" si="42"/>
        <v>#REF!</v>
      </c>
      <c r="AM46" s="10" t="e">
        <f t="shared" si="42"/>
        <v>#REF!</v>
      </c>
      <c r="AN46" s="10" t="e">
        <f t="shared" si="42"/>
        <v>#REF!</v>
      </c>
      <c r="AO46" s="10" t="e">
        <f t="shared" si="42"/>
        <v>#REF!</v>
      </c>
      <c r="AP46" s="10" t="e">
        <f t="shared" si="42"/>
        <v>#REF!</v>
      </c>
      <c r="AQ46" s="10" t="e">
        <f t="shared" si="42"/>
        <v>#REF!</v>
      </c>
      <c r="AR46" s="10" t="e">
        <f t="shared" si="42"/>
        <v>#REF!</v>
      </c>
      <c r="AS46" s="10" t="e">
        <f t="shared" si="42"/>
        <v>#REF!</v>
      </c>
      <c r="AT46" s="10" t="e">
        <f t="shared" si="42"/>
        <v>#REF!</v>
      </c>
      <c r="AU46" s="10" t="e">
        <f t="shared" si="42"/>
        <v>#REF!</v>
      </c>
      <c r="AV46" s="10" t="e">
        <f t="shared" si="42"/>
        <v>#REF!</v>
      </c>
      <c r="AW46" s="10" t="e">
        <f t="shared" si="42"/>
        <v>#REF!</v>
      </c>
      <c r="AX46" s="10" t="e">
        <f t="shared" si="42"/>
        <v>#REF!</v>
      </c>
      <c r="AY46" s="10" t="e">
        <f t="shared" si="42"/>
        <v>#REF!</v>
      </c>
      <c r="AZ46" s="10" t="e">
        <f t="shared" si="42"/>
        <v>#REF!</v>
      </c>
      <c r="BA46" s="10" t="e">
        <f t="shared" si="42"/>
        <v>#REF!</v>
      </c>
      <c r="BB46" s="10" t="e">
        <f t="shared" si="42"/>
        <v>#REF!</v>
      </c>
      <c r="BC46" s="10" t="e">
        <f t="shared" si="42"/>
        <v>#REF!</v>
      </c>
      <c r="BD46" s="10" t="e">
        <f t="shared" si="42"/>
        <v>#REF!</v>
      </c>
      <c r="BE46" s="10" t="e">
        <f t="shared" si="42"/>
        <v>#REF!</v>
      </c>
      <c r="BF46" s="10" t="e">
        <f t="shared" si="42"/>
        <v>#REF!</v>
      </c>
      <c r="BG46" s="10" t="e">
        <f t="shared" si="42"/>
        <v>#REF!</v>
      </c>
      <c r="BH46" s="10" t="e">
        <f t="shared" si="42"/>
        <v>#REF!</v>
      </c>
      <c r="BI46" s="10" t="e">
        <f t="shared" si="42"/>
        <v>#REF!</v>
      </c>
      <c r="BJ46" s="10" t="e">
        <f t="shared" si="42"/>
        <v>#REF!</v>
      </c>
      <c r="BK46" s="10" t="e">
        <f t="shared" si="42"/>
        <v>#REF!</v>
      </c>
      <c r="BL46" s="10" t="e">
        <f t="shared" si="42"/>
        <v>#REF!</v>
      </c>
      <c r="BM46" s="10" t="e">
        <f t="shared" si="42"/>
        <v>#REF!</v>
      </c>
      <c r="BN46" s="10" t="e">
        <f t="shared" si="42"/>
        <v>#REF!</v>
      </c>
      <c r="BO46" s="10" t="e">
        <f t="shared" si="42"/>
        <v>#REF!</v>
      </c>
      <c r="BP46" s="10" t="e">
        <f t="shared" si="42"/>
        <v>#REF!</v>
      </c>
      <c r="BQ46" s="10" t="e">
        <f t="shared" si="42"/>
        <v>#REF!</v>
      </c>
      <c r="BR46" s="10" t="e">
        <f t="shared" si="42"/>
        <v>#REF!</v>
      </c>
      <c r="BS46" s="10" t="e">
        <f t="shared" si="42"/>
        <v>#REF!</v>
      </c>
      <c r="BT46" s="10" t="e">
        <f t="shared" si="42"/>
        <v>#REF!</v>
      </c>
      <c r="BU46" s="10" t="e">
        <f t="shared" si="42"/>
        <v>#REF!</v>
      </c>
      <c r="BV46" s="10" t="e">
        <f t="shared" si="42"/>
        <v>#REF!</v>
      </c>
      <c r="BW46" s="10" t="e">
        <f t="shared" si="42"/>
        <v>#REF!</v>
      </c>
      <c r="BX46" s="10" t="e">
        <f t="shared" si="42"/>
        <v>#REF!</v>
      </c>
      <c r="BY46" s="10" t="e">
        <f t="shared" si="42"/>
        <v>#REF!</v>
      </c>
      <c r="BZ46" s="10" t="e">
        <f t="shared" si="42"/>
        <v>#REF!</v>
      </c>
      <c r="CA46" s="10" t="e">
        <f t="shared" si="42"/>
        <v>#REF!</v>
      </c>
      <c r="CB46" s="10" t="e">
        <f t="shared" ref="CB46:CQ46" si="43">CB37</f>
        <v>#REF!</v>
      </c>
      <c r="CC46" s="10" t="e">
        <f t="shared" si="43"/>
        <v>#REF!</v>
      </c>
      <c r="CD46" s="10" t="e">
        <f t="shared" si="43"/>
        <v>#REF!</v>
      </c>
      <c r="CE46" s="10" t="e">
        <f t="shared" si="43"/>
        <v>#REF!</v>
      </c>
      <c r="CF46" s="10" t="e">
        <f t="shared" si="43"/>
        <v>#REF!</v>
      </c>
      <c r="CG46" s="10" t="e">
        <f t="shared" si="43"/>
        <v>#REF!</v>
      </c>
      <c r="CH46" s="10" t="e">
        <f t="shared" si="43"/>
        <v>#REF!</v>
      </c>
      <c r="CI46" s="10" t="e">
        <f t="shared" si="43"/>
        <v>#REF!</v>
      </c>
      <c r="CJ46" s="10" t="e">
        <f t="shared" si="43"/>
        <v>#REF!</v>
      </c>
      <c r="CK46" s="10" t="e">
        <f t="shared" si="43"/>
        <v>#REF!</v>
      </c>
      <c r="CL46" s="10" t="e">
        <f t="shared" si="43"/>
        <v>#REF!</v>
      </c>
      <c r="CM46" s="10" t="e">
        <f t="shared" si="43"/>
        <v>#REF!</v>
      </c>
      <c r="CN46" s="10" t="e">
        <f t="shared" si="43"/>
        <v>#REF!</v>
      </c>
      <c r="CO46" s="10" t="e">
        <f t="shared" si="43"/>
        <v>#REF!</v>
      </c>
      <c r="CP46" s="10" t="e">
        <f t="shared" si="43"/>
        <v>#REF!</v>
      </c>
      <c r="CQ46" s="10" t="e">
        <f t="shared" si="43"/>
        <v>#REF!</v>
      </c>
      <c r="CR46" s="10" t="e">
        <f t="shared" ref="CR46:CT46" si="44">CR37</f>
        <v>#REF!</v>
      </c>
      <c r="CS46" s="10" t="e">
        <f t="shared" si="44"/>
        <v>#REF!</v>
      </c>
      <c r="CT46" s="10" t="e">
        <f t="shared" si="44"/>
        <v>#REF!</v>
      </c>
      <c r="CU46" s="10"/>
      <c r="CV46" s="10"/>
      <c r="CW46" s="10"/>
      <c r="CX46" s="10"/>
      <c r="CY46" s="10"/>
      <c r="CZ46" s="10"/>
      <c r="DA46" s="10"/>
      <c r="DB46" s="10"/>
      <c r="DC46" s="10"/>
      <c r="DD46" s="10"/>
    </row>
    <row r="47" spans="2:108" ht="12.75" customHeight="1" x14ac:dyDescent="0.25">
      <c r="C47"/>
      <c r="H47" s="54"/>
      <c r="J47" s="96"/>
      <c r="N47" s="10"/>
    </row>
    <row r="48" spans="2:108" ht="12.75" customHeight="1" x14ac:dyDescent="0.25">
      <c r="C48" t="s">
        <v>329</v>
      </c>
      <c r="H48" s="54" t="s">
        <v>3</v>
      </c>
      <c r="J48" s="205"/>
      <c r="N48" s="25" t="e">
        <f>SUM(P48:DD48)</f>
        <v>#REF!</v>
      </c>
      <c r="O48" s="10"/>
      <c r="P48" s="10" t="e">
        <f>IF(NOT(FALSE),MAX(MIN(P46,P45),0),0)</f>
        <v>#REF!</v>
      </c>
      <c r="Q48" s="10" t="e">
        <f t="shared" ref="Q48:CB48" si="45">IF(NOT(FALSE),MAX(MIN(Q46,Q45),0),0)</f>
        <v>#REF!</v>
      </c>
      <c r="R48" s="10" t="e">
        <f t="shared" si="45"/>
        <v>#REF!</v>
      </c>
      <c r="S48" s="10" t="e">
        <f t="shared" si="45"/>
        <v>#REF!</v>
      </c>
      <c r="T48" s="10" t="e">
        <f t="shared" si="45"/>
        <v>#REF!</v>
      </c>
      <c r="U48" s="10" t="e">
        <f t="shared" si="45"/>
        <v>#REF!</v>
      </c>
      <c r="V48" s="10" t="e">
        <f t="shared" si="45"/>
        <v>#REF!</v>
      </c>
      <c r="W48" s="10" t="e">
        <f t="shared" si="45"/>
        <v>#REF!</v>
      </c>
      <c r="X48" s="10" t="e">
        <f t="shared" si="45"/>
        <v>#REF!</v>
      </c>
      <c r="Y48" s="10" t="e">
        <f t="shared" si="45"/>
        <v>#REF!</v>
      </c>
      <c r="Z48" s="10" t="e">
        <f t="shared" si="45"/>
        <v>#REF!</v>
      </c>
      <c r="AA48" s="10" t="e">
        <f t="shared" si="45"/>
        <v>#REF!</v>
      </c>
      <c r="AB48" s="10" t="e">
        <f t="shared" si="45"/>
        <v>#REF!</v>
      </c>
      <c r="AC48" s="10" t="e">
        <f t="shared" si="45"/>
        <v>#REF!</v>
      </c>
      <c r="AD48" s="10" t="e">
        <f t="shared" si="45"/>
        <v>#REF!</v>
      </c>
      <c r="AE48" s="10" t="e">
        <f t="shared" si="45"/>
        <v>#REF!</v>
      </c>
      <c r="AF48" s="10" t="e">
        <f t="shared" si="45"/>
        <v>#REF!</v>
      </c>
      <c r="AG48" s="10" t="e">
        <f t="shared" si="45"/>
        <v>#REF!</v>
      </c>
      <c r="AH48" s="10" t="e">
        <f t="shared" si="45"/>
        <v>#REF!</v>
      </c>
      <c r="AI48" s="10" t="e">
        <f t="shared" si="45"/>
        <v>#REF!</v>
      </c>
      <c r="AJ48" s="10" t="e">
        <f t="shared" si="45"/>
        <v>#REF!</v>
      </c>
      <c r="AK48" s="10" t="e">
        <f t="shared" si="45"/>
        <v>#REF!</v>
      </c>
      <c r="AL48" s="10" t="e">
        <f t="shared" si="45"/>
        <v>#REF!</v>
      </c>
      <c r="AM48" s="10" t="e">
        <f t="shared" si="45"/>
        <v>#REF!</v>
      </c>
      <c r="AN48" s="10" t="e">
        <f t="shared" si="45"/>
        <v>#REF!</v>
      </c>
      <c r="AO48" s="10" t="e">
        <f t="shared" si="45"/>
        <v>#REF!</v>
      </c>
      <c r="AP48" s="10" t="e">
        <f t="shared" si="45"/>
        <v>#REF!</v>
      </c>
      <c r="AQ48" s="10" t="e">
        <f t="shared" si="45"/>
        <v>#REF!</v>
      </c>
      <c r="AR48" s="10" t="e">
        <f t="shared" si="45"/>
        <v>#REF!</v>
      </c>
      <c r="AS48" s="10" t="e">
        <f t="shared" si="45"/>
        <v>#REF!</v>
      </c>
      <c r="AT48" s="10" t="e">
        <f t="shared" si="45"/>
        <v>#REF!</v>
      </c>
      <c r="AU48" s="10" t="e">
        <f t="shared" si="45"/>
        <v>#REF!</v>
      </c>
      <c r="AV48" s="10" t="e">
        <f t="shared" si="45"/>
        <v>#REF!</v>
      </c>
      <c r="AW48" s="10" t="e">
        <f t="shared" si="45"/>
        <v>#REF!</v>
      </c>
      <c r="AX48" s="10" t="e">
        <f t="shared" si="45"/>
        <v>#REF!</v>
      </c>
      <c r="AY48" s="10" t="e">
        <f t="shared" si="45"/>
        <v>#REF!</v>
      </c>
      <c r="AZ48" s="10" t="e">
        <f t="shared" si="45"/>
        <v>#REF!</v>
      </c>
      <c r="BA48" s="10" t="e">
        <f t="shared" si="45"/>
        <v>#REF!</v>
      </c>
      <c r="BB48" s="10" t="e">
        <f t="shared" si="45"/>
        <v>#REF!</v>
      </c>
      <c r="BC48" s="10" t="e">
        <f t="shared" si="45"/>
        <v>#REF!</v>
      </c>
      <c r="BD48" s="10" t="e">
        <f t="shared" si="45"/>
        <v>#REF!</v>
      </c>
      <c r="BE48" s="10" t="e">
        <f t="shared" si="45"/>
        <v>#REF!</v>
      </c>
      <c r="BF48" s="10" t="e">
        <f t="shared" si="45"/>
        <v>#REF!</v>
      </c>
      <c r="BG48" s="10" t="e">
        <f t="shared" si="45"/>
        <v>#REF!</v>
      </c>
      <c r="BH48" s="10" t="e">
        <f t="shared" si="45"/>
        <v>#REF!</v>
      </c>
      <c r="BI48" s="10" t="e">
        <f t="shared" si="45"/>
        <v>#REF!</v>
      </c>
      <c r="BJ48" s="10" t="e">
        <f t="shared" si="45"/>
        <v>#REF!</v>
      </c>
      <c r="BK48" s="10" t="e">
        <f t="shared" si="45"/>
        <v>#REF!</v>
      </c>
      <c r="BL48" s="10" t="e">
        <f t="shared" si="45"/>
        <v>#REF!</v>
      </c>
      <c r="BM48" s="10" t="e">
        <f t="shared" si="45"/>
        <v>#REF!</v>
      </c>
      <c r="BN48" s="10" t="e">
        <f t="shared" si="45"/>
        <v>#REF!</v>
      </c>
      <c r="BO48" s="10" t="e">
        <f t="shared" si="45"/>
        <v>#REF!</v>
      </c>
      <c r="BP48" s="10" t="e">
        <f t="shared" si="45"/>
        <v>#REF!</v>
      </c>
      <c r="BQ48" s="10" t="e">
        <f t="shared" si="45"/>
        <v>#REF!</v>
      </c>
      <c r="BR48" s="10" t="e">
        <f t="shared" si="45"/>
        <v>#REF!</v>
      </c>
      <c r="BS48" s="10" t="e">
        <f t="shared" si="45"/>
        <v>#REF!</v>
      </c>
      <c r="BT48" s="10" t="e">
        <f t="shared" si="45"/>
        <v>#REF!</v>
      </c>
      <c r="BU48" s="10" t="e">
        <f t="shared" si="45"/>
        <v>#REF!</v>
      </c>
      <c r="BV48" s="10" t="e">
        <f t="shared" si="45"/>
        <v>#REF!</v>
      </c>
      <c r="BW48" s="10" t="e">
        <f t="shared" si="45"/>
        <v>#REF!</v>
      </c>
      <c r="BX48" s="10" t="e">
        <f t="shared" si="45"/>
        <v>#REF!</v>
      </c>
      <c r="BY48" s="10" t="e">
        <f t="shared" si="45"/>
        <v>#REF!</v>
      </c>
      <c r="BZ48" s="10" t="e">
        <f t="shared" si="45"/>
        <v>#REF!</v>
      </c>
      <c r="CA48" s="10" t="e">
        <f t="shared" si="45"/>
        <v>#REF!</v>
      </c>
      <c r="CB48" s="10" t="e">
        <f t="shared" si="45"/>
        <v>#REF!</v>
      </c>
      <c r="CC48" s="10" t="e">
        <f t="shared" ref="CC48:CQ48" si="46">IF(NOT(FALSE),MAX(MIN(CC46,CC45),0),0)</f>
        <v>#REF!</v>
      </c>
      <c r="CD48" s="10" t="e">
        <f t="shared" si="46"/>
        <v>#REF!</v>
      </c>
      <c r="CE48" s="10" t="e">
        <f t="shared" si="46"/>
        <v>#REF!</v>
      </c>
      <c r="CF48" s="10" t="e">
        <f t="shared" si="46"/>
        <v>#REF!</v>
      </c>
      <c r="CG48" s="10" t="e">
        <f t="shared" si="46"/>
        <v>#REF!</v>
      </c>
      <c r="CH48" s="10" t="e">
        <f t="shared" si="46"/>
        <v>#REF!</v>
      </c>
      <c r="CI48" s="10" t="e">
        <f t="shared" si="46"/>
        <v>#REF!</v>
      </c>
      <c r="CJ48" s="10" t="e">
        <f t="shared" si="46"/>
        <v>#REF!</v>
      </c>
      <c r="CK48" s="10" t="e">
        <f t="shared" si="46"/>
        <v>#REF!</v>
      </c>
      <c r="CL48" s="10" t="e">
        <f t="shared" si="46"/>
        <v>#REF!</v>
      </c>
      <c r="CM48" s="10" t="e">
        <f t="shared" si="46"/>
        <v>#REF!</v>
      </c>
      <c r="CN48" s="10" t="e">
        <f t="shared" si="46"/>
        <v>#REF!</v>
      </c>
      <c r="CO48" s="10" t="e">
        <f t="shared" si="46"/>
        <v>#REF!</v>
      </c>
      <c r="CP48" s="10" t="e">
        <f t="shared" si="46"/>
        <v>#REF!</v>
      </c>
      <c r="CQ48" s="10" t="e">
        <f t="shared" si="46"/>
        <v>#REF!</v>
      </c>
      <c r="CR48" s="10" t="e">
        <f t="shared" ref="CR48:CT48" si="47">IF(NOT(FALSE),MAX(MIN(CR46,CR45),0),0)</f>
        <v>#REF!</v>
      </c>
      <c r="CS48" s="10" t="e">
        <f t="shared" si="47"/>
        <v>#REF!</v>
      </c>
      <c r="CT48" s="10" t="e">
        <f t="shared" si="47"/>
        <v>#REF!</v>
      </c>
      <c r="CU48" s="10"/>
      <c r="CV48" s="10"/>
      <c r="CW48" s="10"/>
      <c r="CX48" s="10"/>
      <c r="CY48" s="10"/>
      <c r="CZ48" s="10"/>
      <c r="DA48" s="10"/>
      <c r="DB48" s="10"/>
      <c r="DC48" s="10"/>
      <c r="DD48" s="10"/>
    </row>
    <row r="49" spans="1:108" ht="12.75" customHeight="1" x14ac:dyDescent="0.25">
      <c r="C49"/>
      <c r="H49" s="54"/>
      <c r="N49" s="10"/>
    </row>
    <row r="50" spans="1:108" ht="12.75" customHeight="1" x14ac:dyDescent="0.25">
      <c r="C50" t="s">
        <v>330</v>
      </c>
      <c r="H50" s="54" t="s">
        <v>3</v>
      </c>
      <c r="N50" s="35" t="e">
        <f>SUM(P50:DD50)</f>
        <v>#REF!</v>
      </c>
      <c r="O50" s="51"/>
      <c r="P50" s="51" t="e">
        <f>IF(P21=NOT(FALSE),P48,0)</f>
        <v>#REF!</v>
      </c>
      <c r="Q50" s="51" t="e">
        <f t="shared" ref="Q50:CB50" si="48">IF(Q21=NOT(FALSE),Q48,0)</f>
        <v>#REF!</v>
      </c>
      <c r="R50" s="51" t="e">
        <f t="shared" si="48"/>
        <v>#REF!</v>
      </c>
      <c r="S50" s="51" t="e">
        <f t="shared" si="48"/>
        <v>#REF!</v>
      </c>
      <c r="T50" s="51" t="e">
        <f t="shared" si="48"/>
        <v>#REF!</v>
      </c>
      <c r="U50" s="51" t="e">
        <f t="shared" si="48"/>
        <v>#REF!</v>
      </c>
      <c r="V50" s="51" t="e">
        <f t="shared" si="48"/>
        <v>#REF!</v>
      </c>
      <c r="W50" s="51" t="e">
        <f t="shared" si="48"/>
        <v>#REF!</v>
      </c>
      <c r="X50" s="51" t="e">
        <f t="shared" si="48"/>
        <v>#REF!</v>
      </c>
      <c r="Y50" s="51" t="e">
        <f t="shared" si="48"/>
        <v>#REF!</v>
      </c>
      <c r="Z50" s="51" t="e">
        <f t="shared" si="48"/>
        <v>#REF!</v>
      </c>
      <c r="AA50" s="51" t="e">
        <f t="shared" si="48"/>
        <v>#REF!</v>
      </c>
      <c r="AB50" s="51" t="e">
        <f t="shared" si="48"/>
        <v>#REF!</v>
      </c>
      <c r="AC50" s="51" t="e">
        <f t="shared" si="48"/>
        <v>#REF!</v>
      </c>
      <c r="AD50" s="51" t="e">
        <f t="shared" si="48"/>
        <v>#REF!</v>
      </c>
      <c r="AE50" s="51" t="e">
        <f t="shared" si="48"/>
        <v>#REF!</v>
      </c>
      <c r="AF50" s="51" t="e">
        <f t="shared" si="48"/>
        <v>#REF!</v>
      </c>
      <c r="AG50" s="51" t="e">
        <f t="shared" si="48"/>
        <v>#REF!</v>
      </c>
      <c r="AH50" s="51" t="e">
        <f t="shared" si="48"/>
        <v>#REF!</v>
      </c>
      <c r="AI50" s="51" t="e">
        <f t="shared" si="48"/>
        <v>#REF!</v>
      </c>
      <c r="AJ50" s="51" t="e">
        <f t="shared" si="48"/>
        <v>#REF!</v>
      </c>
      <c r="AK50" s="51" t="e">
        <f t="shared" si="48"/>
        <v>#REF!</v>
      </c>
      <c r="AL50" s="51" t="e">
        <f t="shared" si="48"/>
        <v>#REF!</v>
      </c>
      <c r="AM50" s="51" t="e">
        <f t="shared" si="48"/>
        <v>#REF!</v>
      </c>
      <c r="AN50" s="51" t="e">
        <f t="shared" si="48"/>
        <v>#REF!</v>
      </c>
      <c r="AO50" s="51" t="e">
        <f t="shared" si="48"/>
        <v>#REF!</v>
      </c>
      <c r="AP50" s="51" t="e">
        <f t="shared" si="48"/>
        <v>#REF!</v>
      </c>
      <c r="AQ50" s="51" t="e">
        <f t="shared" si="48"/>
        <v>#REF!</v>
      </c>
      <c r="AR50" s="51" t="e">
        <f t="shared" si="48"/>
        <v>#REF!</v>
      </c>
      <c r="AS50" s="51" t="e">
        <f t="shared" si="48"/>
        <v>#REF!</v>
      </c>
      <c r="AT50" s="51" t="e">
        <f t="shared" si="48"/>
        <v>#REF!</v>
      </c>
      <c r="AU50" s="51" t="e">
        <f t="shared" si="48"/>
        <v>#REF!</v>
      </c>
      <c r="AV50" s="51" t="e">
        <f t="shared" si="48"/>
        <v>#REF!</v>
      </c>
      <c r="AW50" s="51" t="e">
        <f t="shared" si="48"/>
        <v>#REF!</v>
      </c>
      <c r="AX50" s="51" t="e">
        <f t="shared" si="48"/>
        <v>#REF!</v>
      </c>
      <c r="AY50" s="51" t="e">
        <f t="shared" si="48"/>
        <v>#REF!</v>
      </c>
      <c r="AZ50" s="51" t="e">
        <f t="shared" si="48"/>
        <v>#REF!</v>
      </c>
      <c r="BA50" s="51" t="e">
        <f t="shared" si="48"/>
        <v>#REF!</v>
      </c>
      <c r="BB50" s="51" t="e">
        <f t="shared" si="48"/>
        <v>#REF!</v>
      </c>
      <c r="BC50" s="51" t="e">
        <f t="shared" si="48"/>
        <v>#REF!</v>
      </c>
      <c r="BD50" s="51" t="e">
        <f t="shared" si="48"/>
        <v>#REF!</v>
      </c>
      <c r="BE50" s="51" t="e">
        <f t="shared" si="48"/>
        <v>#REF!</v>
      </c>
      <c r="BF50" s="51" t="e">
        <f t="shared" si="48"/>
        <v>#REF!</v>
      </c>
      <c r="BG50" s="51" t="e">
        <f t="shared" si="48"/>
        <v>#REF!</v>
      </c>
      <c r="BH50" s="51" t="e">
        <f t="shared" si="48"/>
        <v>#REF!</v>
      </c>
      <c r="BI50" s="51" t="e">
        <f t="shared" si="48"/>
        <v>#REF!</v>
      </c>
      <c r="BJ50" s="51" t="e">
        <f t="shared" si="48"/>
        <v>#REF!</v>
      </c>
      <c r="BK50" s="51" t="e">
        <f t="shared" si="48"/>
        <v>#REF!</v>
      </c>
      <c r="BL50" s="51" t="e">
        <f t="shared" si="48"/>
        <v>#REF!</v>
      </c>
      <c r="BM50" s="51" t="e">
        <f t="shared" si="48"/>
        <v>#REF!</v>
      </c>
      <c r="BN50" s="51" t="e">
        <f t="shared" si="48"/>
        <v>#REF!</v>
      </c>
      <c r="BO50" s="51" t="e">
        <f t="shared" si="48"/>
        <v>#REF!</v>
      </c>
      <c r="BP50" s="51" t="e">
        <f t="shared" si="48"/>
        <v>#REF!</v>
      </c>
      <c r="BQ50" s="51" t="e">
        <f t="shared" si="48"/>
        <v>#REF!</v>
      </c>
      <c r="BR50" s="51" t="e">
        <f t="shared" si="48"/>
        <v>#REF!</v>
      </c>
      <c r="BS50" s="51" t="e">
        <f t="shared" si="48"/>
        <v>#REF!</v>
      </c>
      <c r="BT50" s="51" t="e">
        <f t="shared" si="48"/>
        <v>#REF!</v>
      </c>
      <c r="BU50" s="51" t="e">
        <f t="shared" si="48"/>
        <v>#REF!</v>
      </c>
      <c r="BV50" s="51" t="e">
        <f t="shared" si="48"/>
        <v>#REF!</v>
      </c>
      <c r="BW50" s="51" t="e">
        <f t="shared" si="48"/>
        <v>#REF!</v>
      </c>
      <c r="BX50" s="51" t="e">
        <f t="shared" si="48"/>
        <v>#REF!</v>
      </c>
      <c r="BY50" s="51" t="e">
        <f t="shared" si="48"/>
        <v>#REF!</v>
      </c>
      <c r="BZ50" s="51" t="e">
        <f t="shared" si="48"/>
        <v>#REF!</v>
      </c>
      <c r="CA50" s="51" t="e">
        <f t="shared" si="48"/>
        <v>#REF!</v>
      </c>
      <c r="CB50" s="51" t="e">
        <f t="shared" si="48"/>
        <v>#REF!</v>
      </c>
      <c r="CC50" s="51" t="e">
        <f t="shared" ref="CC50:CQ50" si="49">IF(CC21=NOT(FALSE),CC48,0)</f>
        <v>#REF!</v>
      </c>
      <c r="CD50" s="51" t="e">
        <f t="shared" si="49"/>
        <v>#REF!</v>
      </c>
      <c r="CE50" s="51" t="e">
        <f t="shared" si="49"/>
        <v>#REF!</v>
      </c>
      <c r="CF50" s="51" t="e">
        <f t="shared" si="49"/>
        <v>#REF!</v>
      </c>
      <c r="CG50" s="51" t="e">
        <f t="shared" si="49"/>
        <v>#REF!</v>
      </c>
      <c r="CH50" s="51" t="e">
        <f t="shared" si="49"/>
        <v>#REF!</v>
      </c>
      <c r="CI50" s="51" t="e">
        <f t="shared" si="49"/>
        <v>#REF!</v>
      </c>
      <c r="CJ50" s="51" t="e">
        <f t="shared" si="49"/>
        <v>#REF!</v>
      </c>
      <c r="CK50" s="51" t="e">
        <f t="shared" si="49"/>
        <v>#REF!</v>
      </c>
      <c r="CL50" s="51" t="e">
        <f t="shared" si="49"/>
        <v>#REF!</v>
      </c>
      <c r="CM50" s="51" t="e">
        <f t="shared" si="49"/>
        <v>#REF!</v>
      </c>
      <c r="CN50" s="51" t="e">
        <f t="shared" si="49"/>
        <v>#REF!</v>
      </c>
      <c r="CO50" s="51" t="e">
        <f t="shared" si="49"/>
        <v>#REF!</v>
      </c>
      <c r="CP50" s="51" t="e">
        <f t="shared" si="49"/>
        <v>#REF!</v>
      </c>
      <c r="CQ50" s="51" t="e">
        <f t="shared" si="49"/>
        <v>#REF!</v>
      </c>
      <c r="CR50" s="51" t="e">
        <f t="shared" ref="CR50:CT50" si="50">IF(CR21=NOT(FALSE),CR48,0)</f>
        <v>#REF!</v>
      </c>
      <c r="CS50" s="51" t="e">
        <f t="shared" si="50"/>
        <v>#REF!</v>
      </c>
      <c r="CT50" s="51" t="e">
        <f t="shared" si="50"/>
        <v>#REF!</v>
      </c>
      <c r="CU50" s="51"/>
      <c r="CV50" s="51"/>
      <c r="CW50" s="51"/>
      <c r="CX50" s="51"/>
      <c r="CY50" s="51"/>
      <c r="CZ50" s="51"/>
      <c r="DA50" s="51"/>
      <c r="DB50" s="51"/>
      <c r="DC50" s="51"/>
      <c r="DD50" s="51"/>
    </row>
    <row r="51" spans="1:108" ht="12.75" customHeight="1" x14ac:dyDescent="0.25">
      <c r="C51"/>
      <c r="H51" s="54"/>
      <c r="N51" s="10"/>
    </row>
    <row r="52" spans="1:108" s="5" customFormat="1" ht="12.75" customHeight="1" x14ac:dyDescent="0.2">
      <c r="A52" s="5" t="s">
        <v>331</v>
      </c>
      <c r="C52" s="6"/>
      <c r="H52" s="137"/>
      <c r="I52" s="8"/>
    </row>
    <row r="53" spans="1:108" ht="12.75" customHeight="1" x14ac:dyDescent="0.25">
      <c r="C53"/>
      <c r="H53" s="54"/>
      <c r="N53" s="10"/>
    </row>
    <row r="54" spans="1:108" ht="12.75" customHeight="1" x14ac:dyDescent="0.25">
      <c r="B54" s="21" t="s">
        <v>332</v>
      </c>
      <c r="C54"/>
      <c r="H54" s="54"/>
      <c r="N54" s="10"/>
    </row>
    <row r="55" spans="1:108" ht="12.75" customHeight="1" x14ac:dyDescent="0.25">
      <c r="C55"/>
      <c r="H55" s="54"/>
      <c r="N55" s="10"/>
    </row>
    <row r="56" spans="1:108" ht="12.75" customHeight="1" x14ac:dyDescent="0.25">
      <c r="C56" t="s">
        <v>179</v>
      </c>
      <c r="H56" s="54" t="s">
        <v>3</v>
      </c>
      <c r="N56" s="10"/>
      <c r="O56" s="10"/>
      <c r="P56" s="10">
        <f>O59</f>
        <v>0</v>
      </c>
      <c r="Q56" s="10" t="e">
        <f t="shared" ref="Q56:CB56" si="51">P59</f>
        <v>#REF!</v>
      </c>
      <c r="R56" s="10" t="e">
        <f t="shared" si="51"/>
        <v>#REF!</v>
      </c>
      <c r="S56" s="10" t="e">
        <f t="shared" si="51"/>
        <v>#REF!</v>
      </c>
      <c r="T56" s="10" t="e">
        <f t="shared" si="51"/>
        <v>#REF!</v>
      </c>
      <c r="U56" s="10" t="e">
        <f t="shared" si="51"/>
        <v>#REF!</v>
      </c>
      <c r="V56" s="10" t="e">
        <f t="shared" si="51"/>
        <v>#REF!</v>
      </c>
      <c r="W56" s="10" t="e">
        <f t="shared" si="51"/>
        <v>#REF!</v>
      </c>
      <c r="X56" s="10" t="e">
        <f t="shared" si="51"/>
        <v>#REF!</v>
      </c>
      <c r="Y56" s="10" t="e">
        <f t="shared" si="51"/>
        <v>#REF!</v>
      </c>
      <c r="Z56" s="10" t="e">
        <f t="shared" si="51"/>
        <v>#REF!</v>
      </c>
      <c r="AA56" s="10" t="e">
        <f t="shared" si="51"/>
        <v>#REF!</v>
      </c>
      <c r="AB56" s="10" t="e">
        <f t="shared" si="51"/>
        <v>#REF!</v>
      </c>
      <c r="AC56" s="10" t="e">
        <f t="shared" si="51"/>
        <v>#REF!</v>
      </c>
      <c r="AD56" s="10" t="e">
        <f t="shared" si="51"/>
        <v>#REF!</v>
      </c>
      <c r="AE56" s="10" t="e">
        <f t="shared" si="51"/>
        <v>#REF!</v>
      </c>
      <c r="AF56" s="10" t="e">
        <f t="shared" si="51"/>
        <v>#REF!</v>
      </c>
      <c r="AG56" s="10" t="e">
        <f t="shared" si="51"/>
        <v>#REF!</v>
      </c>
      <c r="AH56" s="10" t="e">
        <f t="shared" si="51"/>
        <v>#REF!</v>
      </c>
      <c r="AI56" s="10" t="e">
        <f t="shared" si="51"/>
        <v>#REF!</v>
      </c>
      <c r="AJ56" s="10" t="e">
        <f t="shared" si="51"/>
        <v>#REF!</v>
      </c>
      <c r="AK56" s="10" t="e">
        <f t="shared" si="51"/>
        <v>#REF!</v>
      </c>
      <c r="AL56" s="10" t="e">
        <f t="shared" si="51"/>
        <v>#REF!</v>
      </c>
      <c r="AM56" s="10" t="e">
        <f t="shared" si="51"/>
        <v>#REF!</v>
      </c>
      <c r="AN56" s="10" t="e">
        <f t="shared" si="51"/>
        <v>#REF!</v>
      </c>
      <c r="AO56" s="10" t="e">
        <f t="shared" si="51"/>
        <v>#REF!</v>
      </c>
      <c r="AP56" s="10" t="e">
        <f t="shared" si="51"/>
        <v>#REF!</v>
      </c>
      <c r="AQ56" s="10" t="e">
        <f t="shared" si="51"/>
        <v>#REF!</v>
      </c>
      <c r="AR56" s="10" t="e">
        <f t="shared" si="51"/>
        <v>#REF!</v>
      </c>
      <c r="AS56" s="10" t="e">
        <f t="shared" si="51"/>
        <v>#REF!</v>
      </c>
      <c r="AT56" s="10" t="e">
        <f t="shared" si="51"/>
        <v>#REF!</v>
      </c>
      <c r="AU56" s="10" t="e">
        <f t="shared" si="51"/>
        <v>#REF!</v>
      </c>
      <c r="AV56" s="10" t="e">
        <f t="shared" si="51"/>
        <v>#REF!</v>
      </c>
      <c r="AW56" s="10" t="e">
        <f t="shared" si="51"/>
        <v>#REF!</v>
      </c>
      <c r="AX56" s="10" t="e">
        <f t="shared" si="51"/>
        <v>#REF!</v>
      </c>
      <c r="AY56" s="10" t="e">
        <f t="shared" si="51"/>
        <v>#REF!</v>
      </c>
      <c r="AZ56" s="10" t="e">
        <f t="shared" si="51"/>
        <v>#REF!</v>
      </c>
      <c r="BA56" s="10" t="e">
        <f t="shared" si="51"/>
        <v>#REF!</v>
      </c>
      <c r="BB56" s="10" t="e">
        <f t="shared" si="51"/>
        <v>#REF!</v>
      </c>
      <c r="BC56" s="10" t="e">
        <f t="shared" si="51"/>
        <v>#REF!</v>
      </c>
      <c r="BD56" s="10" t="e">
        <f t="shared" si="51"/>
        <v>#REF!</v>
      </c>
      <c r="BE56" s="10" t="e">
        <f t="shared" si="51"/>
        <v>#REF!</v>
      </c>
      <c r="BF56" s="10" t="e">
        <f t="shared" si="51"/>
        <v>#REF!</v>
      </c>
      <c r="BG56" s="10" t="e">
        <f t="shared" si="51"/>
        <v>#REF!</v>
      </c>
      <c r="BH56" s="10" t="e">
        <f t="shared" si="51"/>
        <v>#REF!</v>
      </c>
      <c r="BI56" s="10" t="e">
        <f t="shared" si="51"/>
        <v>#REF!</v>
      </c>
      <c r="BJ56" s="10" t="e">
        <f t="shared" si="51"/>
        <v>#REF!</v>
      </c>
      <c r="BK56" s="10" t="e">
        <f t="shared" si="51"/>
        <v>#REF!</v>
      </c>
      <c r="BL56" s="10" t="e">
        <f t="shared" si="51"/>
        <v>#REF!</v>
      </c>
      <c r="BM56" s="10" t="e">
        <f t="shared" si="51"/>
        <v>#REF!</v>
      </c>
      <c r="BN56" s="10" t="e">
        <f t="shared" si="51"/>
        <v>#REF!</v>
      </c>
      <c r="BO56" s="10" t="e">
        <f t="shared" si="51"/>
        <v>#REF!</v>
      </c>
      <c r="BP56" s="10" t="e">
        <f t="shared" si="51"/>
        <v>#REF!</v>
      </c>
      <c r="BQ56" s="10" t="e">
        <f t="shared" si="51"/>
        <v>#REF!</v>
      </c>
      <c r="BR56" s="10" t="e">
        <f t="shared" si="51"/>
        <v>#REF!</v>
      </c>
      <c r="BS56" s="10" t="e">
        <f t="shared" si="51"/>
        <v>#REF!</v>
      </c>
      <c r="BT56" s="10" t="e">
        <f t="shared" si="51"/>
        <v>#REF!</v>
      </c>
      <c r="BU56" s="10" t="e">
        <f t="shared" si="51"/>
        <v>#REF!</v>
      </c>
      <c r="BV56" s="10" t="e">
        <f t="shared" si="51"/>
        <v>#REF!</v>
      </c>
      <c r="BW56" s="10" t="e">
        <f t="shared" si="51"/>
        <v>#REF!</v>
      </c>
      <c r="BX56" s="10" t="e">
        <f t="shared" si="51"/>
        <v>#REF!</v>
      </c>
      <c r="BY56" s="10" t="e">
        <f t="shared" si="51"/>
        <v>#REF!</v>
      </c>
      <c r="BZ56" s="10" t="e">
        <f t="shared" si="51"/>
        <v>#REF!</v>
      </c>
      <c r="CA56" s="10" t="e">
        <f t="shared" si="51"/>
        <v>#REF!</v>
      </c>
      <c r="CB56" s="10" t="e">
        <f t="shared" si="51"/>
        <v>#REF!</v>
      </c>
      <c r="CC56" s="10" t="e">
        <f t="shared" ref="CC56:CQ56" si="52">CB59</f>
        <v>#REF!</v>
      </c>
      <c r="CD56" s="10" t="e">
        <f t="shared" si="52"/>
        <v>#REF!</v>
      </c>
      <c r="CE56" s="10" t="e">
        <f t="shared" si="52"/>
        <v>#REF!</v>
      </c>
      <c r="CF56" s="10" t="e">
        <f t="shared" si="52"/>
        <v>#REF!</v>
      </c>
      <c r="CG56" s="10" t="e">
        <f t="shared" si="52"/>
        <v>#REF!</v>
      </c>
      <c r="CH56" s="10" t="e">
        <f t="shared" si="52"/>
        <v>#REF!</v>
      </c>
      <c r="CI56" s="10" t="e">
        <f t="shared" si="52"/>
        <v>#REF!</v>
      </c>
      <c r="CJ56" s="10" t="e">
        <f t="shared" si="52"/>
        <v>#REF!</v>
      </c>
      <c r="CK56" s="10" t="e">
        <f t="shared" si="52"/>
        <v>#REF!</v>
      </c>
      <c r="CL56" s="10" t="e">
        <f t="shared" si="52"/>
        <v>#REF!</v>
      </c>
      <c r="CM56" s="10" t="e">
        <f t="shared" si="52"/>
        <v>#REF!</v>
      </c>
      <c r="CN56" s="10" t="e">
        <f t="shared" si="52"/>
        <v>#REF!</v>
      </c>
      <c r="CO56" s="10" t="e">
        <f t="shared" si="52"/>
        <v>#REF!</v>
      </c>
      <c r="CP56" s="10" t="e">
        <f t="shared" si="52"/>
        <v>#REF!</v>
      </c>
      <c r="CQ56" s="10" t="e">
        <f t="shared" si="52"/>
        <v>#REF!</v>
      </c>
      <c r="CR56" s="10" t="e">
        <f t="shared" ref="CR56" si="53">CQ59</f>
        <v>#REF!</v>
      </c>
      <c r="CS56" s="10" t="e">
        <f t="shared" ref="CS56" si="54">CR59</f>
        <v>#REF!</v>
      </c>
      <c r="CT56" s="10" t="e">
        <f t="shared" ref="CT56" si="55">CS59</f>
        <v>#REF!</v>
      </c>
      <c r="CU56" s="10"/>
      <c r="CV56" s="10"/>
      <c r="CW56" s="10"/>
      <c r="CX56" s="10"/>
      <c r="CY56" s="10"/>
      <c r="CZ56" s="10"/>
      <c r="DA56" s="10"/>
      <c r="DB56" s="10"/>
      <c r="DC56" s="10"/>
      <c r="DD56" s="10"/>
    </row>
    <row r="57" spans="1:108" ht="12.75" customHeight="1" x14ac:dyDescent="0.25">
      <c r="C57" s="54" t="s">
        <v>34</v>
      </c>
      <c r="D57" t="s">
        <v>241</v>
      </c>
      <c r="H57" s="54" t="s">
        <v>3</v>
      </c>
      <c r="N57" s="25" t="e">
        <f>SUM(P57:DD57)</f>
        <v>#REF!</v>
      </c>
      <c r="O57" s="10"/>
      <c r="P57" s="10" t="e">
        <f>Financing!P22</f>
        <v>#REF!</v>
      </c>
      <c r="Q57" s="10" t="e">
        <f>Financing!Q22</f>
        <v>#REF!</v>
      </c>
      <c r="R57" s="10" t="e">
        <f>Financing!R22</f>
        <v>#REF!</v>
      </c>
      <c r="S57" s="10" t="e">
        <f>Financing!S22</f>
        <v>#REF!</v>
      </c>
      <c r="T57" s="10" t="e">
        <f>Financing!T22</f>
        <v>#REF!</v>
      </c>
      <c r="U57" s="10" t="e">
        <f>Financing!U22</f>
        <v>#REF!</v>
      </c>
      <c r="V57" s="10" t="e">
        <f>Financing!V22</f>
        <v>#REF!</v>
      </c>
      <c r="W57" s="10" t="e">
        <f>Financing!W22</f>
        <v>#REF!</v>
      </c>
      <c r="X57" s="10" t="e">
        <f>Financing!X22</f>
        <v>#REF!</v>
      </c>
      <c r="Y57" s="10" t="e">
        <f>Financing!Y22</f>
        <v>#REF!</v>
      </c>
      <c r="Z57" s="10" t="e">
        <f>Financing!Z22</f>
        <v>#REF!</v>
      </c>
      <c r="AA57" s="10" t="e">
        <f>Financing!AA22</f>
        <v>#REF!</v>
      </c>
      <c r="AB57" s="10" t="e">
        <f>Financing!AB22</f>
        <v>#REF!</v>
      </c>
      <c r="AC57" s="10" t="e">
        <f>Financing!AC22</f>
        <v>#REF!</v>
      </c>
      <c r="AD57" s="10" t="e">
        <f>Financing!AD22</f>
        <v>#REF!</v>
      </c>
      <c r="AE57" s="10" t="e">
        <f>Financing!AE22</f>
        <v>#REF!</v>
      </c>
      <c r="AF57" s="10" t="e">
        <f>Financing!AF22</f>
        <v>#REF!</v>
      </c>
      <c r="AG57" s="10" t="e">
        <f>Financing!AG22</f>
        <v>#REF!</v>
      </c>
      <c r="AH57" s="10" t="e">
        <f>Financing!AH22</f>
        <v>#REF!</v>
      </c>
      <c r="AI57" s="10" t="e">
        <f>Financing!AI22</f>
        <v>#REF!</v>
      </c>
      <c r="AJ57" s="10" t="e">
        <f>Financing!AJ22</f>
        <v>#REF!</v>
      </c>
      <c r="AK57" s="10" t="e">
        <f>Financing!AK22</f>
        <v>#REF!</v>
      </c>
      <c r="AL57" s="10" t="e">
        <f>Financing!AL22</f>
        <v>#REF!</v>
      </c>
      <c r="AM57" s="10" t="e">
        <f>Financing!AM22</f>
        <v>#REF!</v>
      </c>
      <c r="AN57" s="10" t="e">
        <f>Financing!AN22</f>
        <v>#REF!</v>
      </c>
      <c r="AO57" s="10" t="e">
        <f>Financing!AO22</f>
        <v>#REF!</v>
      </c>
      <c r="AP57" s="10" t="e">
        <f>Financing!AP22</f>
        <v>#REF!</v>
      </c>
      <c r="AQ57" s="10" t="e">
        <f>Financing!AQ22</f>
        <v>#REF!</v>
      </c>
      <c r="AR57" s="10" t="e">
        <f>Financing!AR22</f>
        <v>#REF!</v>
      </c>
      <c r="AS57" s="10" t="e">
        <f>Financing!AS22</f>
        <v>#REF!</v>
      </c>
      <c r="AT57" s="10" t="e">
        <f>Financing!AT22</f>
        <v>#REF!</v>
      </c>
      <c r="AU57" s="10" t="e">
        <f>Financing!AU22</f>
        <v>#REF!</v>
      </c>
      <c r="AV57" s="10" t="e">
        <f>Financing!AV22</f>
        <v>#REF!</v>
      </c>
      <c r="AW57" s="10" t="e">
        <f>Financing!AW22</f>
        <v>#REF!</v>
      </c>
      <c r="AX57" s="10" t="e">
        <f>Financing!AX22</f>
        <v>#REF!</v>
      </c>
      <c r="AY57" s="10" t="e">
        <f>Financing!AY22</f>
        <v>#REF!</v>
      </c>
      <c r="AZ57" s="10" t="e">
        <f>Financing!AZ22</f>
        <v>#REF!</v>
      </c>
      <c r="BA57" s="10" t="e">
        <f>Financing!BA22</f>
        <v>#REF!</v>
      </c>
      <c r="BB57" s="10" t="e">
        <f>Financing!BB22</f>
        <v>#REF!</v>
      </c>
      <c r="BC57" s="10" t="e">
        <f>Financing!BC22</f>
        <v>#REF!</v>
      </c>
      <c r="BD57" s="10" t="e">
        <f>Financing!BD22</f>
        <v>#REF!</v>
      </c>
      <c r="BE57" s="10" t="e">
        <f>Financing!BE22</f>
        <v>#REF!</v>
      </c>
      <c r="BF57" s="10" t="e">
        <f>Financing!BF22</f>
        <v>#REF!</v>
      </c>
      <c r="BG57" s="10" t="e">
        <f>Financing!BG22</f>
        <v>#REF!</v>
      </c>
      <c r="BH57" s="10" t="e">
        <f>Financing!BH22</f>
        <v>#REF!</v>
      </c>
      <c r="BI57" s="10" t="e">
        <f>Financing!BI22</f>
        <v>#REF!</v>
      </c>
      <c r="BJ57" s="10" t="e">
        <f>Financing!BJ22</f>
        <v>#REF!</v>
      </c>
      <c r="BK57" s="10" t="e">
        <f>Financing!BK22</f>
        <v>#REF!</v>
      </c>
      <c r="BL57" s="10" t="e">
        <f>Financing!BL22</f>
        <v>#REF!</v>
      </c>
      <c r="BM57" s="10" t="e">
        <f>Financing!BM22</f>
        <v>#REF!</v>
      </c>
      <c r="BN57" s="10" t="e">
        <f>Financing!BN22</f>
        <v>#REF!</v>
      </c>
      <c r="BO57" s="10" t="e">
        <f>Financing!BO22</f>
        <v>#REF!</v>
      </c>
      <c r="BP57" s="10" t="e">
        <f>Financing!BP22</f>
        <v>#REF!</v>
      </c>
      <c r="BQ57" s="10" t="e">
        <f>Financing!BQ22</f>
        <v>#REF!</v>
      </c>
      <c r="BR57" s="10" t="e">
        <f>Financing!BR22</f>
        <v>#REF!</v>
      </c>
      <c r="BS57" s="10" t="e">
        <f>Financing!BS22</f>
        <v>#REF!</v>
      </c>
      <c r="BT57" s="10" t="e">
        <f>Financing!BT22</f>
        <v>#REF!</v>
      </c>
      <c r="BU57" s="10" t="e">
        <f>Financing!BU22</f>
        <v>#REF!</v>
      </c>
      <c r="BV57" s="10" t="e">
        <f>Financing!BV22</f>
        <v>#REF!</v>
      </c>
      <c r="BW57" s="10" t="e">
        <f>Financing!BW22</f>
        <v>#REF!</v>
      </c>
      <c r="BX57" s="10" t="e">
        <f>Financing!BX22</f>
        <v>#REF!</v>
      </c>
      <c r="BY57" s="10" t="e">
        <f>Financing!BY22</f>
        <v>#REF!</v>
      </c>
      <c r="BZ57" s="10" t="e">
        <f>Financing!BZ22</f>
        <v>#REF!</v>
      </c>
      <c r="CA57" s="10" t="e">
        <f>Financing!CA22</f>
        <v>#REF!</v>
      </c>
      <c r="CB57" s="10" t="e">
        <f>Financing!CB22</f>
        <v>#REF!</v>
      </c>
      <c r="CC57" s="10" t="e">
        <f>Financing!CC22</f>
        <v>#REF!</v>
      </c>
      <c r="CD57" s="10" t="e">
        <f>Financing!CD22</f>
        <v>#REF!</v>
      </c>
      <c r="CE57" s="10" t="e">
        <f>Financing!CE22</f>
        <v>#REF!</v>
      </c>
      <c r="CF57" s="10" t="e">
        <f>Financing!CF22</f>
        <v>#REF!</v>
      </c>
      <c r="CG57" s="10" t="e">
        <f>Financing!CG22</f>
        <v>#REF!</v>
      </c>
      <c r="CH57" s="10" t="e">
        <f>Financing!CH22</f>
        <v>#REF!</v>
      </c>
      <c r="CI57" s="10" t="e">
        <f>Financing!CI22</f>
        <v>#REF!</v>
      </c>
      <c r="CJ57" s="10" t="e">
        <f>Financing!CJ22</f>
        <v>#REF!</v>
      </c>
      <c r="CK57" s="10" t="e">
        <f>Financing!CK22</f>
        <v>#REF!</v>
      </c>
      <c r="CL57" s="10" t="e">
        <f>Financing!CL22</f>
        <v>#REF!</v>
      </c>
      <c r="CM57" s="10" t="e">
        <f>Financing!CM22</f>
        <v>#REF!</v>
      </c>
      <c r="CN57" s="10" t="e">
        <f>Financing!CN22</f>
        <v>#REF!</v>
      </c>
      <c r="CO57" s="10" t="e">
        <f>Financing!CO22</f>
        <v>#REF!</v>
      </c>
      <c r="CP57" s="10" t="e">
        <f>Financing!CP22</f>
        <v>#REF!</v>
      </c>
      <c r="CQ57" s="10" t="e">
        <f>Financing!CQ22</f>
        <v>#REF!</v>
      </c>
      <c r="CR57" s="10" t="e">
        <f>Financing!CR22</f>
        <v>#REF!</v>
      </c>
      <c r="CS57" s="10" t="e">
        <f>Financing!CS22</f>
        <v>#REF!</v>
      </c>
      <c r="CT57" s="10" t="e">
        <f>Financing!CT22</f>
        <v>#REF!</v>
      </c>
      <c r="CU57" s="10"/>
      <c r="CV57" s="10"/>
      <c r="CW57" s="10"/>
      <c r="CX57" s="10"/>
      <c r="CY57" s="10"/>
      <c r="CZ57" s="10"/>
      <c r="DA57" s="10"/>
      <c r="DB57" s="10"/>
      <c r="DC57" s="10"/>
      <c r="DD57" s="10"/>
    </row>
    <row r="58" spans="1:108" ht="12.75" customHeight="1" x14ac:dyDescent="0.25">
      <c r="C58" s="54" t="s">
        <v>34</v>
      </c>
      <c r="D58" t="s">
        <v>333</v>
      </c>
      <c r="H58" s="54" t="s">
        <v>3</v>
      </c>
      <c r="N58" s="25" t="e">
        <f>SUM(P58:DD58)</f>
        <v>#REF!</v>
      </c>
      <c r="O58" s="10"/>
      <c r="P58" s="10" t="e">
        <f>CF!P44</f>
        <v>#REF!</v>
      </c>
      <c r="Q58" s="10" t="e">
        <f>CF!Q44</f>
        <v>#REF!</v>
      </c>
      <c r="R58" s="10" t="e">
        <f>CF!R44</f>
        <v>#REF!</v>
      </c>
      <c r="S58" s="10" t="e">
        <f>CF!S44</f>
        <v>#REF!</v>
      </c>
      <c r="T58" s="10" t="e">
        <f>CF!T44</f>
        <v>#REF!</v>
      </c>
      <c r="U58" s="10" t="e">
        <f>CF!U44</f>
        <v>#REF!</v>
      </c>
      <c r="V58" s="10" t="e">
        <f>CF!V44</f>
        <v>#REF!</v>
      </c>
      <c r="W58" s="10" t="e">
        <f>CF!W44</f>
        <v>#REF!</v>
      </c>
      <c r="X58" s="10" t="e">
        <f>CF!X44</f>
        <v>#REF!</v>
      </c>
      <c r="Y58" s="10" t="e">
        <f>CF!Y44</f>
        <v>#REF!</v>
      </c>
      <c r="Z58" s="10" t="e">
        <f>CF!Z44</f>
        <v>#REF!</v>
      </c>
      <c r="AA58" s="10" t="e">
        <f>CF!AA44</f>
        <v>#REF!</v>
      </c>
      <c r="AB58" s="10" t="e">
        <f>CF!AB44</f>
        <v>#REF!</v>
      </c>
      <c r="AC58" s="10" t="e">
        <f>CF!AC44</f>
        <v>#REF!</v>
      </c>
      <c r="AD58" s="10" t="e">
        <f>CF!AD44</f>
        <v>#REF!</v>
      </c>
      <c r="AE58" s="10" t="e">
        <f>CF!AE44</f>
        <v>#REF!</v>
      </c>
      <c r="AF58" s="10" t="e">
        <f>CF!AF44</f>
        <v>#REF!</v>
      </c>
      <c r="AG58" s="10" t="e">
        <f>CF!AG44</f>
        <v>#REF!</v>
      </c>
      <c r="AH58" s="10" t="e">
        <f>CF!AH44</f>
        <v>#REF!</v>
      </c>
      <c r="AI58" s="10" t="e">
        <f>CF!AI44</f>
        <v>#REF!</v>
      </c>
      <c r="AJ58" s="10" t="e">
        <f>CF!AJ44</f>
        <v>#REF!</v>
      </c>
      <c r="AK58" s="10" t="e">
        <f>CF!AK44</f>
        <v>#REF!</v>
      </c>
      <c r="AL58" s="10" t="e">
        <f>CF!AL44</f>
        <v>#REF!</v>
      </c>
      <c r="AM58" s="10" t="e">
        <f>CF!AM44</f>
        <v>#REF!</v>
      </c>
      <c r="AN58" s="10" t="e">
        <f>CF!AN44</f>
        <v>#REF!</v>
      </c>
      <c r="AO58" s="10" t="e">
        <f>CF!AO44</f>
        <v>#REF!</v>
      </c>
      <c r="AP58" s="10" t="e">
        <f>CF!AP44</f>
        <v>#REF!</v>
      </c>
      <c r="AQ58" s="10" t="e">
        <f>CF!AQ44</f>
        <v>#REF!</v>
      </c>
      <c r="AR58" s="10" t="e">
        <f>CF!AR44</f>
        <v>#REF!</v>
      </c>
      <c r="AS58" s="10" t="e">
        <f>CF!AS44</f>
        <v>#REF!</v>
      </c>
      <c r="AT58" s="10" t="e">
        <f>CF!AT44</f>
        <v>#REF!</v>
      </c>
      <c r="AU58" s="10" t="e">
        <f>CF!AU44</f>
        <v>#REF!</v>
      </c>
      <c r="AV58" s="10" t="e">
        <f>CF!AV44</f>
        <v>#REF!</v>
      </c>
      <c r="AW58" s="10" t="e">
        <f>CF!AW44</f>
        <v>#REF!</v>
      </c>
      <c r="AX58" s="10" t="e">
        <f>CF!AX44</f>
        <v>#REF!</v>
      </c>
      <c r="AY58" s="10" t="e">
        <f>CF!AY44</f>
        <v>#REF!</v>
      </c>
      <c r="AZ58" s="10" t="e">
        <f>CF!AZ44</f>
        <v>#REF!</v>
      </c>
      <c r="BA58" s="10" t="e">
        <f>CF!BA44</f>
        <v>#REF!</v>
      </c>
      <c r="BB58" s="10" t="e">
        <f>CF!BB44</f>
        <v>#REF!</v>
      </c>
      <c r="BC58" s="10" t="e">
        <f>CF!BC44</f>
        <v>#REF!</v>
      </c>
      <c r="BD58" s="10" t="e">
        <f>CF!BD44</f>
        <v>#REF!</v>
      </c>
      <c r="BE58" s="10" t="e">
        <f>CF!BE44</f>
        <v>#REF!</v>
      </c>
      <c r="BF58" s="10" t="e">
        <f>CF!BF44</f>
        <v>#REF!</v>
      </c>
      <c r="BG58" s="10" t="e">
        <f>CF!BG44</f>
        <v>#REF!</v>
      </c>
      <c r="BH58" s="10" t="e">
        <f>CF!BH44</f>
        <v>#REF!</v>
      </c>
      <c r="BI58" s="10" t="e">
        <f>CF!BI44</f>
        <v>#REF!</v>
      </c>
      <c r="BJ58" s="10" t="e">
        <f>CF!BJ44</f>
        <v>#REF!</v>
      </c>
      <c r="BK58" s="10" t="e">
        <f>CF!BK44</f>
        <v>#REF!</v>
      </c>
      <c r="BL58" s="10" t="e">
        <f>CF!BL44</f>
        <v>#REF!</v>
      </c>
      <c r="BM58" s="10" t="e">
        <f>CF!BM44</f>
        <v>#REF!</v>
      </c>
      <c r="BN58" s="10" t="e">
        <f>CF!BN44</f>
        <v>#REF!</v>
      </c>
      <c r="BO58" s="10" t="e">
        <f>CF!BO44</f>
        <v>#REF!</v>
      </c>
      <c r="BP58" s="10" t="e">
        <f>CF!BP44</f>
        <v>#REF!</v>
      </c>
      <c r="BQ58" s="10" t="e">
        <f>CF!BQ44</f>
        <v>#REF!</v>
      </c>
      <c r="BR58" s="10" t="e">
        <f>CF!BR44</f>
        <v>#REF!</v>
      </c>
      <c r="BS58" s="10" t="e">
        <f>CF!BS44</f>
        <v>#REF!</v>
      </c>
      <c r="BT58" s="10" t="e">
        <f>CF!BT44</f>
        <v>#REF!</v>
      </c>
      <c r="BU58" s="10" t="e">
        <f>CF!BU44</f>
        <v>#REF!</v>
      </c>
      <c r="BV58" s="10" t="e">
        <f>CF!BV44</f>
        <v>#REF!</v>
      </c>
      <c r="BW58" s="10" t="e">
        <f>CF!BW44</f>
        <v>#REF!</v>
      </c>
      <c r="BX58" s="10" t="e">
        <f>CF!BX44</f>
        <v>#REF!</v>
      </c>
      <c r="BY58" s="10" t="e">
        <f>CF!BY44</f>
        <v>#REF!</v>
      </c>
      <c r="BZ58" s="10" t="e">
        <f>CF!BZ44</f>
        <v>#REF!</v>
      </c>
      <c r="CA58" s="10" t="e">
        <f>CF!CA44</f>
        <v>#REF!</v>
      </c>
      <c r="CB58" s="10" t="e">
        <f>CF!CB44</f>
        <v>#REF!</v>
      </c>
      <c r="CC58" s="10" t="e">
        <f>CF!CC44</f>
        <v>#REF!</v>
      </c>
      <c r="CD58" s="10" t="e">
        <f>CF!CD44</f>
        <v>#REF!</v>
      </c>
      <c r="CE58" s="10" t="e">
        <f>CF!CE44</f>
        <v>#REF!</v>
      </c>
      <c r="CF58" s="10" t="e">
        <f>CF!CF44</f>
        <v>#REF!</v>
      </c>
      <c r="CG58" s="10" t="e">
        <f>CF!CG44</f>
        <v>#REF!</v>
      </c>
      <c r="CH58" s="10" t="e">
        <f>CF!CH44</f>
        <v>#REF!</v>
      </c>
      <c r="CI58" s="10" t="e">
        <f>CF!CI44</f>
        <v>#REF!</v>
      </c>
      <c r="CJ58" s="10" t="e">
        <f>CF!CJ44</f>
        <v>#REF!</v>
      </c>
      <c r="CK58" s="10" t="e">
        <f>CF!CK44</f>
        <v>#REF!</v>
      </c>
      <c r="CL58" s="10" t="e">
        <f>CF!CL44</f>
        <v>#REF!</v>
      </c>
      <c r="CM58" s="10" t="e">
        <f>CF!CM44</f>
        <v>#REF!</v>
      </c>
      <c r="CN58" s="10" t="e">
        <f>CF!CN44</f>
        <v>#REF!</v>
      </c>
      <c r="CO58" s="10" t="e">
        <f>CF!CO44</f>
        <v>#REF!</v>
      </c>
      <c r="CP58" s="10" t="e">
        <f>CF!CP44</f>
        <v>#REF!</v>
      </c>
      <c r="CQ58" s="10" t="e">
        <f>CF!CQ44</f>
        <v>#REF!</v>
      </c>
      <c r="CR58" s="10" t="e">
        <f>CF!CR44</f>
        <v>#REF!</v>
      </c>
      <c r="CS58" s="10" t="e">
        <f>CF!CS44</f>
        <v>#REF!</v>
      </c>
      <c r="CT58" s="10" t="e">
        <f>CF!CT44</f>
        <v>#REF!</v>
      </c>
      <c r="CU58" s="10"/>
      <c r="CV58" s="10"/>
      <c r="CW58" s="10"/>
      <c r="CX58" s="10"/>
      <c r="CY58" s="10"/>
      <c r="CZ58" s="10"/>
      <c r="DA58" s="10"/>
      <c r="DB58" s="10"/>
      <c r="DC58" s="10"/>
      <c r="DD58" s="10"/>
    </row>
    <row r="59" spans="1:108" ht="12.75" customHeight="1" x14ac:dyDescent="0.25">
      <c r="C59" t="s">
        <v>183</v>
      </c>
      <c r="H59" s="54" t="s">
        <v>3</v>
      </c>
      <c r="N59" s="10"/>
      <c r="O59" s="10"/>
      <c r="P59" s="10" t="e">
        <f>SUM(P56:P57)</f>
        <v>#REF!</v>
      </c>
      <c r="Q59" s="10" t="e">
        <f t="shared" ref="Q59:CB59" si="56">SUM(Q56:Q57)</f>
        <v>#REF!</v>
      </c>
      <c r="R59" s="10" t="e">
        <f t="shared" si="56"/>
        <v>#REF!</v>
      </c>
      <c r="S59" s="10" t="e">
        <f t="shared" si="56"/>
        <v>#REF!</v>
      </c>
      <c r="T59" s="10" t="e">
        <f t="shared" si="56"/>
        <v>#REF!</v>
      </c>
      <c r="U59" s="10" t="e">
        <f t="shared" si="56"/>
        <v>#REF!</v>
      </c>
      <c r="V59" s="10" t="e">
        <f t="shared" si="56"/>
        <v>#REF!</v>
      </c>
      <c r="W59" s="10" t="e">
        <f t="shared" si="56"/>
        <v>#REF!</v>
      </c>
      <c r="X59" s="10" t="e">
        <f t="shared" si="56"/>
        <v>#REF!</v>
      </c>
      <c r="Y59" s="10" t="e">
        <f t="shared" si="56"/>
        <v>#REF!</v>
      </c>
      <c r="Z59" s="10" t="e">
        <f t="shared" si="56"/>
        <v>#REF!</v>
      </c>
      <c r="AA59" s="10" t="e">
        <f t="shared" si="56"/>
        <v>#REF!</v>
      </c>
      <c r="AB59" s="10" t="e">
        <f t="shared" si="56"/>
        <v>#REF!</v>
      </c>
      <c r="AC59" s="10" t="e">
        <f t="shared" si="56"/>
        <v>#REF!</v>
      </c>
      <c r="AD59" s="10" t="e">
        <f t="shared" si="56"/>
        <v>#REF!</v>
      </c>
      <c r="AE59" s="10" t="e">
        <f t="shared" si="56"/>
        <v>#REF!</v>
      </c>
      <c r="AF59" s="10" t="e">
        <f t="shared" si="56"/>
        <v>#REF!</v>
      </c>
      <c r="AG59" s="10" t="e">
        <f t="shared" si="56"/>
        <v>#REF!</v>
      </c>
      <c r="AH59" s="10" t="e">
        <f t="shared" si="56"/>
        <v>#REF!</v>
      </c>
      <c r="AI59" s="10" t="e">
        <f t="shared" si="56"/>
        <v>#REF!</v>
      </c>
      <c r="AJ59" s="10" t="e">
        <f t="shared" si="56"/>
        <v>#REF!</v>
      </c>
      <c r="AK59" s="10" t="e">
        <f t="shared" si="56"/>
        <v>#REF!</v>
      </c>
      <c r="AL59" s="10" t="e">
        <f t="shared" si="56"/>
        <v>#REF!</v>
      </c>
      <c r="AM59" s="10" t="e">
        <f t="shared" si="56"/>
        <v>#REF!</v>
      </c>
      <c r="AN59" s="10" t="e">
        <f t="shared" si="56"/>
        <v>#REF!</v>
      </c>
      <c r="AO59" s="10" t="e">
        <f t="shared" si="56"/>
        <v>#REF!</v>
      </c>
      <c r="AP59" s="10" t="e">
        <f t="shared" si="56"/>
        <v>#REF!</v>
      </c>
      <c r="AQ59" s="10" t="e">
        <f t="shared" si="56"/>
        <v>#REF!</v>
      </c>
      <c r="AR59" s="10" t="e">
        <f t="shared" si="56"/>
        <v>#REF!</v>
      </c>
      <c r="AS59" s="10" t="e">
        <f t="shared" si="56"/>
        <v>#REF!</v>
      </c>
      <c r="AT59" s="10" t="e">
        <f t="shared" si="56"/>
        <v>#REF!</v>
      </c>
      <c r="AU59" s="10" t="e">
        <f t="shared" si="56"/>
        <v>#REF!</v>
      </c>
      <c r="AV59" s="10" t="e">
        <f t="shared" si="56"/>
        <v>#REF!</v>
      </c>
      <c r="AW59" s="10" t="e">
        <f t="shared" si="56"/>
        <v>#REF!</v>
      </c>
      <c r="AX59" s="10" t="e">
        <f t="shared" si="56"/>
        <v>#REF!</v>
      </c>
      <c r="AY59" s="10" t="e">
        <f t="shared" si="56"/>
        <v>#REF!</v>
      </c>
      <c r="AZ59" s="10" t="e">
        <f t="shared" si="56"/>
        <v>#REF!</v>
      </c>
      <c r="BA59" s="10" t="e">
        <f t="shared" si="56"/>
        <v>#REF!</v>
      </c>
      <c r="BB59" s="10" t="e">
        <f t="shared" si="56"/>
        <v>#REF!</v>
      </c>
      <c r="BC59" s="10" t="e">
        <f t="shared" si="56"/>
        <v>#REF!</v>
      </c>
      <c r="BD59" s="10" t="e">
        <f t="shared" si="56"/>
        <v>#REF!</v>
      </c>
      <c r="BE59" s="10" t="e">
        <f t="shared" si="56"/>
        <v>#REF!</v>
      </c>
      <c r="BF59" s="10" t="e">
        <f t="shared" si="56"/>
        <v>#REF!</v>
      </c>
      <c r="BG59" s="10" t="e">
        <f t="shared" si="56"/>
        <v>#REF!</v>
      </c>
      <c r="BH59" s="10" t="e">
        <f t="shared" si="56"/>
        <v>#REF!</v>
      </c>
      <c r="BI59" s="10" t="e">
        <f t="shared" si="56"/>
        <v>#REF!</v>
      </c>
      <c r="BJ59" s="10" t="e">
        <f t="shared" si="56"/>
        <v>#REF!</v>
      </c>
      <c r="BK59" s="10" t="e">
        <f t="shared" si="56"/>
        <v>#REF!</v>
      </c>
      <c r="BL59" s="10" t="e">
        <f t="shared" si="56"/>
        <v>#REF!</v>
      </c>
      <c r="BM59" s="10" t="e">
        <f t="shared" si="56"/>
        <v>#REF!</v>
      </c>
      <c r="BN59" s="10" t="e">
        <f t="shared" si="56"/>
        <v>#REF!</v>
      </c>
      <c r="BO59" s="10" t="e">
        <f t="shared" si="56"/>
        <v>#REF!</v>
      </c>
      <c r="BP59" s="10" t="e">
        <f t="shared" si="56"/>
        <v>#REF!</v>
      </c>
      <c r="BQ59" s="10" t="e">
        <f t="shared" si="56"/>
        <v>#REF!</v>
      </c>
      <c r="BR59" s="10" t="e">
        <f t="shared" si="56"/>
        <v>#REF!</v>
      </c>
      <c r="BS59" s="10" t="e">
        <f t="shared" si="56"/>
        <v>#REF!</v>
      </c>
      <c r="BT59" s="10" t="e">
        <f t="shared" si="56"/>
        <v>#REF!</v>
      </c>
      <c r="BU59" s="10" t="e">
        <f t="shared" si="56"/>
        <v>#REF!</v>
      </c>
      <c r="BV59" s="10" t="e">
        <f t="shared" si="56"/>
        <v>#REF!</v>
      </c>
      <c r="BW59" s="10" t="e">
        <f t="shared" si="56"/>
        <v>#REF!</v>
      </c>
      <c r="BX59" s="10" t="e">
        <f t="shared" si="56"/>
        <v>#REF!</v>
      </c>
      <c r="BY59" s="10" t="e">
        <f t="shared" si="56"/>
        <v>#REF!</v>
      </c>
      <c r="BZ59" s="10" t="e">
        <f t="shared" si="56"/>
        <v>#REF!</v>
      </c>
      <c r="CA59" s="10" t="e">
        <f t="shared" si="56"/>
        <v>#REF!</v>
      </c>
      <c r="CB59" s="10" t="e">
        <f t="shared" si="56"/>
        <v>#REF!</v>
      </c>
      <c r="CC59" s="10" t="e">
        <f t="shared" ref="CC59:CQ59" si="57">SUM(CC56:CC57)</f>
        <v>#REF!</v>
      </c>
      <c r="CD59" s="10" t="e">
        <f t="shared" si="57"/>
        <v>#REF!</v>
      </c>
      <c r="CE59" s="10" t="e">
        <f t="shared" si="57"/>
        <v>#REF!</v>
      </c>
      <c r="CF59" s="10" t="e">
        <f t="shared" si="57"/>
        <v>#REF!</v>
      </c>
      <c r="CG59" s="10" t="e">
        <f t="shared" si="57"/>
        <v>#REF!</v>
      </c>
      <c r="CH59" s="10" t="e">
        <f t="shared" si="57"/>
        <v>#REF!</v>
      </c>
      <c r="CI59" s="10" t="e">
        <f t="shared" si="57"/>
        <v>#REF!</v>
      </c>
      <c r="CJ59" s="10" t="e">
        <f t="shared" si="57"/>
        <v>#REF!</v>
      </c>
      <c r="CK59" s="10" t="e">
        <f t="shared" si="57"/>
        <v>#REF!</v>
      </c>
      <c r="CL59" s="10" t="e">
        <f t="shared" si="57"/>
        <v>#REF!</v>
      </c>
      <c r="CM59" s="10" t="e">
        <f t="shared" si="57"/>
        <v>#REF!</v>
      </c>
      <c r="CN59" s="10" t="e">
        <f t="shared" si="57"/>
        <v>#REF!</v>
      </c>
      <c r="CO59" s="10" t="e">
        <f t="shared" si="57"/>
        <v>#REF!</v>
      </c>
      <c r="CP59" s="10" t="e">
        <f t="shared" si="57"/>
        <v>#REF!</v>
      </c>
      <c r="CQ59" s="10" t="e">
        <f t="shared" si="57"/>
        <v>#REF!</v>
      </c>
      <c r="CR59" s="10" t="e">
        <f t="shared" ref="CR59:CT59" si="58">SUM(CR56:CR57)</f>
        <v>#REF!</v>
      </c>
      <c r="CS59" s="10" t="e">
        <f t="shared" si="58"/>
        <v>#REF!</v>
      </c>
      <c r="CT59" s="10" t="e">
        <f t="shared" si="58"/>
        <v>#REF!</v>
      </c>
      <c r="CU59" s="10"/>
      <c r="CV59" s="10"/>
      <c r="CW59" s="10"/>
      <c r="CX59" s="10"/>
      <c r="CY59" s="10"/>
      <c r="CZ59" s="10"/>
      <c r="DA59" s="10"/>
      <c r="DB59" s="10"/>
      <c r="DC59" s="10"/>
      <c r="DD59" s="10"/>
    </row>
    <row r="60" spans="1:108" ht="12.75" customHeight="1" x14ac:dyDescent="0.25">
      <c r="C60"/>
      <c r="H60" s="54"/>
      <c r="N60" s="10"/>
    </row>
    <row r="61" spans="1:108" ht="12.75" customHeight="1" x14ac:dyDescent="0.25">
      <c r="B61" s="21" t="s">
        <v>296</v>
      </c>
      <c r="C61"/>
      <c r="H61" s="54"/>
      <c r="N61" s="10"/>
    </row>
    <row r="62" spans="1:108" ht="12.75" customHeight="1" x14ac:dyDescent="0.25">
      <c r="C62"/>
      <c r="H62" s="54"/>
      <c r="N62" s="10"/>
    </row>
    <row r="63" spans="1:108" ht="12.75" customHeight="1" x14ac:dyDescent="0.25">
      <c r="C63" t="s">
        <v>179</v>
      </c>
      <c r="H63" s="54" t="s">
        <v>3</v>
      </c>
      <c r="N63" s="10"/>
      <c r="O63" s="10"/>
      <c r="P63" s="10">
        <f>O65</f>
        <v>0</v>
      </c>
      <c r="Q63" s="10" t="e">
        <f t="shared" ref="Q63:CB63" si="59">P65</f>
        <v>#REF!</v>
      </c>
      <c r="R63" s="10" t="e">
        <f t="shared" si="59"/>
        <v>#REF!</v>
      </c>
      <c r="S63" s="10" t="e">
        <f t="shared" si="59"/>
        <v>#REF!</v>
      </c>
      <c r="T63" s="10" t="e">
        <f t="shared" si="59"/>
        <v>#REF!</v>
      </c>
      <c r="U63" s="10" t="e">
        <f t="shared" si="59"/>
        <v>#REF!</v>
      </c>
      <c r="V63" s="10" t="e">
        <f t="shared" si="59"/>
        <v>#REF!</v>
      </c>
      <c r="W63" s="10" t="e">
        <f t="shared" si="59"/>
        <v>#REF!</v>
      </c>
      <c r="X63" s="10" t="e">
        <f t="shared" si="59"/>
        <v>#REF!</v>
      </c>
      <c r="Y63" s="10" t="e">
        <f t="shared" si="59"/>
        <v>#REF!</v>
      </c>
      <c r="Z63" s="10" t="e">
        <f t="shared" si="59"/>
        <v>#REF!</v>
      </c>
      <c r="AA63" s="10" t="e">
        <f t="shared" si="59"/>
        <v>#REF!</v>
      </c>
      <c r="AB63" s="10" t="e">
        <f t="shared" si="59"/>
        <v>#REF!</v>
      </c>
      <c r="AC63" s="10" t="e">
        <f t="shared" si="59"/>
        <v>#REF!</v>
      </c>
      <c r="AD63" s="10" t="e">
        <f t="shared" si="59"/>
        <v>#REF!</v>
      </c>
      <c r="AE63" s="10" t="e">
        <f t="shared" si="59"/>
        <v>#REF!</v>
      </c>
      <c r="AF63" s="10" t="e">
        <f t="shared" si="59"/>
        <v>#REF!</v>
      </c>
      <c r="AG63" s="10" t="e">
        <f t="shared" si="59"/>
        <v>#REF!</v>
      </c>
      <c r="AH63" s="10" t="e">
        <f t="shared" si="59"/>
        <v>#REF!</v>
      </c>
      <c r="AI63" s="10" t="e">
        <f t="shared" si="59"/>
        <v>#REF!</v>
      </c>
      <c r="AJ63" s="10" t="e">
        <f t="shared" si="59"/>
        <v>#REF!</v>
      </c>
      <c r="AK63" s="10" t="e">
        <f t="shared" si="59"/>
        <v>#REF!</v>
      </c>
      <c r="AL63" s="10" t="e">
        <f t="shared" si="59"/>
        <v>#REF!</v>
      </c>
      <c r="AM63" s="10" t="e">
        <f t="shared" si="59"/>
        <v>#REF!</v>
      </c>
      <c r="AN63" s="10" t="e">
        <f t="shared" si="59"/>
        <v>#REF!</v>
      </c>
      <c r="AO63" s="10" t="e">
        <f t="shared" si="59"/>
        <v>#REF!</v>
      </c>
      <c r="AP63" s="10" t="e">
        <f t="shared" si="59"/>
        <v>#REF!</v>
      </c>
      <c r="AQ63" s="10" t="e">
        <f t="shared" si="59"/>
        <v>#REF!</v>
      </c>
      <c r="AR63" s="10" t="e">
        <f t="shared" si="59"/>
        <v>#REF!</v>
      </c>
      <c r="AS63" s="10" t="e">
        <f t="shared" si="59"/>
        <v>#REF!</v>
      </c>
      <c r="AT63" s="10" t="e">
        <f t="shared" si="59"/>
        <v>#REF!</v>
      </c>
      <c r="AU63" s="10" t="e">
        <f t="shared" si="59"/>
        <v>#REF!</v>
      </c>
      <c r="AV63" s="10" t="e">
        <f t="shared" si="59"/>
        <v>#REF!</v>
      </c>
      <c r="AW63" s="10" t="e">
        <f t="shared" si="59"/>
        <v>#REF!</v>
      </c>
      <c r="AX63" s="10" t="e">
        <f t="shared" si="59"/>
        <v>#REF!</v>
      </c>
      <c r="AY63" s="10" t="e">
        <f t="shared" si="59"/>
        <v>#REF!</v>
      </c>
      <c r="AZ63" s="10" t="e">
        <f t="shared" si="59"/>
        <v>#REF!</v>
      </c>
      <c r="BA63" s="10" t="e">
        <f t="shared" si="59"/>
        <v>#REF!</v>
      </c>
      <c r="BB63" s="10" t="e">
        <f t="shared" si="59"/>
        <v>#REF!</v>
      </c>
      <c r="BC63" s="10" t="e">
        <f t="shared" si="59"/>
        <v>#REF!</v>
      </c>
      <c r="BD63" s="10" t="e">
        <f t="shared" si="59"/>
        <v>#REF!</v>
      </c>
      <c r="BE63" s="10" t="e">
        <f t="shared" si="59"/>
        <v>#REF!</v>
      </c>
      <c r="BF63" s="10" t="e">
        <f t="shared" si="59"/>
        <v>#REF!</v>
      </c>
      <c r="BG63" s="10" t="e">
        <f t="shared" si="59"/>
        <v>#REF!</v>
      </c>
      <c r="BH63" s="10" t="e">
        <f t="shared" si="59"/>
        <v>#REF!</v>
      </c>
      <c r="BI63" s="10" t="e">
        <f t="shared" si="59"/>
        <v>#REF!</v>
      </c>
      <c r="BJ63" s="10" t="e">
        <f t="shared" si="59"/>
        <v>#REF!</v>
      </c>
      <c r="BK63" s="10" t="e">
        <f t="shared" si="59"/>
        <v>#REF!</v>
      </c>
      <c r="BL63" s="10" t="e">
        <f t="shared" si="59"/>
        <v>#REF!</v>
      </c>
      <c r="BM63" s="10" t="e">
        <f t="shared" si="59"/>
        <v>#REF!</v>
      </c>
      <c r="BN63" s="10" t="e">
        <f t="shared" si="59"/>
        <v>#REF!</v>
      </c>
      <c r="BO63" s="10" t="e">
        <f t="shared" si="59"/>
        <v>#REF!</v>
      </c>
      <c r="BP63" s="10" t="e">
        <f t="shared" si="59"/>
        <v>#REF!</v>
      </c>
      <c r="BQ63" s="10" t="e">
        <f t="shared" si="59"/>
        <v>#REF!</v>
      </c>
      <c r="BR63" s="10" t="e">
        <f t="shared" si="59"/>
        <v>#REF!</v>
      </c>
      <c r="BS63" s="10" t="e">
        <f t="shared" si="59"/>
        <v>#REF!</v>
      </c>
      <c r="BT63" s="10" t="e">
        <f t="shared" si="59"/>
        <v>#REF!</v>
      </c>
      <c r="BU63" s="10" t="e">
        <f t="shared" si="59"/>
        <v>#REF!</v>
      </c>
      <c r="BV63" s="10" t="e">
        <f t="shared" si="59"/>
        <v>#REF!</v>
      </c>
      <c r="BW63" s="10" t="e">
        <f t="shared" si="59"/>
        <v>#REF!</v>
      </c>
      <c r="BX63" s="10" t="e">
        <f t="shared" si="59"/>
        <v>#REF!</v>
      </c>
      <c r="BY63" s="10" t="e">
        <f t="shared" si="59"/>
        <v>#REF!</v>
      </c>
      <c r="BZ63" s="10" t="e">
        <f t="shared" si="59"/>
        <v>#REF!</v>
      </c>
      <c r="CA63" s="10" t="e">
        <f t="shared" si="59"/>
        <v>#REF!</v>
      </c>
      <c r="CB63" s="10" t="e">
        <f t="shared" si="59"/>
        <v>#REF!</v>
      </c>
      <c r="CC63" s="10" t="e">
        <f t="shared" ref="CC63:CQ63" si="60">CB65</f>
        <v>#REF!</v>
      </c>
      <c r="CD63" s="10" t="e">
        <f t="shared" si="60"/>
        <v>#REF!</v>
      </c>
      <c r="CE63" s="10" t="e">
        <f t="shared" si="60"/>
        <v>#REF!</v>
      </c>
      <c r="CF63" s="10" t="e">
        <f t="shared" si="60"/>
        <v>#REF!</v>
      </c>
      <c r="CG63" s="10" t="e">
        <f t="shared" si="60"/>
        <v>#REF!</v>
      </c>
      <c r="CH63" s="10" t="e">
        <f t="shared" si="60"/>
        <v>#REF!</v>
      </c>
      <c r="CI63" s="10" t="e">
        <f t="shared" si="60"/>
        <v>#REF!</v>
      </c>
      <c r="CJ63" s="10" t="e">
        <f t="shared" si="60"/>
        <v>#REF!</v>
      </c>
      <c r="CK63" s="10" t="e">
        <f t="shared" si="60"/>
        <v>#REF!</v>
      </c>
      <c r="CL63" s="10" t="e">
        <f t="shared" si="60"/>
        <v>#REF!</v>
      </c>
      <c r="CM63" s="10" t="e">
        <f t="shared" si="60"/>
        <v>#REF!</v>
      </c>
      <c r="CN63" s="10" t="e">
        <f t="shared" si="60"/>
        <v>#REF!</v>
      </c>
      <c r="CO63" s="10" t="e">
        <f t="shared" si="60"/>
        <v>#REF!</v>
      </c>
      <c r="CP63" s="10" t="e">
        <f t="shared" si="60"/>
        <v>#REF!</v>
      </c>
      <c r="CQ63" s="10" t="e">
        <f t="shared" si="60"/>
        <v>#REF!</v>
      </c>
      <c r="CR63" s="10" t="e">
        <f t="shared" ref="CR63:CT63" si="61">CQ65</f>
        <v>#REF!</v>
      </c>
      <c r="CS63" s="10" t="e">
        <f t="shared" si="61"/>
        <v>#REF!</v>
      </c>
      <c r="CT63" s="10" t="e">
        <f t="shared" si="61"/>
        <v>#REF!</v>
      </c>
      <c r="CU63" s="10"/>
      <c r="CV63" s="10"/>
      <c r="CW63" s="10"/>
      <c r="CX63" s="10"/>
      <c r="CY63" s="10"/>
      <c r="CZ63" s="10"/>
      <c r="DA63" s="10"/>
      <c r="DB63" s="10"/>
      <c r="DC63" s="10"/>
      <c r="DD63" s="10"/>
    </row>
    <row r="64" spans="1:108" ht="12.75" customHeight="1" x14ac:dyDescent="0.25">
      <c r="C64" s="54" t="s">
        <v>34</v>
      </c>
      <c r="D64" t="s">
        <v>334</v>
      </c>
      <c r="H64" s="54" t="s">
        <v>3</v>
      </c>
      <c r="N64" s="25" t="e">
        <f>SUM(P64:DD64)</f>
        <v>#REF!</v>
      </c>
      <c r="O64" s="10"/>
      <c r="P64" s="10" t="e">
        <f>IS!P32</f>
        <v>#REF!</v>
      </c>
      <c r="Q64" s="10" t="e">
        <f>IS!Q32</f>
        <v>#REF!</v>
      </c>
      <c r="R64" s="10" t="e">
        <f>IS!R32</f>
        <v>#REF!</v>
      </c>
      <c r="S64" s="10" t="e">
        <f>IS!S32</f>
        <v>#REF!</v>
      </c>
      <c r="T64" s="10" t="e">
        <f>IS!T32</f>
        <v>#REF!</v>
      </c>
      <c r="U64" s="10" t="e">
        <f>IS!U32</f>
        <v>#REF!</v>
      </c>
      <c r="V64" s="10" t="e">
        <f>IS!V32</f>
        <v>#REF!</v>
      </c>
      <c r="W64" s="10" t="e">
        <f>IS!W32</f>
        <v>#REF!</v>
      </c>
      <c r="X64" s="10" t="e">
        <f>IS!X32</f>
        <v>#REF!</v>
      </c>
      <c r="Y64" s="10" t="e">
        <f>IS!Y32</f>
        <v>#REF!</v>
      </c>
      <c r="Z64" s="10" t="e">
        <f>IS!Z32</f>
        <v>#REF!</v>
      </c>
      <c r="AA64" s="10" t="e">
        <f>IS!AA32</f>
        <v>#REF!</v>
      </c>
      <c r="AB64" s="10" t="e">
        <f>IS!AB32</f>
        <v>#REF!</v>
      </c>
      <c r="AC64" s="10" t="e">
        <f>IS!AC32</f>
        <v>#REF!</v>
      </c>
      <c r="AD64" s="10" t="e">
        <f>IS!AD32</f>
        <v>#REF!</v>
      </c>
      <c r="AE64" s="10" t="e">
        <f>IS!AE32</f>
        <v>#REF!</v>
      </c>
      <c r="AF64" s="10" t="e">
        <f>IS!AF32</f>
        <v>#REF!</v>
      </c>
      <c r="AG64" s="10" t="e">
        <f>IS!AG32</f>
        <v>#REF!</v>
      </c>
      <c r="AH64" s="10" t="e">
        <f>IS!AH32</f>
        <v>#REF!</v>
      </c>
      <c r="AI64" s="10" t="e">
        <f>IS!AI32</f>
        <v>#REF!</v>
      </c>
      <c r="AJ64" s="10" t="e">
        <f>IS!AJ32</f>
        <v>#REF!</v>
      </c>
      <c r="AK64" s="10" t="e">
        <f>IS!AK32</f>
        <v>#REF!</v>
      </c>
      <c r="AL64" s="10" t="e">
        <f>IS!AL32</f>
        <v>#REF!</v>
      </c>
      <c r="AM64" s="10" t="e">
        <f>IS!AM32</f>
        <v>#REF!</v>
      </c>
      <c r="AN64" s="10" t="e">
        <f>IS!AN32</f>
        <v>#REF!</v>
      </c>
      <c r="AO64" s="10" t="e">
        <f>IS!AO32</f>
        <v>#REF!</v>
      </c>
      <c r="AP64" s="10" t="e">
        <f>IS!AP32</f>
        <v>#REF!</v>
      </c>
      <c r="AQ64" s="10" t="e">
        <f>IS!AQ32</f>
        <v>#REF!</v>
      </c>
      <c r="AR64" s="10" t="e">
        <f>IS!AR32</f>
        <v>#REF!</v>
      </c>
      <c r="AS64" s="10" t="e">
        <f>IS!AS32</f>
        <v>#REF!</v>
      </c>
      <c r="AT64" s="10" t="e">
        <f>IS!AT32</f>
        <v>#REF!</v>
      </c>
      <c r="AU64" s="10" t="e">
        <f>IS!AU32</f>
        <v>#REF!</v>
      </c>
      <c r="AV64" s="10" t="e">
        <f>IS!AV32</f>
        <v>#REF!</v>
      </c>
      <c r="AW64" s="10" t="e">
        <f>IS!AW32</f>
        <v>#REF!</v>
      </c>
      <c r="AX64" s="10" t="e">
        <f>IS!AX32</f>
        <v>#REF!</v>
      </c>
      <c r="AY64" s="10" t="e">
        <f>IS!AY32</f>
        <v>#REF!</v>
      </c>
      <c r="AZ64" s="10" t="e">
        <f>IS!AZ32</f>
        <v>#REF!</v>
      </c>
      <c r="BA64" s="10" t="e">
        <f>IS!BA32</f>
        <v>#REF!</v>
      </c>
      <c r="BB64" s="10" t="e">
        <f>IS!BB32</f>
        <v>#REF!</v>
      </c>
      <c r="BC64" s="10" t="e">
        <f>IS!BC32</f>
        <v>#REF!</v>
      </c>
      <c r="BD64" s="10" t="e">
        <f>IS!BD32</f>
        <v>#REF!</v>
      </c>
      <c r="BE64" s="10" t="e">
        <f>IS!BE32</f>
        <v>#REF!</v>
      </c>
      <c r="BF64" s="10" t="e">
        <f>IS!BF32</f>
        <v>#REF!</v>
      </c>
      <c r="BG64" s="10" t="e">
        <f>IS!BG32</f>
        <v>#REF!</v>
      </c>
      <c r="BH64" s="10" t="e">
        <f>IS!BH32</f>
        <v>#REF!</v>
      </c>
      <c r="BI64" s="10" t="e">
        <f>IS!BI32</f>
        <v>#REF!</v>
      </c>
      <c r="BJ64" s="10" t="e">
        <f>IS!BJ32</f>
        <v>#REF!</v>
      </c>
      <c r="BK64" s="10" t="e">
        <f>IS!BK32</f>
        <v>#REF!</v>
      </c>
      <c r="BL64" s="10" t="e">
        <f>IS!BL32</f>
        <v>#REF!</v>
      </c>
      <c r="BM64" s="10" t="e">
        <f>IS!BM32</f>
        <v>#REF!</v>
      </c>
      <c r="BN64" s="10" t="e">
        <f>IS!BN32</f>
        <v>#REF!</v>
      </c>
      <c r="BO64" s="10" t="e">
        <f>IS!BO32</f>
        <v>#REF!</v>
      </c>
      <c r="BP64" s="10" t="e">
        <f>IS!BP32</f>
        <v>#REF!</v>
      </c>
      <c r="BQ64" s="10" t="e">
        <f>IS!BQ32</f>
        <v>#REF!</v>
      </c>
      <c r="BR64" s="10" t="e">
        <f>IS!BR32</f>
        <v>#REF!</v>
      </c>
      <c r="BS64" s="10" t="e">
        <f>IS!BS32</f>
        <v>#REF!</v>
      </c>
      <c r="BT64" s="10" t="e">
        <f>IS!BT32</f>
        <v>#REF!</v>
      </c>
      <c r="BU64" s="10" t="e">
        <f>IS!BU32</f>
        <v>#REF!</v>
      </c>
      <c r="BV64" s="10" t="e">
        <f>IS!BV32</f>
        <v>#REF!</v>
      </c>
      <c r="BW64" s="10" t="e">
        <f>IS!BW32</f>
        <v>#REF!</v>
      </c>
      <c r="BX64" s="10" t="e">
        <f>IS!BX32</f>
        <v>#REF!</v>
      </c>
      <c r="BY64" s="10" t="e">
        <f>IS!BY32</f>
        <v>#REF!</v>
      </c>
      <c r="BZ64" s="10" t="e">
        <f>IS!BZ32</f>
        <v>#REF!</v>
      </c>
      <c r="CA64" s="10" t="e">
        <f>IS!CA32</f>
        <v>#REF!</v>
      </c>
      <c r="CB64" s="10" t="e">
        <f>IS!CB32</f>
        <v>#REF!</v>
      </c>
      <c r="CC64" s="10" t="e">
        <f>IS!CC32</f>
        <v>#REF!</v>
      </c>
      <c r="CD64" s="10" t="e">
        <f>IS!CD32</f>
        <v>#REF!</v>
      </c>
      <c r="CE64" s="10" t="e">
        <f>IS!CE32</f>
        <v>#REF!</v>
      </c>
      <c r="CF64" s="10" t="e">
        <f>IS!CF32</f>
        <v>#REF!</v>
      </c>
      <c r="CG64" s="10" t="e">
        <f>IS!CG32</f>
        <v>#REF!</v>
      </c>
      <c r="CH64" s="10" t="e">
        <f>IS!CH32</f>
        <v>#REF!</v>
      </c>
      <c r="CI64" s="10" t="e">
        <f>IS!CI32</f>
        <v>#REF!</v>
      </c>
      <c r="CJ64" s="10" t="e">
        <f>IS!CJ32</f>
        <v>#REF!</v>
      </c>
      <c r="CK64" s="10" t="e">
        <f>IS!CK32</f>
        <v>#REF!</v>
      </c>
      <c r="CL64" s="10" t="e">
        <f>IS!CL32</f>
        <v>#REF!</v>
      </c>
      <c r="CM64" s="10" t="e">
        <f>IS!CM32</f>
        <v>#REF!</v>
      </c>
      <c r="CN64" s="10" t="e">
        <f>IS!CN32</f>
        <v>#REF!</v>
      </c>
      <c r="CO64" s="10" t="e">
        <f>IS!CO32</f>
        <v>#REF!</v>
      </c>
      <c r="CP64" s="10" t="e">
        <f>IS!CP32</f>
        <v>#REF!</v>
      </c>
      <c r="CQ64" s="10" t="e">
        <f>IS!CQ32</f>
        <v>#REF!</v>
      </c>
      <c r="CR64" s="10">
        <f>IS!CR32</f>
        <v>0</v>
      </c>
      <c r="CS64" s="10">
        <f>IS!CS32</f>
        <v>0</v>
      </c>
      <c r="CT64" s="10">
        <f>IS!CT32</f>
        <v>0</v>
      </c>
      <c r="CU64" s="10"/>
      <c r="CV64" s="10"/>
      <c r="CW64" s="10"/>
      <c r="CX64" s="10"/>
      <c r="CY64" s="10"/>
      <c r="CZ64" s="10"/>
      <c r="DA64" s="10"/>
      <c r="DB64" s="10"/>
      <c r="DC64" s="10"/>
      <c r="DD64" s="10"/>
    </row>
    <row r="65" spans="1:108" ht="12.75" customHeight="1" x14ac:dyDescent="0.25">
      <c r="A65" t="s">
        <v>335</v>
      </c>
      <c r="C65" t="s">
        <v>183</v>
      </c>
      <c r="H65" s="54" t="s">
        <v>3</v>
      </c>
      <c r="N65" s="10"/>
      <c r="O65" s="10"/>
      <c r="P65" s="10" t="e">
        <f t="shared" ref="P65" si="62">SUM(P63:P64)</f>
        <v>#REF!</v>
      </c>
      <c r="Q65" s="10" t="e">
        <f t="shared" ref="Q65:CB65" si="63">SUM(Q63:Q64)</f>
        <v>#REF!</v>
      </c>
      <c r="R65" s="10" t="e">
        <f t="shared" si="63"/>
        <v>#REF!</v>
      </c>
      <c r="S65" s="10" t="e">
        <f t="shared" si="63"/>
        <v>#REF!</v>
      </c>
      <c r="T65" s="10" t="e">
        <f t="shared" si="63"/>
        <v>#REF!</v>
      </c>
      <c r="U65" s="10" t="e">
        <f t="shared" si="63"/>
        <v>#REF!</v>
      </c>
      <c r="V65" s="10" t="e">
        <f t="shared" si="63"/>
        <v>#REF!</v>
      </c>
      <c r="W65" s="10" t="e">
        <f t="shared" si="63"/>
        <v>#REF!</v>
      </c>
      <c r="X65" s="10" t="e">
        <f t="shared" si="63"/>
        <v>#REF!</v>
      </c>
      <c r="Y65" s="10" t="e">
        <f t="shared" si="63"/>
        <v>#REF!</v>
      </c>
      <c r="Z65" s="10" t="e">
        <f t="shared" si="63"/>
        <v>#REF!</v>
      </c>
      <c r="AA65" s="10" t="e">
        <f t="shared" si="63"/>
        <v>#REF!</v>
      </c>
      <c r="AB65" s="10" t="e">
        <f t="shared" si="63"/>
        <v>#REF!</v>
      </c>
      <c r="AC65" s="10" t="e">
        <f t="shared" si="63"/>
        <v>#REF!</v>
      </c>
      <c r="AD65" s="10" t="e">
        <f t="shared" si="63"/>
        <v>#REF!</v>
      </c>
      <c r="AE65" s="10" t="e">
        <f t="shared" si="63"/>
        <v>#REF!</v>
      </c>
      <c r="AF65" s="10" t="e">
        <f t="shared" si="63"/>
        <v>#REF!</v>
      </c>
      <c r="AG65" s="10" t="e">
        <f t="shared" si="63"/>
        <v>#REF!</v>
      </c>
      <c r="AH65" s="10" t="e">
        <f t="shared" si="63"/>
        <v>#REF!</v>
      </c>
      <c r="AI65" s="10" t="e">
        <f t="shared" si="63"/>
        <v>#REF!</v>
      </c>
      <c r="AJ65" s="10" t="e">
        <f t="shared" si="63"/>
        <v>#REF!</v>
      </c>
      <c r="AK65" s="10" t="e">
        <f t="shared" si="63"/>
        <v>#REF!</v>
      </c>
      <c r="AL65" s="10" t="e">
        <f t="shared" si="63"/>
        <v>#REF!</v>
      </c>
      <c r="AM65" s="10" t="e">
        <f t="shared" si="63"/>
        <v>#REF!</v>
      </c>
      <c r="AN65" s="10" t="e">
        <f t="shared" si="63"/>
        <v>#REF!</v>
      </c>
      <c r="AO65" s="10" t="e">
        <f t="shared" si="63"/>
        <v>#REF!</v>
      </c>
      <c r="AP65" s="10" t="e">
        <f t="shared" si="63"/>
        <v>#REF!</v>
      </c>
      <c r="AQ65" s="10" t="e">
        <f t="shared" si="63"/>
        <v>#REF!</v>
      </c>
      <c r="AR65" s="10" t="e">
        <f t="shared" si="63"/>
        <v>#REF!</v>
      </c>
      <c r="AS65" s="10" t="e">
        <f t="shared" si="63"/>
        <v>#REF!</v>
      </c>
      <c r="AT65" s="10" t="e">
        <f t="shared" si="63"/>
        <v>#REF!</v>
      </c>
      <c r="AU65" s="10" t="e">
        <f t="shared" si="63"/>
        <v>#REF!</v>
      </c>
      <c r="AV65" s="10" t="e">
        <f t="shared" si="63"/>
        <v>#REF!</v>
      </c>
      <c r="AW65" s="10" t="e">
        <f t="shared" si="63"/>
        <v>#REF!</v>
      </c>
      <c r="AX65" s="10" t="e">
        <f t="shared" si="63"/>
        <v>#REF!</v>
      </c>
      <c r="AY65" s="10" t="e">
        <f t="shared" si="63"/>
        <v>#REF!</v>
      </c>
      <c r="AZ65" s="10" t="e">
        <f t="shared" si="63"/>
        <v>#REF!</v>
      </c>
      <c r="BA65" s="10" t="e">
        <f t="shared" si="63"/>
        <v>#REF!</v>
      </c>
      <c r="BB65" s="10" t="e">
        <f t="shared" si="63"/>
        <v>#REF!</v>
      </c>
      <c r="BC65" s="10" t="e">
        <f t="shared" si="63"/>
        <v>#REF!</v>
      </c>
      <c r="BD65" s="10" t="e">
        <f t="shared" si="63"/>
        <v>#REF!</v>
      </c>
      <c r="BE65" s="10" t="e">
        <f t="shared" si="63"/>
        <v>#REF!</v>
      </c>
      <c r="BF65" s="10" t="e">
        <f t="shared" si="63"/>
        <v>#REF!</v>
      </c>
      <c r="BG65" s="10" t="e">
        <f t="shared" si="63"/>
        <v>#REF!</v>
      </c>
      <c r="BH65" s="10" t="e">
        <f t="shared" si="63"/>
        <v>#REF!</v>
      </c>
      <c r="BI65" s="10" t="e">
        <f t="shared" si="63"/>
        <v>#REF!</v>
      </c>
      <c r="BJ65" s="10" t="e">
        <f t="shared" si="63"/>
        <v>#REF!</v>
      </c>
      <c r="BK65" s="10" t="e">
        <f t="shared" si="63"/>
        <v>#REF!</v>
      </c>
      <c r="BL65" s="10" t="e">
        <f t="shared" si="63"/>
        <v>#REF!</v>
      </c>
      <c r="BM65" s="10" t="e">
        <f t="shared" si="63"/>
        <v>#REF!</v>
      </c>
      <c r="BN65" s="10" t="e">
        <f t="shared" si="63"/>
        <v>#REF!</v>
      </c>
      <c r="BO65" s="10" t="e">
        <f t="shared" si="63"/>
        <v>#REF!</v>
      </c>
      <c r="BP65" s="10" t="e">
        <f t="shared" si="63"/>
        <v>#REF!</v>
      </c>
      <c r="BQ65" s="10" t="e">
        <f t="shared" si="63"/>
        <v>#REF!</v>
      </c>
      <c r="BR65" s="10" t="e">
        <f t="shared" si="63"/>
        <v>#REF!</v>
      </c>
      <c r="BS65" s="10" t="e">
        <f t="shared" si="63"/>
        <v>#REF!</v>
      </c>
      <c r="BT65" s="10" t="e">
        <f t="shared" si="63"/>
        <v>#REF!</v>
      </c>
      <c r="BU65" s="10" t="e">
        <f t="shared" si="63"/>
        <v>#REF!</v>
      </c>
      <c r="BV65" s="10" t="e">
        <f t="shared" si="63"/>
        <v>#REF!</v>
      </c>
      <c r="BW65" s="10" t="e">
        <f t="shared" si="63"/>
        <v>#REF!</v>
      </c>
      <c r="BX65" s="10" t="e">
        <f t="shared" si="63"/>
        <v>#REF!</v>
      </c>
      <c r="BY65" s="10" t="e">
        <f t="shared" si="63"/>
        <v>#REF!</v>
      </c>
      <c r="BZ65" s="10" t="e">
        <f t="shared" si="63"/>
        <v>#REF!</v>
      </c>
      <c r="CA65" s="10" t="e">
        <f t="shared" si="63"/>
        <v>#REF!</v>
      </c>
      <c r="CB65" s="10" t="e">
        <f t="shared" si="63"/>
        <v>#REF!</v>
      </c>
      <c r="CC65" s="10" t="e">
        <f t="shared" ref="CC65:CQ65" si="64">SUM(CC63:CC64)</f>
        <v>#REF!</v>
      </c>
      <c r="CD65" s="10" t="e">
        <f t="shared" si="64"/>
        <v>#REF!</v>
      </c>
      <c r="CE65" s="10" t="e">
        <f t="shared" si="64"/>
        <v>#REF!</v>
      </c>
      <c r="CF65" s="10" t="e">
        <f t="shared" si="64"/>
        <v>#REF!</v>
      </c>
      <c r="CG65" s="10" t="e">
        <f t="shared" si="64"/>
        <v>#REF!</v>
      </c>
      <c r="CH65" s="10" t="e">
        <f t="shared" si="64"/>
        <v>#REF!</v>
      </c>
      <c r="CI65" s="10" t="e">
        <f t="shared" si="64"/>
        <v>#REF!</v>
      </c>
      <c r="CJ65" s="10" t="e">
        <f t="shared" si="64"/>
        <v>#REF!</v>
      </c>
      <c r="CK65" s="10" t="e">
        <f t="shared" si="64"/>
        <v>#REF!</v>
      </c>
      <c r="CL65" s="10" t="e">
        <f t="shared" si="64"/>
        <v>#REF!</v>
      </c>
      <c r="CM65" s="10" t="e">
        <f t="shared" si="64"/>
        <v>#REF!</v>
      </c>
      <c r="CN65" s="10" t="e">
        <f t="shared" si="64"/>
        <v>#REF!</v>
      </c>
      <c r="CO65" s="10" t="e">
        <f t="shared" si="64"/>
        <v>#REF!</v>
      </c>
      <c r="CP65" s="10" t="e">
        <f t="shared" si="64"/>
        <v>#REF!</v>
      </c>
      <c r="CQ65" s="10" t="e">
        <f t="shared" si="64"/>
        <v>#REF!</v>
      </c>
      <c r="CR65" s="10" t="e">
        <f t="shared" ref="CR65:CT65" si="65">SUM(CR63:CR64)</f>
        <v>#REF!</v>
      </c>
      <c r="CS65" s="10" t="e">
        <f t="shared" si="65"/>
        <v>#REF!</v>
      </c>
      <c r="CT65" s="10" t="e">
        <f t="shared" si="65"/>
        <v>#REF!</v>
      </c>
      <c r="CU65" s="10"/>
      <c r="CV65" s="10"/>
      <c r="CW65" s="10"/>
      <c r="CX65" s="10"/>
      <c r="CY65" s="10"/>
      <c r="CZ65" s="10"/>
      <c r="DA65" s="10"/>
      <c r="DB65" s="10"/>
      <c r="DC65" s="10"/>
      <c r="DD65" s="10"/>
    </row>
    <row r="66" spans="1:108" ht="12.75" customHeight="1" x14ac:dyDescent="0.25">
      <c r="C66"/>
      <c r="H66" s="54"/>
      <c r="N66" s="10"/>
    </row>
    <row r="67" spans="1:108" ht="12.75" customHeight="1" x14ac:dyDescent="0.25">
      <c r="B67" s="21" t="s">
        <v>336</v>
      </c>
      <c r="C67"/>
      <c r="H67" s="54"/>
      <c r="N67" s="10"/>
    </row>
    <row r="68" spans="1:108" ht="12.75" customHeight="1" x14ac:dyDescent="0.25">
      <c r="C68"/>
      <c r="H68" s="54"/>
      <c r="N68" s="10"/>
    </row>
    <row r="69" spans="1:108" ht="12.75" customHeight="1" x14ac:dyDescent="0.25">
      <c r="C69" t="s">
        <v>179</v>
      </c>
      <c r="H69" s="54" t="s">
        <v>3</v>
      </c>
      <c r="N69" s="10"/>
      <c r="O69" s="10"/>
      <c r="P69" s="10">
        <f>O71</f>
        <v>0</v>
      </c>
      <c r="Q69" s="10" t="e">
        <f t="shared" ref="Q69:CB69" si="66">P71</f>
        <v>#REF!</v>
      </c>
      <c r="R69" s="10" t="e">
        <f t="shared" si="66"/>
        <v>#REF!</v>
      </c>
      <c r="S69" s="10" t="e">
        <f t="shared" si="66"/>
        <v>#REF!</v>
      </c>
      <c r="T69" s="10" t="e">
        <f t="shared" si="66"/>
        <v>#REF!</v>
      </c>
      <c r="U69" s="10" t="e">
        <f t="shared" si="66"/>
        <v>#REF!</v>
      </c>
      <c r="V69" s="10" t="e">
        <f t="shared" si="66"/>
        <v>#REF!</v>
      </c>
      <c r="W69" s="10" t="e">
        <f t="shared" si="66"/>
        <v>#REF!</v>
      </c>
      <c r="X69" s="10" t="e">
        <f t="shared" si="66"/>
        <v>#REF!</v>
      </c>
      <c r="Y69" s="10" t="e">
        <f t="shared" si="66"/>
        <v>#REF!</v>
      </c>
      <c r="Z69" s="10" t="e">
        <f t="shared" si="66"/>
        <v>#REF!</v>
      </c>
      <c r="AA69" s="10" t="e">
        <f t="shared" si="66"/>
        <v>#REF!</v>
      </c>
      <c r="AB69" s="10" t="e">
        <f t="shared" si="66"/>
        <v>#REF!</v>
      </c>
      <c r="AC69" s="10" t="e">
        <f t="shared" si="66"/>
        <v>#REF!</v>
      </c>
      <c r="AD69" s="10" t="e">
        <f t="shared" si="66"/>
        <v>#REF!</v>
      </c>
      <c r="AE69" s="10" t="e">
        <f t="shared" si="66"/>
        <v>#REF!</v>
      </c>
      <c r="AF69" s="10" t="e">
        <f t="shared" si="66"/>
        <v>#REF!</v>
      </c>
      <c r="AG69" s="10" t="e">
        <f t="shared" si="66"/>
        <v>#REF!</v>
      </c>
      <c r="AH69" s="10" t="e">
        <f t="shared" si="66"/>
        <v>#REF!</v>
      </c>
      <c r="AI69" s="10" t="e">
        <f t="shared" si="66"/>
        <v>#REF!</v>
      </c>
      <c r="AJ69" s="10" t="e">
        <f t="shared" si="66"/>
        <v>#REF!</v>
      </c>
      <c r="AK69" s="10" t="e">
        <f t="shared" si="66"/>
        <v>#REF!</v>
      </c>
      <c r="AL69" s="10" t="e">
        <f t="shared" si="66"/>
        <v>#REF!</v>
      </c>
      <c r="AM69" s="10" t="e">
        <f t="shared" si="66"/>
        <v>#REF!</v>
      </c>
      <c r="AN69" s="10" t="e">
        <f t="shared" si="66"/>
        <v>#REF!</v>
      </c>
      <c r="AO69" s="10" t="e">
        <f t="shared" si="66"/>
        <v>#REF!</v>
      </c>
      <c r="AP69" s="10" t="e">
        <f t="shared" si="66"/>
        <v>#REF!</v>
      </c>
      <c r="AQ69" s="10" t="e">
        <f t="shared" si="66"/>
        <v>#REF!</v>
      </c>
      <c r="AR69" s="10" t="e">
        <f t="shared" si="66"/>
        <v>#REF!</v>
      </c>
      <c r="AS69" s="10" t="e">
        <f t="shared" si="66"/>
        <v>#REF!</v>
      </c>
      <c r="AT69" s="10" t="e">
        <f t="shared" si="66"/>
        <v>#REF!</v>
      </c>
      <c r="AU69" s="10" t="e">
        <f t="shared" si="66"/>
        <v>#REF!</v>
      </c>
      <c r="AV69" s="10" t="e">
        <f t="shared" si="66"/>
        <v>#REF!</v>
      </c>
      <c r="AW69" s="10" t="e">
        <f t="shared" si="66"/>
        <v>#REF!</v>
      </c>
      <c r="AX69" s="10" t="e">
        <f t="shared" si="66"/>
        <v>#REF!</v>
      </c>
      <c r="AY69" s="10" t="e">
        <f t="shared" si="66"/>
        <v>#REF!</v>
      </c>
      <c r="AZ69" s="10" t="e">
        <f t="shared" si="66"/>
        <v>#REF!</v>
      </c>
      <c r="BA69" s="10" t="e">
        <f t="shared" si="66"/>
        <v>#REF!</v>
      </c>
      <c r="BB69" s="10" t="e">
        <f t="shared" si="66"/>
        <v>#REF!</v>
      </c>
      <c r="BC69" s="10" t="e">
        <f t="shared" si="66"/>
        <v>#REF!</v>
      </c>
      <c r="BD69" s="10" t="e">
        <f t="shared" si="66"/>
        <v>#REF!</v>
      </c>
      <c r="BE69" s="10" t="e">
        <f t="shared" si="66"/>
        <v>#REF!</v>
      </c>
      <c r="BF69" s="10" t="e">
        <f t="shared" si="66"/>
        <v>#REF!</v>
      </c>
      <c r="BG69" s="10" t="e">
        <f t="shared" si="66"/>
        <v>#REF!</v>
      </c>
      <c r="BH69" s="10" t="e">
        <f t="shared" si="66"/>
        <v>#REF!</v>
      </c>
      <c r="BI69" s="10" t="e">
        <f t="shared" si="66"/>
        <v>#REF!</v>
      </c>
      <c r="BJ69" s="10" t="e">
        <f t="shared" si="66"/>
        <v>#REF!</v>
      </c>
      <c r="BK69" s="10" t="e">
        <f t="shared" si="66"/>
        <v>#REF!</v>
      </c>
      <c r="BL69" s="10" t="e">
        <f t="shared" si="66"/>
        <v>#REF!</v>
      </c>
      <c r="BM69" s="10" t="e">
        <f t="shared" si="66"/>
        <v>#REF!</v>
      </c>
      <c r="BN69" s="10" t="e">
        <f t="shared" si="66"/>
        <v>#REF!</v>
      </c>
      <c r="BO69" s="10" t="e">
        <f t="shared" si="66"/>
        <v>#REF!</v>
      </c>
      <c r="BP69" s="10" t="e">
        <f t="shared" si="66"/>
        <v>#REF!</v>
      </c>
      <c r="BQ69" s="10" t="e">
        <f t="shared" si="66"/>
        <v>#REF!</v>
      </c>
      <c r="BR69" s="10" t="e">
        <f t="shared" si="66"/>
        <v>#REF!</v>
      </c>
      <c r="BS69" s="10" t="e">
        <f t="shared" si="66"/>
        <v>#REF!</v>
      </c>
      <c r="BT69" s="10" t="e">
        <f t="shared" si="66"/>
        <v>#REF!</v>
      </c>
      <c r="BU69" s="10" t="e">
        <f t="shared" si="66"/>
        <v>#REF!</v>
      </c>
      <c r="BV69" s="10" t="e">
        <f t="shared" si="66"/>
        <v>#REF!</v>
      </c>
      <c r="BW69" s="10" t="e">
        <f t="shared" si="66"/>
        <v>#REF!</v>
      </c>
      <c r="BX69" s="10" t="e">
        <f t="shared" si="66"/>
        <v>#REF!</v>
      </c>
      <c r="BY69" s="10" t="e">
        <f t="shared" si="66"/>
        <v>#REF!</v>
      </c>
      <c r="BZ69" s="10" t="e">
        <f t="shared" si="66"/>
        <v>#REF!</v>
      </c>
      <c r="CA69" s="10" t="e">
        <f t="shared" si="66"/>
        <v>#REF!</v>
      </c>
      <c r="CB69" s="10" t="e">
        <f t="shared" si="66"/>
        <v>#REF!</v>
      </c>
      <c r="CC69" s="10" t="e">
        <f t="shared" ref="CC69:CQ69" si="67">CB71</f>
        <v>#REF!</v>
      </c>
      <c r="CD69" s="10" t="e">
        <f t="shared" si="67"/>
        <v>#REF!</v>
      </c>
      <c r="CE69" s="10" t="e">
        <f t="shared" si="67"/>
        <v>#REF!</v>
      </c>
      <c r="CF69" s="10" t="e">
        <f t="shared" si="67"/>
        <v>#REF!</v>
      </c>
      <c r="CG69" s="10" t="e">
        <f t="shared" si="67"/>
        <v>#REF!</v>
      </c>
      <c r="CH69" s="10" t="e">
        <f t="shared" si="67"/>
        <v>#REF!</v>
      </c>
      <c r="CI69" s="10" t="e">
        <f t="shared" si="67"/>
        <v>#REF!</v>
      </c>
      <c r="CJ69" s="10" t="e">
        <f t="shared" si="67"/>
        <v>#REF!</v>
      </c>
      <c r="CK69" s="10" t="e">
        <f t="shared" si="67"/>
        <v>#REF!</v>
      </c>
      <c r="CL69" s="10" t="e">
        <f t="shared" si="67"/>
        <v>#REF!</v>
      </c>
      <c r="CM69" s="10" t="e">
        <f t="shared" si="67"/>
        <v>#REF!</v>
      </c>
      <c r="CN69" s="10" t="e">
        <f t="shared" si="67"/>
        <v>#REF!</v>
      </c>
      <c r="CO69" s="10" t="e">
        <f t="shared" si="67"/>
        <v>#REF!</v>
      </c>
      <c r="CP69" s="10" t="e">
        <f t="shared" si="67"/>
        <v>#REF!</v>
      </c>
      <c r="CQ69" s="10" t="e">
        <f t="shared" si="67"/>
        <v>#REF!</v>
      </c>
      <c r="CR69" s="10" t="e">
        <f t="shared" ref="CR69:CT69" si="68">CQ71</f>
        <v>#REF!</v>
      </c>
      <c r="CS69" s="10" t="e">
        <f t="shared" si="68"/>
        <v>#REF!</v>
      </c>
      <c r="CT69" s="10" t="e">
        <f t="shared" si="68"/>
        <v>#REF!</v>
      </c>
      <c r="CU69" s="10"/>
      <c r="CV69" s="10"/>
      <c r="CW69" s="10"/>
      <c r="CX69" s="10"/>
      <c r="CY69" s="10"/>
      <c r="CZ69" s="10"/>
      <c r="DA69" s="10"/>
      <c r="DB69" s="10"/>
      <c r="DC69" s="10"/>
      <c r="DD69" s="10"/>
    </row>
    <row r="70" spans="1:108" ht="12.75" customHeight="1" x14ac:dyDescent="0.25">
      <c r="C70" s="54" t="s">
        <v>34</v>
      </c>
      <c r="D70" t="s">
        <v>337</v>
      </c>
      <c r="H70" s="54" t="s">
        <v>3</v>
      </c>
      <c r="N70" s="25" t="e">
        <f>SUM(P70:DD70)</f>
        <v>#REF!</v>
      </c>
      <c r="O70" s="10"/>
      <c r="P70" s="10" t="e">
        <f>CF!P48</f>
        <v>#REF!</v>
      </c>
      <c r="Q70" s="10" t="e">
        <f>CF!Q48</f>
        <v>#REF!</v>
      </c>
      <c r="R70" s="10" t="e">
        <f>CF!R48</f>
        <v>#REF!</v>
      </c>
      <c r="S70" s="10" t="e">
        <f>CF!S48</f>
        <v>#REF!</v>
      </c>
      <c r="T70" s="10" t="e">
        <f>CF!T48</f>
        <v>#REF!</v>
      </c>
      <c r="U70" s="10" t="e">
        <f>CF!U48</f>
        <v>#REF!</v>
      </c>
      <c r="V70" s="10" t="e">
        <f>CF!V48</f>
        <v>#REF!</v>
      </c>
      <c r="W70" s="10" t="e">
        <f>CF!W48</f>
        <v>#REF!</v>
      </c>
      <c r="X70" s="10" t="e">
        <f>CF!X48</f>
        <v>#REF!</v>
      </c>
      <c r="Y70" s="10" t="e">
        <f>CF!Y48</f>
        <v>#REF!</v>
      </c>
      <c r="Z70" s="10" t="e">
        <f>CF!Z48</f>
        <v>#REF!</v>
      </c>
      <c r="AA70" s="10" t="e">
        <f>CF!AA48</f>
        <v>#REF!</v>
      </c>
      <c r="AB70" s="10" t="e">
        <f>CF!AB48</f>
        <v>#REF!</v>
      </c>
      <c r="AC70" s="10" t="e">
        <f>CF!AC48</f>
        <v>#REF!</v>
      </c>
      <c r="AD70" s="10" t="e">
        <f>CF!AD48</f>
        <v>#REF!</v>
      </c>
      <c r="AE70" s="10" t="e">
        <f>CF!AE48</f>
        <v>#REF!</v>
      </c>
      <c r="AF70" s="10" t="e">
        <f>CF!AF48</f>
        <v>#REF!</v>
      </c>
      <c r="AG70" s="10" t="e">
        <f>CF!AG48</f>
        <v>#REF!</v>
      </c>
      <c r="AH70" s="10" t="e">
        <f>CF!AH48</f>
        <v>#REF!</v>
      </c>
      <c r="AI70" s="10" t="e">
        <f>CF!AI48</f>
        <v>#REF!</v>
      </c>
      <c r="AJ70" s="10" t="e">
        <f>CF!AJ48</f>
        <v>#REF!</v>
      </c>
      <c r="AK70" s="10" t="e">
        <f>CF!AK48</f>
        <v>#REF!</v>
      </c>
      <c r="AL70" s="10" t="e">
        <f>CF!AL48</f>
        <v>#REF!</v>
      </c>
      <c r="AM70" s="10" t="e">
        <f>CF!AM48</f>
        <v>#REF!</v>
      </c>
      <c r="AN70" s="10" t="e">
        <f>CF!AN48</f>
        <v>#REF!</v>
      </c>
      <c r="AO70" s="10" t="e">
        <f>CF!AO48</f>
        <v>#REF!</v>
      </c>
      <c r="AP70" s="10" t="e">
        <f>CF!AP48</f>
        <v>#REF!</v>
      </c>
      <c r="AQ70" s="10" t="e">
        <f>CF!AQ48</f>
        <v>#REF!</v>
      </c>
      <c r="AR70" s="10" t="e">
        <f>CF!AR48</f>
        <v>#REF!</v>
      </c>
      <c r="AS70" s="10" t="e">
        <f>CF!AS48</f>
        <v>#REF!</v>
      </c>
      <c r="AT70" s="10" t="e">
        <f>CF!AT48</f>
        <v>#REF!</v>
      </c>
      <c r="AU70" s="10" t="e">
        <f>CF!AU48</f>
        <v>#REF!</v>
      </c>
      <c r="AV70" s="10" t="e">
        <f>CF!AV48</f>
        <v>#REF!</v>
      </c>
      <c r="AW70" s="10" t="e">
        <f>CF!AW48</f>
        <v>#REF!</v>
      </c>
      <c r="AX70" s="10" t="e">
        <f>CF!AX48</f>
        <v>#REF!</v>
      </c>
      <c r="AY70" s="10" t="e">
        <f>CF!AY48</f>
        <v>#REF!</v>
      </c>
      <c r="AZ70" s="10" t="e">
        <f>CF!AZ48</f>
        <v>#REF!</v>
      </c>
      <c r="BA70" s="10" t="e">
        <f>CF!BA48</f>
        <v>#REF!</v>
      </c>
      <c r="BB70" s="10" t="e">
        <f>CF!BB48</f>
        <v>#REF!</v>
      </c>
      <c r="BC70" s="10" t="e">
        <f>CF!BC48</f>
        <v>#REF!</v>
      </c>
      <c r="BD70" s="10" t="e">
        <f>CF!BD48</f>
        <v>#REF!</v>
      </c>
      <c r="BE70" s="10" t="e">
        <f>CF!BE48</f>
        <v>#REF!</v>
      </c>
      <c r="BF70" s="10" t="e">
        <f>CF!BF48</f>
        <v>#REF!</v>
      </c>
      <c r="BG70" s="10" t="e">
        <f>CF!BG48</f>
        <v>#REF!</v>
      </c>
      <c r="BH70" s="10" t="e">
        <f>CF!BH48</f>
        <v>#REF!</v>
      </c>
      <c r="BI70" s="10" t="e">
        <f>CF!BI48</f>
        <v>#REF!</v>
      </c>
      <c r="BJ70" s="10" t="e">
        <f>CF!BJ48</f>
        <v>#REF!</v>
      </c>
      <c r="BK70" s="10" t="e">
        <f>CF!BK48</f>
        <v>#REF!</v>
      </c>
      <c r="BL70" s="10" t="e">
        <f>CF!BL48</f>
        <v>#REF!</v>
      </c>
      <c r="BM70" s="10" t="e">
        <f>CF!BM48</f>
        <v>#REF!</v>
      </c>
      <c r="BN70" s="10" t="e">
        <f>CF!BN48</f>
        <v>#REF!</v>
      </c>
      <c r="BO70" s="10" t="e">
        <f>CF!BO48</f>
        <v>#REF!</v>
      </c>
      <c r="BP70" s="10" t="e">
        <f>CF!BP48</f>
        <v>#REF!</v>
      </c>
      <c r="BQ70" s="10" t="e">
        <f>CF!BQ48</f>
        <v>#REF!</v>
      </c>
      <c r="BR70" s="10" t="e">
        <f>CF!BR48</f>
        <v>#REF!</v>
      </c>
      <c r="BS70" s="10" t="e">
        <f>CF!BS48</f>
        <v>#REF!</v>
      </c>
      <c r="BT70" s="10" t="e">
        <f>CF!BT48</f>
        <v>#REF!</v>
      </c>
      <c r="BU70" s="10" t="e">
        <f>CF!BU48</f>
        <v>#REF!</v>
      </c>
      <c r="BV70" s="10" t="e">
        <f>CF!BV48</f>
        <v>#REF!</v>
      </c>
      <c r="BW70" s="10" t="e">
        <f>CF!BW48</f>
        <v>#REF!</v>
      </c>
      <c r="BX70" s="10" t="e">
        <f>CF!BX48</f>
        <v>#REF!</v>
      </c>
      <c r="BY70" s="10" t="e">
        <f>CF!BY48</f>
        <v>#REF!</v>
      </c>
      <c r="BZ70" s="10" t="e">
        <f>CF!BZ48</f>
        <v>#REF!</v>
      </c>
      <c r="CA70" s="10" t="e">
        <f>CF!CA48</f>
        <v>#REF!</v>
      </c>
      <c r="CB70" s="10" t="e">
        <f>CF!CB48</f>
        <v>#REF!</v>
      </c>
      <c r="CC70" s="10" t="e">
        <f>CF!CC48</f>
        <v>#REF!</v>
      </c>
      <c r="CD70" s="10" t="e">
        <f>CF!CD48</f>
        <v>#REF!</v>
      </c>
      <c r="CE70" s="10" t="e">
        <f>CF!CE48</f>
        <v>#REF!</v>
      </c>
      <c r="CF70" s="10" t="e">
        <f>CF!CF48</f>
        <v>#REF!</v>
      </c>
      <c r="CG70" s="10" t="e">
        <f>CF!CG48</f>
        <v>#REF!</v>
      </c>
      <c r="CH70" s="10" t="e">
        <f>CF!CH48</f>
        <v>#REF!</v>
      </c>
      <c r="CI70" s="10" t="e">
        <f>CF!CI48</f>
        <v>#REF!</v>
      </c>
      <c r="CJ70" s="10" t="e">
        <f>CF!CJ48</f>
        <v>#REF!</v>
      </c>
      <c r="CK70" s="10" t="e">
        <f>CF!CK48</f>
        <v>#REF!</v>
      </c>
      <c r="CL70" s="10" t="e">
        <f>CF!CL48</f>
        <v>#REF!</v>
      </c>
      <c r="CM70" s="10" t="e">
        <f>CF!CM48</f>
        <v>#REF!</v>
      </c>
      <c r="CN70" s="10" t="e">
        <f>CF!CN48</f>
        <v>#REF!</v>
      </c>
      <c r="CO70" s="10" t="e">
        <f>CF!CO48</f>
        <v>#REF!</v>
      </c>
      <c r="CP70" s="10" t="e">
        <f>CF!CP48</f>
        <v>#REF!</v>
      </c>
      <c r="CQ70" s="10" t="e">
        <f>CF!CQ48</f>
        <v>#REF!</v>
      </c>
      <c r="CR70" s="10" t="e">
        <f>CF!CR48</f>
        <v>#REF!</v>
      </c>
      <c r="CS70" s="10" t="e">
        <f>CF!CS48</f>
        <v>#REF!</v>
      </c>
      <c r="CT70" s="10" t="e">
        <f>CF!CT48</f>
        <v>#REF!</v>
      </c>
      <c r="CU70" s="10"/>
      <c r="CV70" s="10"/>
      <c r="CW70" s="10"/>
      <c r="CX70" s="10"/>
      <c r="CY70" s="10"/>
      <c r="CZ70" s="10"/>
      <c r="DA70" s="10"/>
      <c r="DB70" s="10"/>
      <c r="DC70" s="10"/>
      <c r="DD70" s="10"/>
    </row>
    <row r="71" spans="1:108" ht="12.75" customHeight="1" x14ac:dyDescent="0.25">
      <c r="C71" t="s">
        <v>183</v>
      </c>
      <c r="H71" s="54" t="s">
        <v>3</v>
      </c>
      <c r="N71" s="10"/>
      <c r="O71" s="10"/>
      <c r="P71" s="10" t="e">
        <f t="shared" ref="P71" si="69">SUM(P69:P70)</f>
        <v>#REF!</v>
      </c>
      <c r="Q71" s="10" t="e">
        <f t="shared" ref="Q71:CB71" si="70">SUM(Q69:Q70)</f>
        <v>#REF!</v>
      </c>
      <c r="R71" s="10" t="e">
        <f t="shared" si="70"/>
        <v>#REF!</v>
      </c>
      <c r="S71" s="10" t="e">
        <f t="shared" si="70"/>
        <v>#REF!</v>
      </c>
      <c r="T71" s="10" t="e">
        <f t="shared" si="70"/>
        <v>#REF!</v>
      </c>
      <c r="U71" s="10" t="e">
        <f t="shared" si="70"/>
        <v>#REF!</v>
      </c>
      <c r="V71" s="10" t="e">
        <f t="shared" si="70"/>
        <v>#REF!</v>
      </c>
      <c r="W71" s="10" t="e">
        <f t="shared" si="70"/>
        <v>#REF!</v>
      </c>
      <c r="X71" s="10" t="e">
        <f t="shared" si="70"/>
        <v>#REF!</v>
      </c>
      <c r="Y71" s="10" t="e">
        <f t="shared" si="70"/>
        <v>#REF!</v>
      </c>
      <c r="Z71" s="10" t="e">
        <f t="shared" si="70"/>
        <v>#REF!</v>
      </c>
      <c r="AA71" s="10" t="e">
        <f t="shared" si="70"/>
        <v>#REF!</v>
      </c>
      <c r="AB71" s="10" t="e">
        <f t="shared" si="70"/>
        <v>#REF!</v>
      </c>
      <c r="AC71" s="10" t="e">
        <f t="shared" si="70"/>
        <v>#REF!</v>
      </c>
      <c r="AD71" s="10" t="e">
        <f t="shared" si="70"/>
        <v>#REF!</v>
      </c>
      <c r="AE71" s="10" t="e">
        <f t="shared" si="70"/>
        <v>#REF!</v>
      </c>
      <c r="AF71" s="10" t="e">
        <f t="shared" si="70"/>
        <v>#REF!</v>
      </c>
      <c r="AG71" s="10" t="e">
        <f t="shared" si="70"/>
        <v>#REF!</v>
      </c>
      <c r="AH71" s="10" t="e">
        <f t="shared" si="70"/>
        <v>#REF!</v>
      </c>
      <c r="AI71" s="10" t="e">
        <f t="shared" si="70"/>
        <v>#REF!</v>
      </c>
      <c r="AJ71" s="10" t="e">
        <f t="shared" si="70"/>
        <v>#REF!</v>
      </c>
      <c r="AK71" s="10" t="e">
        <f t="shared" si="70"/>
        <v>#REF!</v>
      </c>
      <c r="AL71" s="10" t="e">
        <f t="shared" si="70"/>
        <v>#REF!</v>
      </c>
      <c r="AM71" s="10" t="e">
        <f t="shared" si="70"/>
        <v>#REF!</v>
      </c>
      <c r="AN71" s="10" t="e">
        <f t="shared" si="70"/>
        <v>#REF!</v>
      </c>
      <c r="AO71" s="10" t="e">
        <f t="shared" si="70"/>
        <v>#REF!</v>
      </c>
      <c r="AP71" s="10" t="e">
        <f t="shared" si="70"/>
        <v>#REF!</v>
      </c>
      <c r="AQ71" s="10" t="e">
        <f t="shared" si="70"/>
        <v>#REF!</v>
      </c>
      <c r="AR71" s="10" t="e">
        <f t="shared" si="70"/>
        <v>#REF!</v>
      </c>
      <c r="AS71" s="10" t="e">
        <f t="shared" si="70"/>
        <v>#REF!</v>
      </c>
      <c r="AT71" s="10" t="e">
        <f t="shared" si="70"/>
        <v>#REF!</v>
      </c>
      <c r="AU71" s="10" t="e">
        <f t="shared" si="70"/>
        <v>#REF!</v>
      </c>
      <c r="AV71" s="10" t="e">
        <f t="shared" si="70"/>
        <v>#REF!</v>
      </c>
      <c r="AW71" s="10" t="e">
        <f t="shared" si="70"/>
        <v>#REF!</v>
      </c>
      <c r="AX71" s="10" t="e">
        <f t="shared" si="70"/>
        <v>#REF!</v>
      </c>
      <c r="AY71" s="10" t="e">
        <f t="shared" si="70"/>
        <v>#REF!</v>
      </c>
      <c r="AZ71" s="10" t="e">
        <f t="shared" si="70"/>
        <v>#REF!</v>
      </c>
      <c r="BA71" s="10" t="e">
        <f t="shared" si="70"/>
        <v>#REF!</v>
      </c>
      <c r="BB71" s="10" t="e">
        <f t="shared" si="70"/>
        <v>#REF!</v>
      </c>
      <c r="BC71" s="10" t="e">
        <f t="shared" si="70"/>
        <v>#REF!</v>
      </c>
      <c r="BD71" s="10" t="e">
        <f t="shared" si="70"/>
        <v>#REF!</v>
      </c>
      <c r="BE71" s="10" t="e">
        <f t="shared" si="70"/>
        <v>#REF!</v>
      </c>
      <c r="BF71" s="10" t="e">
        <f t="shared" si="70"/>
        <v>#REF!</v>
      </c>
      <c r="BG71" s="10" t="e">
        <f t="shared" si="70"/>
        <v>#REF!</v>
      </c>
      <c r="BH71" s="10" t="e">
        <f t="shared" si="70"/>
        <v>#REF!</v>
      </c>
      <c r="BI71" s="10" t="e">
        <f t="shared" si="70"/>
        <v>#REF!</v>
      </c>
      <c r="BJ71" s="10" t="e">
        <f t="shared" si="70"/>
        <v>#REF!</v>
      </c>
      <c r="BK71" s="10" t="e">
        <f t="shared" si="70"/>
        <v>#REF!</v>
      </c>
      <c r="BL71" s="10" t="e">
        <f t="shared" si="70"/>
        <v>#REF!</v>
      </c>
      <c r="BM71" s="10" t="e">
        <f t="shared" si="70"/>
        <v>#REF!</v>
      </c>
      <c r="BN71" s="10" t="e">
        <f t="shared" si="70"/>
        <v>#REF!</v>
      </c>
      <c r="BO71" s="10" t="e">
        <f t="shared" si="70"/>
        <v>#REF!</v>
      </c>
      <c r="BP71" s="10" t="e">
        <f t="shared" si="70"/>
        <v>#REF!</v>
      </c>
      <c r="BQ71" s="10" t="e">
        <f t="shared" si="70"/>
        <v>#REF!</v>
      </c>
      <c r="BR71" s="10" t="e">
        <f t="shared" si="70"/>
        <v>#REF!</v>
      </c>
      <c r="BS71" s="10" t="e">
        <f t="shared" si="70"/>
        <v>#REF!</v>
      </c>
      <c r="BT71" s="10" t="e">
        <f t="shared" si="70"/>
        <v>#REF!</v>
      </c>
      <c r="BU71" s="10" t="e">
        <f t="shared" si="70"/>
        <v>#REF!</v>
      </c>
      <c r="BV71" s="10" t="e">
        <f t="shared" si="70"/>
        <v>#REF!</v>
      </c>
      <c r="BW71" s="10" t="e">
        <f t="shared" si="70"/>
        <v>#REF!</v>
      </c>
      <c r="BX71" s="10" t="e">
        <f t="shared" si="70"/>
        <v>#REF!</v>
      </c>
      <c r="BY71" s="10" t="e">
        <f t="shared" si="70"/>
        <v>#REF!</v>
      </c>
      <c r="BZ71" s="10" t="e">
        <f t="shared" si="70"/>
        <v>#REF!</v>
      </c>
      <c r="CA71" s="10" t="e">
        <f t="shared" si="70"/>
        <v>#REF!</v>
      </c>
      <c r="CB71" s="10" t="e">
        <f t="shared" si="70"/>
        <v>#REF!</v>
      </c>
      <c r="CC71" s="10" t="e">
        <f t="shared" ref="CC71:CQ71" si="71">SUM(CC69:CC70)</f>
        <v>#REF!</v>
      </c>
      <c r="CD71" s="10" t="e">
        <f t="shared" si="71"/>
        <v>#REF!</v>
      </c>
      <c r="CE71" s="10" t="e">
        <f t="shared" si="71"/>
        <v>#REF!</v>
      </c>
      <c r="CF71" s="10" t="e">
        <f t="shared" si="71"/>
        <v>#REF!</v>
      </c>
      <c r="CG71" s="10" t="e">
        <f t="shared" si="71"/>
        <v>#REF!</v>
      </c>
      <c r="CH71" s="10" t="e">
        <f t="shared" si="71"/>
        <v>#REF!</v>
      </c>
      <c r="CI71" s="10" t="e">
        <f t="shared" si="71"/>
        <v>#REF!</v>
      </c>
      <c r="CJ71" s="10" t="e">
        <f t="shared" si="71"/>
        <v>#REF!</v>
      </c>
      <c r="CK71" s="10" t="e">
        <f t="shared" si="71"/>
        <v>#REF!</v>
      </c>
      <c r="CL71" s="10" t="e">
        <f t="shared" si="71"/>
        <v>#REF!</v>
      </c>
      <c r="CM71" s="10" t="e">
        <f t="shared" si="71"/>
        <v>#REF!</v>
      </c>
      <c r="CN71" s="10" t="e">
        <f t="shared" si="71"/>
        <v>#REF!</v>
      </c>
      <c r="CO71" s="10" t="e">
        <f t="shared" si="71"/>
        <v>#REF!</v>
      </c>
      <c r="CP71" s="10" t="e">
        <f t="shared" si="71"/>
        <v>#REF!</v>
      </c>
      <c r="CQ71" s="10" t="e">
        <f t="shared" si="71"/>
        <v>#REF!</v>
      </c>
      <c r="CR71" s="10" t="e">
        <f t="shared" ref="CR71:CT71" si="72">SUM(CR69:CR70)</f>
        <v>#REF!</v>
      </c>
      <c r="CS71" s="10" t="e">
        <f t="shared" si="72"/>
        <v>#REF!</v>
      </c>
      <c r="CT71" s="10" t="e">
        <f t="shared" si="72"/>
        <v>#REF!</v>
      </c>
      <c r="CU71" s="10"/>
      <c r="CV71" s="10"/>
      <c r="CW71" s="10"/>
      <c r="CX71" s="10"/>
      <c r="CY71" s="10"/>
      <c r="CZ71" s="10"/>
      <c r="DA71" s="10"/>
      <c r="DB71" s="10"/>
      <c r="DC71" s="10"/>
      <c r="DD71" s="10"/>
    </row>
    <row r="72" spans="1:108" ht="12.75" customHeight="1" x14ac:dyDescent="0.25">
      <c r="C72"/>
      <c r="H72" s="54"/>
      <c r="N72" s="10"/>
    </row>
    <row r="73" spans="1:108" ht="12.75" customHeight="1" x14ac:dyDescent="0.25">
      <c r="C73"/>
      <c r="H73" s="54"/>
      <c r="N73" s="10"/>
    </row>
    <row r="74" spans="1:108" s="292" customFormat="1" ht="12.75" customHeight="1" x14ac:dyDescent="0.25">
      <c r="A74" s="299" t="s">
        <v>53</v>
      </c>
      <c r="I74" s="313"/>
      <c r="J74" s="284"/>
    </row>
  </sheetData>
  <conditionalFormatting sqref="CU7:DD7">
    <cfRule type="expression" dxfId="70" priority="22">
      <formula>CU7="Ops"</formula>
    </cfRule>
    <cfRule type="expression" dxfId="69" priority="23">
      <formula>CU7="Const"</formula>
    </cfRule>
  </conditionalFormatting>
  <conditionalFormatting sqref="P7:CT7">
    <cfRule type="expression" dxfId="68" priority="20">
      <formula>P7="Ops"</formula>
    </cfRule>
    <cfRule type="expression" dxfId="67" priority="21">
      <formula>P7="Const"</formula>
    </cfRule>
  </conditionalFormatting>
  <conditionalFormatting sqref="J2:J3">
    <cfRule type="expression" dxfId="66" priority="19">
      <formula>#REF!=TRUE</formula>
    </cfRule>
  </conditionalFormatting>
  <conditionalFormatting sqref="J5:J6">
    <cfRule type="expression" dxfId="65" priority="18">
      <formula>#REF!=TRUE</formula>
    </cfRule>
  </conditionalFormatting>
  <conditionalFormatting sqref="J7">
    <cfRule type="expression" dxfId="64" priority="17">
      <formula>#REF!=TRUE</formula>
    </cfRule>
  </conditionalFormatting>
  <conditionalFormatting sqref="O19">
    <cfRule type="expression" dxfId="63" priority="3">
      <formula>O$7="Actuals"</formula>
    </cfRule>
  </conditionalFormatting>
  <conditionalFormatting sqref="CU18:DD18">
    <cfRule type="expression" dxfId="62" priority="12">
      <formula>CU$7="Actuals"</formula>
    </cfRule>
  </conditionalFormatting>
  <conditionalFormatting sqref="CU19:DD19">
    <cfRule type="expression" dxfId="61" priority="11">
      <formula>CU$7="Actuals"</formula>
    </cfRule>
  </conditionalFormatting>
  <conditionalFormatting sqref="J21">
    <cfRule type="containsText" dxfId="60" priority="9" operator="containsText" text="TRUE">
      <formula>NOT(ISERROR(SEARCH("TRUE",J21)))</formula>
    </cfRule>
    <cfRule type="containsText" dxfId="59" priority="10" operator="containsText" text="FALSE">
      <formula>NOT(ISERROR(SEARCH("FALSE",J21)))</formula>
    </cfRule>
  </conditionalFormatting>
  <conditionalFormatting sqref="P18:CT18">
    <cfRule type="expression" dxfId="58" priority="8">
      <formula>P$7="Actuals"</formula>
    </cfRule>
  </conditionalFormatting>
  <conditionalFormatting sqref="P19:CT19">
    <cfRule type="expression" dxfId="57" priority="7">
      <formula>P$7="Actuals"</formula>
    </cfRule>
  </conditionalFormatting>
  <conditionalFormatting sqref="O18">
    <cfRule type="expression" dxfId="56" priority="6">
      <formula>O$7="Actuals"</formula>
    </cfRule>
  </conditionalFormatting>
  <conditionalFormatting sqref="O21">
    <cfRule type="containsText" dxfId="55" priority="4" operator="containsText" text="TRUE">
      <formula>NOT(ISERROR(SEARCH("TRUE",O21)))</formula>
    </cfRule>
    <cfRule type="containsText" dxfId="54" priority="5" operator="containsText" text="FALSE">
      <formula>NOT(ISERROR(SEARCH("FALSE",O21)))</formula>
    </cfRule>
  </conditionalFormatting>
  <conditionalFormatting sqref="P21:DD21">
    <cfRule type="containsText" dxfId="53" priority="1" operator="containsText" text="TRUE">
      <formula>NOT(ISERROR(SEARCH("TRUE",P21)))</formula>
    </cfRule>
    <cfRule type="containsText" dxfId="52" priority="2" operator="containsText" text="FALSE">
      <formula>NOT(ISERROR(SEARCH("FALSE",P21)))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AA949-DE0F-4331-B04D-32B43E09F426}">
  <sheetPr codeName="Sheet13">
    <tabColor theme="3" tint="-0.499984740745262"/>
  </sheetPr>
  <dimension ref="A1:IC81"/>
  <sheetViews>
    <sheetView showGridLines="0" zoomScale="50" zoomScaleNormal="50" workbookViewId="0">
      <pane xSplit="14" ySplit="8" topLeftCell="O21" activePane="bottomRight" state="frozen"/>
      <selection activeCell="I6" sqref="I6"/>
      <selection pane="topRight" activeCell="I6" sqref="I6"/>
      <selection pane="bottomLeft" activeCell="I6" sqref="I6"/>
      <selection pane="bottomRight" activeCell="J37" sqref="J37"/>
    </sheetView>
  </sheetViews>
  <sheetFormatPr defaultColWidth="0" defaultRowHeight="12.75" customHeight="1" zeroHeight="1" x14ac:dyDescent="0.25"/>
  <cols>
    <col min="1" max="2" width="3.28515625" customWidth="1"/>
    <col min="3" max="3" width="3.28515625" style="184" customWidth="1"/>
    <col min="4" max="7" width="13.140625" customWidth="1"/>
    <col min="8" max="8" width="12.28515625" customWidth="1"/>
    <col min="9" max="9" width="8" customWidth="1"/>
    <col min="10" max="11" width="16" customWidth="1"/>
    <col min="12" max="13" width="6.57031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1:108" s="282" customFormat="1" ht="12.75" customHeight="1" x14ac:dyDescent="0.2">
      <c r="C1" s="283"/>
      <c r="H1" s="284"/>
    </row>
    <row r="2" spans="1:108" s="282" customFormat="1" ht="12.75" customHeight="1" x14ac:dyDescent="0.2">
      <c r="C2" s="283"/>
      <c r="H2" s="284"/>
      <c r="J2" s="285"/>
    </row>
    <row r="3" spans="1:108" s="282" customFormat="1" ht="12.75" customHeight="1" x14ac:dyDescent="0.2">
      <c r="C3" s="283"/>
      <c r="H3" s="284"/>
      <c r="J3" s="286"/>
    </row>
    <row r="4" spans="1:108" s="282" customFormat="1" ht="12.75" customHeight="1" x14ac:dyDescent="0.2">
      <c r="C4" s="283"/>
      <c r="H4" s="284"/>
    </row>
    <row r="5" spans="1:108" s="282" customFormat="1" ht="12.75" customHeight="1" x14ac:dyDescent="0.2">
      <c r="C5" s="283"/>
      <c r="H5" s="284"/>
      <c r="J5" s="285"/>
      <c r="N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C6" s="283"/>
      <c r="H6" s="284"/>
      <c r="J6" s="286"/>
      <c r="N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C7" s="283"/>
      <c r="H7" s="284"/>
      <c r="J7" s="286"/>
      <c r="N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C8" s="283"/>
      <c r="H8" s="284"/>
    </row>
    <row r="9" spans="1:108" s="5" customFormat="1" x14ac:dyDescent="0.2">
      <c r="A9" s="5" t="s">
        <v>338</v>
      </c>
      <c r="C9" s="6"/>
      <c r="H9" s="137"/>
      <c r="I9" s="8"/>
    </row>
    <row r="10" spans="1:108" ht="15" x14ac:dyDescent="0.25">
      <c r="C10"/>
      <c r="H10" s="54"/>
      <c r="N10" s="19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</row>
    <row r="11" spans="1:108" ht="15" x14ac:dyDescent="0.25">
      <c r="B11" s="21" t="s">
        <v>202</v>
      </c>
      <c r="C11"/>
      <c r="H11" s="54"/>
      <c r="N11" s="19"/>
    </row>
    <row r="12" spans="1:108" ht="15" x14ac:dyDescent="0.25">
      <c r="B12" s="23"/>
      <c r="C12"/>
      <c r="H12" s="54"/>
      <c r="N12" s="19"/>
    </row>
    <row r="13" spans="1:108" ht="15" x14ac:dyDescent="0.25">
      <c r="C13" s="17" t="s">
        <v>34</v>
      </c>
      <c r="D13" t="s">
        <v>205</v>
      </c>
      <c r="H13" s="54" t="s">
        <v>3</v>
      </c>
      <c r="N13" s="25" t="e">
        <f t="shared" ref="N13:N19" si="1">SUM(P13:DD13)</f>
        <v>#REF!</v>
      </c>
      <c r="O13" s="10"/>
      <c r="P13" s="10">
        <f>Ops!P39</f>
        <v>0</v>
      </c>
      <c r="Q13" s="10">
        <f>Ops!Q39</f>
        <v>0</v>
      </c>
      <c r="R13" s="10">
        <f>Ops!R39</f>
        <v>0</v>
      </c>
      <c r="S13" s="10">
        <f>Ops!S39</f>
        <v>4074.2858019829564</v>
      </c>
      <c r="T13" s="10" t="e">
        <f>Ops!T39</f>
        <v>#REF!</v>
      </c>
      <c r="U13" s="10">
        <f>Ops!U39</f>
        <v>4074.2858019829564</v>
      </c>
      <c r="V13" s="10" t="e">
        <f>Ops!V39</f>
        <v>#REF!</v>
      </c>
      <c r="W13" s="10">
        <f>Ops!W39</f>
        <v>4074.2858019829564</v>
      </c>
      <c r="X13" s="10" t="e">
        <f>Ops!X39</f>
        <v>#REF!</v>
      </c>
      <c r="Y13" s="10">
        <f>Ops!Y39</f>
        <v>4074.2858019829564</v>
      </c>
      <c r="Z13" s="10" t="e">
        <f>Ops!Z39</f>
        <v>#REF!</v>
      </c>
      <c r="AA13" s="10">
        <f>Ops!AA39</f>
        <v>4074.2858019829564</v>
      </c>
      <c r="AB13" s="10" t="e">
        <f>Ops!AB39</f>
        <v>#REF!</v>
      </c>
      <c r="AC13" s="10">
        <f>Ops!AC39</f>
        <v>4074.2858019829564</v>
      </c>
      <c r="AD13" s="10" t="e">
        <f>Ops!AD39</f>
        <v>#REF!</v>
      </c>
      <c r="AE13" s="10">
        <f>Ops!AE39</f>
        <v>4074.2858019829564</v>
      </c>
      <c r="AF13" s="10" t="e">
        <f>Ops!AF39</f>
        <v>#REF!</v>
      </c>
      <c r="AG13" s="10">
        <f>Ops!AG39</f>
        <v>4074.2858019829564</v>
      </c>
      <c r="AH13" s="10" t="e">
        <f>Ops!AH39</f>
        <v>#REF!</v>
      </c>
      <c r="AI13" s="10">
        <f>Ops!AI39</f>
        <v>4074.2858019829564</v>
      </c>
      <c r="AJ13" s="10" t="e">
        <f>Ops!AJ39</f>
        <v>#REF!</v>
      </c>
      <c r="AK13" s="10">
        <f>Ops!AK39</f>
        <v>4074.2858019829564</v>
      </c>
      <c r="AL13" s="10" t="e">
        <f>Ops!AL39</f>
        <v>#REF!</v>
      </c>
      <c r="AM13" s="10">
        <f>Ops!AM39</f>
        <v>4074.2858019829564</v>
      </c>
      <c r="AN13" s="10" t="e">
        <f>Ops!AN39</f>
        <v>#REF!</v>
      </c>
      <c r="AO13" s="10">
        <f>Ops!AO39</f>
        <v>4074.2858019829564</v>
      </c>
      <c r="AP13" s="10" t="e">
        <f>Ops!AP39</f>
        <v>#REF!</v>
      </c>
      <c r="AQ13" s="10">
        <f>Ops!AQ39</f>
        <v>4074.2858019829564</v>
      </c>
      <c r="AR13" s="10" t="e">
        <f>Ops!AR39</f>
        <v>#REF!</v>
      </c>
      <c r="AS13" s="10">
        <f>Ops!AS39</f>
        <v>4074.2858019829564</v>
      </c>
      <c r="AT13" s="10" t="e">
        <f>Ops!AT39</f>
        <v>#REF!</v>
      </c>
      <c r="AU13" s="10">
        <f>Ops!AU39</f>
        <v>4074.2858019829564</v>
      </c>
      <c r="AV13" s="10" t="e">
        <f>Ops!AV39</f>
        <v>#REF!</v>
      </c>
      <c r="AW13" s="10">
        <f>Ops!AW39</f>
        <v>4074.2858019829564</v>
      </c>
      <c r="AX13" s="10" t="e">
        <f>Ops!AX39</f>
        <v>#REF!</v>
      </c>
      <c r="AY13" s="10">
        <f>Ops!AY39</f>
        <v>4074.2858019829564</v>
      </c>
      <c r="AZ13" s="10" t="e">
        <f>Ops!AZ39</f>
        <v>#REF!</v>
      </c>
      <c r="BA13" s="10">
        <f>Ops!BA39</f>
        <v>4074.2858019829564</v>
      </c>
      <c r="BB13" s="10" t="e">
        <f>Ops!BB39</f>
        <v>#REF!</v>
      </c>
      <c r="BC13" s="10">
        <f>Ops!BC39</f>
        <v>4074.2858019829564</v>
      </c>
      <c r="BD13" s="10" t="e">
        <f>Ops!BD39</f>
        <v>#REF!</v>
      </c>
      <c r="BE13" s="10">
        <f>Ops!BE39</f>
        <v>4074.2858019829564</v>
      </c>
      <c r="BF13" s="10" t="e">
        <f>Ops!BF39</f>
        <v>#REF!</v>
      </c>
      <c r="BG13" s="10">
        <f>Ops!BG39</f>
        <v>4074.2858019829564</v>
      </c>
      <c r="BH13" s="10" t="e">
        <f>Ops!BH39</f>
        <v>#REF!</v>
      </c>
      <c r="BI13" s="10">
        <f>Ops!BI39</f>
        <v>4074.2858019829564</v>
      </c>
      <c r="BJ13" s="10" t="e">
        <f>Ops!BJ39</f>
        <v>#REF!</v>
      </c>
      <c r="BK13" s="10">
        <f>Ops!BK39</f>
        <v>4074.2858019829564</v>
      </c>
      <c r="BL13" s="10" t="e">
        <f>Ops!BL39</f>
        <v>#REF!</v>
      </c>
      <c r="BM13" s="10">
        <f>Ops!BM39</f>
        <v>4074.2858019829564</v>
      </c>
      <c r="BN13" s="10" t="e">
        <f>Ops!BN39</f>
        <v>#REF!</v>
      </c>
      <c r="BO13" s="10">
        <f>Ops!BO39</f>
        <v>4074.2858019829564</v>
      </c>
      <c r="BP13" s="10" t="e">
        <f>Ops!BP39</f>
        <v>#REF!</v>
      </c>
      <c r="BQ13" s="10">
        <f>Ops!BQ39</f>
        <v>4074.2858019829564</v>
      </c>
      <c r="BR13" s="10">
        <f>Ops!BR39</f>
        <v>0</v>
      </c>
      <c r="BS13" s="10">
        <f>Ops!BS39</f>
        <v>0</v>
      </c>
      <c r="BT13" s="10">
        <f>Ops!BT39</f>
        <v>0</v>
      </c>
      <c r="BU13" s="10">
        <f>Ops!BU39</f>
        <v>0</v>
      </c>
      <c r="BV13" s="10">
        <f>Ops!BV39</f>
        <v>0</v>
      </c>
      <c r="BW13" s="10">
        <f>Ops!BW39</f>
        <v>0</v>
      </c>
      <c r="BX13" s="10">
        <f>Ops!BX39</f>
        <v>0</v>
      </c>
      <c r="BY13" s="10">
        <f>Ops!BY39</f>
        <v>0</v>
      </c>
      <c r="BZ13" s="10">
        <f>Ops!BZ39</f>
        <v>0</v>
      </c>
      <c r="CA13" s="10">
        <f>Ops!CA39</f>
        <v>0</v>
      </c>
      <c r="CB13" s="10">
        <f>Ops!CB39</f>
        <v>0</v>
      </c>
      <c r="CC13" s="10">
        <f>Ops!CC39</f>
        <v>0</v>
      </c>
      <c r="CD13" s="10">
        <f>Ops!CD39</f>
        <v>0</v>
      </c>
      <c r="CE13" s="10">
        <f>Ops!CE39</f>
        <v>0</v>
      </c>
      <c r="CF13" s="10">
        <f>Ops!CF39</f>
        <v>0</v>
      </c>
      <c r="CG13" s="10">
        <f>Ops!CG39</f>
        <v>0</v>
      </c>
      <c r="CH13" s="10">
        <f>Ops!CH39</f>
        <v>0</v>
      </c>
      <c r="CI13" s="10">
        <f>Ops!CI39</f>
        <v>0</v>
      </c>
      <c r="CJ13" s="10">
        <f>Ops!CJ39</f>
        <v>0</v>
      </c>
      <c r="CK13" s="10">
        <f>Ops!CK39</f>
        <v>0</v>
      </c>
      <c r="CL13" s="10">
        <f>Ops!CL39</f>
        <v>0</v>
      </c>
      <c r="CM13" s="10">
        <f>Ops!CM39</f>
        <v>0</v>
      </c>
      <c r="CN13" s="10">
        <f>Ops!CN39</f>
        <v>0</v>
      </c>
      <c r="CO13" s="10">
        <f>Ops!CO39</f>
        <v>0</v>
      </c>
      <c r="CP13" s="10">
        <f>Ops!CP39</f>
        <v>0</v>
      </c>
      <c r="CQ13" s="10">
        <f>Ops!CQ39</f>
        <v>0</v>
      </c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</row>
    <row r="14" spans="1:108" ht="15" x14ac:dyDescent="0.25">
      <c r="C14" s="17" t="s">
        <v>32</v>
      </c>
      <c r="D14" t="s">
        <v>104</v>
      </c>
      <c r="H14" s="54" t="s">
        <v>3</v>
      </c>
      <c r="N14" s="25" t="e">
        <f t="shared" si="1"/>
        <v>#REF!</v>
      </c>
      <c r="O14" s="10"/>
      <c r="P14" s="10" t="e">
        <f>Ops!P61</f>
        <v>#REF!</v>
      </c>
      <c r="Q14" s="10" t="e">
        <f>Ops!Q61</f>
        <v>#REF!</v>
      </c>
      <c r="R14" s="10" t="e">
        <f>Ops!R61</f>
        <v>#REF!</v>
      </c>
      <c r="S14" s="10" t="e">
        <f>Ops!S61</f>
        <v>#REF!</v>
      </c>
      <c r="T14" s="10" t="e">
        <f>Ops!T61</f>
        <v>#REF!</v>
      </c>
      <c r="U14" s="10" t="e">
        <f>Ops!U61</f>
        <v>#REF!</v>
      </c>
      <c r="V14" s="10" t="e">
        <f>Ops!V61</f>
        <v>#REF!</v>
      </c>
      <c r="W14" s="10" t="e">
        <f>Ops!W61</f>
        <v>#REF!</v>
      </c>
      <c r="X14" s="10" t="e">
        <f>Ops!X61</f>
        <v>#REF!</v>
      </c>
      <c r="Y14" s="10" t="e">
        <f>Ops!Y61</f>
        <v>#REF!</v>
      </c>
      <c r="Z14" s="10" t="e">
        <f>Ops!Z61</f>
        <v>#REF!</v>
      </c>
      <c r="AA14" s="10" t="e">
        <f>Ops!AA61</f>
        <v>#REF!</v>
      </c>
      <c r="AB14" s="10" t="e">
        <f>Ops!AB61</f>
        <v>#REF!</v>
      </c>
      <c r="AC14" s="10" t="e">
        <f>Ops!AC61</f>
        <v>#REF!</v>
      </c>
      <c r="AD14" s="10" t="e">
        <f>Ops!AD61</f>
        <v>#REF!</v>
      </c>
      <c r="AE14" s="10" t="e">
        <f>Ops!AE61</f>
        <v>#REF!</v>
      </c>
      <c r="AF14" s="10" t="e">
        <f>Ops!AF61</f>
        <v>#REF!</v>
      </c>
      <c r="AG14" s="10" t="e">
        <f>Ops!AG61</f>
        <v>#REF!</v>
      </c>
      <c r="AH14" s="10" t="e">
        <f>Ops!AH61</f>
        <v>#REF!</v>
      </c>
      <c r="AI14" s="10" t="e">
        <f>Ops!AI61</f>
        <v>#REF!</v>
      </c>
      <c r="AJ14" s="10" t="e">
        <f>Ops!AJ61</f>
        <v>#REF!</v>
      </c>
      <c r="AK14" s="10" t="e">
        <f>Ops!AK61</f>
        <v>#REF!</v>
      </c>
      <c r="AL14" s="10" t="e">
        <f>Ops!AL61</f>
        <v>#REF!</v>
      </c>
      <c r="AM14" s="10" t="e">
        <f>Ops!AM61</f>
        <v>#REF!</v>
      </c>
      <c r="AN14" s="10" t="e">
        <f>Ops!AN61</f>
        <v>#REF!</v>
      </c>
      <c r="AO14" s="10" t="e">
        <f>Ops!AO61</f>
        <v>#REF!</v>
      </c>
      <c r="AP14" s="10" t="e">
        <f>Ops!AP61</f>
        <v>#REF!</v>
      </c>
      <c r="AQ14" s="10" t="e">
        <f>Ops!AQ61</f>
        <v>#REF!</v>
      </c>
      <c r="AR14" s="10" t="e">
        <f>Ops!AR61</f>
        <v>#REF!</v>
      </c>
      <c r="AS14" s="10" t="e">
        <f>Ops!AS61</f>
        <v>#REF!</v>
      </c>
      <c r="AT14" s="10" t="e">
        <f>Ops!AT61</f>
        <v>#REF!</v>
      </c>
      <c r="AU14" s="10" t="e">
        <f>Ops!AU61</f>
        <v>#REF!</v>
      </c>
      <c r="AV14" s="10" t="e">
        <f>Ops!AV61</f>
        <v>#REF!</v>
      </c>
      <c r="AW14" s="10" t="e">
        <f>Ops!AW61</f>
        <v>#REF!</v>
      </c>
      <c r="AX14" s="10" t="e">
        <f>Ops!AX61</f>
        <v>#REF!</v>
      </c>
      <c r="AY14" s="10" t="e">
        <f>Ops!AY61</f>
        <v>#REF!</v>
      </c>
      <c r="AZ14" s="10" t="e">
        <f>Ops!AZ61</f>
        <v>#REF!</v>
      </c>
      <c r="BA14" s="10" t="e">
        <f>Ops!BA61</f>
        <v>#REF!</v>
      </c>
      <c r="BB14" s="10" t="e">
        <f>Ops!BB61</f>
        <v>#REF!</v>
      </c>
      <c r="BC14" s="10" t="e">
        <f>Ops!BC61</f>
        <v>#REF!</v>
      </c>
      <c r="BD14" s="10" t="e">
        <f>Ops!BD61</f>
        <v>#REF!</v>
      </c>
      <c r="BE14" s="10" t="e">
        <f>Ops!BE61</f>
        <v>#REF!</v>
      </c>
      <c r="BF14" s="10" t="e">
        <f>Ops!BF61</f>
        <v>#REF!</v>
      </c>
      <c r="BG14" s="10" t="e">
        <f>Ops!BG61</f>
        <v>#REF!</v>
      </c>
      <c r="BH14" s="10" t="e">
        <f>Ops!BH61</f>
        <v>#REF!</v>
      </c>
      <c r="BI14" s="10" t="e">
        <f>Ops!BI61</f>
        <v>#REF!</v>
      </c>
      <c r="BJ14" s="10" t="e">
        <f>Ops!BJ61</f>
        <v>#REF!</v>
      </c>
      <c r="BK14" s="10" t="e">
        <f>Ops!BK61</f>
        <v>#REF!</v>
      </c>
      <c r="BL14" s="10" t="e">
        <f>Ops!BL61</f>
        <v>#REF!</v>
      </c>
      <c r="BM14" s="10" t="e">
        <f>Ops!BM61</f>
        <v>#REF!</v>
      </c>
      <c r="BN14" s="10" t="e">
        <f>Ops!BN61</f>
        <v>#REF!</v>
      </c>
      <c r="BO14" s="10" t="e">
        <f>Ops!BO61</f>
        <v>#REF!</v>
      </c>
      <c r="BP14" s="10" t="e">
        <f>Ops!BP61</f>
        <v>#REF!</v>
      </c>
      <c r="BQ14" s="10" t="e">
        <f>Ops!BQ61</f>
        <v>#REF!</v>
      </c>
      <c r="BR14" s="10" t="e">
        <f>Ops!BR61</f>
        <v>#REF!</v>
      </c>
      <c r="BS14" s="10" t="e">
        <f>Ops!BS61</f>
        <v>#REF!</v>
      </c>
      <c r="BT14" s="10" t="e">
        <f>Ops!BT61</f>
        <v>#REF!</v>
      </c>
      <c r="BU14" s="10" t="e">
        <f>Ops!BU61</f>
        <v>#REF!</v>
      </c>
      <c r="BV14" s="10" t="e">
        <f>Ops!BV61</f>
        <v>#REF!</v>
      </c>
      <c r="BW14" s="10" t="e">
        <f>Ops!BW61</f>
        <v>#REF!</v>
      </c>
      <c r="BX14" s="10" t="e">
        <f>Ops!BX61</f>
        <v>#REF!</v>
      </c>
      <c r="BY14" s="10" t="e">
        <f>Ops!BY61</f>
        <v>#REF!</v>
      </c>
      <c r="BZ14" s="10" t="e">
        <f>Ops!BZ61</f>
        <v>#REF!</v>
      </c>
      <c r="CA14" s="10" t="e">
        <f>Ops!CA61</f>
        <v>#REF!</v>
      </c>
      <c r="CB14" s="10" t="e">
        <f>Ops!CB61</f>
        <v>#REF!</v>
      </c>
      <c r="CC14" s="10" t="e">
        <f>Ops!CC61</f>
        <v>#REF!</v>
      </c>
      <c r="CD14" s="10" t="e">
        <f>Ops!CD61</f>
        <v>#REF!</v>
      </c>
      <c r="CE14" s="10" t="e">
        <f>Ops!CE61</f>
        <v>#REF!</v>
      </c>
      <c r="CF14" s="10" t="e">
        <f>Ops!CF61</f>
        <v>#REF!</v>
      </c>
      <c r="CG14" s="10" t="e">
        <f>Ops!CG61</f>
        <v>#REF!</v>
      </c>
      <c r="CH14" s="10" t="e">
        <f>Ops!CH61</f>
        <v>#REF!</v>
      </c>
      <c r="CI14" s="10" t="e">
        <f>Ops!CI61</f>
        <v>#REF!</v>
      </c>
      <c r="CJ14" s="10" t="e">
        <f>Ops!CJ61</f>
        <v>#REF!</v>
      </c>
      <c r="CK14" s="10" t="e">
        <f>Ops!CK61</f>
        <v>#REF!</v>
      </c>
      <c r="CL14" s="10" t="e">
        <f>Ops!CL61</f>
        <v>#REF!</v>
      </c>
      <c r="CM14" s="10" t="e">
        <f>Ops!CM61</f>
        <v>#REF!</v>
      </c>
      <c r="CN14" s="10" t="e">
        <f>Ops!CN61</f>
        <v>#REF!</v>
      </c>
      <c r="CO14" s="10" t="e">
        <f>Ops!CO61</f>
        <v>#REF!</v>
      </c>
      <c r="CP14" s="10" t="e">
        <f>Ops!CP61</f>
        <v>#REF!</v>
      </c>
      <c r="CQ14" s="10" t="e">
        <f>Ops!CQ61</f>
        <v>#REF!</v>
      </c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</row>
    <row r="15" spans="1:108" ht="15" x14ac:dyDescent="0.25">
      <c r="C15" s="17" t="s">
        <v>32</v>
      </c>
      <c r="D15" t="s">
        <v>199</v>
      </c>
      <c r="H15" s="54" t="s">
        <v>3</v>
      </c>
      <c r="N15" s="25" t="e">
        <f t="shared" si="1"/>
        <v>#REF!</v>
      </c>
      <c r="O15" s="10"/>
      <c r="P15" s="10" t="e">
        <f>CAPEX!P29</f>
        <v>#REF!</v>
      </c>
      <c r="Q15" s="10" t="e">
        <f>CAPEX!Q29</f>
        <v>#REF!</v>
      </c>
      <c r="R15" s="10" t="e">
        <f>CAPEX!R29</f>
        <v>#REF!</v>
      </c>
      <c r="S15" s="10" t="e">
        <f>CAPEX!S29</f>
        <v>#REF!</v>
      </c>
      <c r="T15" s="10" t="e">
        <f>CAPEX!T29</f>
        <v>#REF!</v>
      </c>
      <c r="U15" s="10" t="e">
        <f>CAPEX!U29</f>
        <v>#REF!</v>
      </c>
      <c r="V15" s="10" t="e">
        <f>CAPEX!V29</f>
        <v>#REF!</v>
      </c>
      <c r="W15" s="10" t="e">
        <f>CAPEX!W29</f>
        <v>#REF!</v>
      </c>
      <c r="X15" s="10" t="e">
        <f>CAPEX!X29</f>
        <v>#REF!</v>
      </c>
      <c r="Y15" s="10" t="e">
        <f>CAPEX!Y29</f>
        <v>#REF!</v>
      </c>
      <c r="Z15" s="10" t="e">
        <f>CAPEX!Z29</f>
        <v>#REF!</v>
      </c>
      <c r="AA15" s="10" t="e">
        <f>CAPEX!AA29</f>
        <v>#REF!</v>
      </c>
      <c r="AB15" s="10" t="e">
        <f>CAPEX!AB29</f>
        <v>#REF!</v>
      </c>
      <c r="AC15" s="10" t="e">
        <f>CAPEX!AC29</f>
        <v>#REF!</v>
      </c>
      <c r="AD15" s="10" t="e">
        <f>CAPEX!AD29</f>
        <v>#REF!</v>
      </c>
      <c r="AE15" s="10" t="e">
        <f>CAPEX!AE29</f>
        <v>#REF!</v>
      </c>
      <c r="AF15" s="10" t="e">
        <f>CAPEX!AF29</f>
        <v>#REF!</v>
      </c>
      <c r="AG15" s="10" t="e">
        <f>CAPEX!AG29</f>
        <v>#REF!</v>
      </c>
      <c r="AH15" s="10" t="e">
        <f>CAPEX!AH29</f>
        <v>#REF!</v>
      </c>
      <c r="AI15" s="10" t="e">
        <f>CAPEX!AI29</f>
        <v>#REF!</v>
      </c>
      <c r="AJ15" s="10" t="e">
        <f>CAPEX!AJ29</f>
        <v>#REF!</v>
      </c>
      <c r="AK15" s="10" t="e">
        <f>CAPEX!AK29</f>
        <v>#REF!</v>
      </c>
      <c r="AL15" s="10" t="e">
        <f>CAPEX!AL29</f>
        <v>#REF!</v>
      </c>
      <c r="AM15" s="10" t="e">
        <f>CAPEX!AM29</f>
        <v>#REF!</v>
      </c>
      <c r="AN15" s="10" t="e">
        <f>CAPEX!AN29</f>
        <v>#REF!</v>
      </c>
      <c r="AO15" s="10" t="e">
        <f>CAPEX!AO29</f>
        <v>#REF!</v>
      </c>
      <c r="AP15" s="10" t="e">
        <f>CAPEX!AP29</f>
        <v>#REF!</v>
      </c>
      <c r="AQ15" s="10" t="e">
        <f>CAPEX!AQ29</f>
        <v>#REF!</v>
      </c>
      <c r="AR15" s="10" t="e">
        <f>CAPEX!AR29</f>
        <v>#REF!</v>
      </c>
      <c r="AS15" s="10" t="e">
        <f>CAPEX!AS29</f>
        <v>#REF!</v>
      </c>
      <c r="AT15" s="10" t="e">
        <f>CAPEX!AT29</f>
        <v>#REF!</v>
      </c>
      <c r="AU15" s="10" t="e">
        <f>CAPEX!AU29</f>
        <v>#REF!</v>
      </c>
      <c r="AV15" s="10" t="e">
        <f>CAPEX!AV29</f>
        <v>#REF!</v>
      </c>
      <c r="AW15" s="10" t="e">
        <f>CAPEX!AW29</f>
        <v>#REF!</v>
      </c>
      <c r="AX15" s="10" t="e">
        <f>CAPEX!AX29</f>
        <v>#REF!</v>
      </c>
      <c r="AY15" s="10" t="e">
        <f>CAPEX!AY29</f>
        <v>#REF!</v>
      </c>
      <c r="AZ15" s="10" t="e">
        <f>CAPEX!AZ29</f>
        <v>#REF!</v>
      </c>
      <c r="BA15" s="10" t="e">
        <f>CAPEX!BA29</f>
        <v>#REF!</v>
      </c>
      <c r="BB15" s="10" t="e">
        <f>CAPEX!BB29</f>
        <v>#REF!</v>
      </c>
      <c r="BC15" s="10" t="e">
        <f>CAPEX!BC29</f>
        <v>#REF!</v>
      </c>
      <c r="BD15" s="10" t="e">
        <f>CAPEX!BD29</f>
        <v>#REF!</v>
      </c>
      <c r="BE15" s="10" t="e">
        <f>CAPEX!BE29</f>
        <v>#REF!</v>
      </c>
      <c r="BF15" s="10" t="e">
        <f>CAPEX!BF29</f>
        <v>#REF!</v>
      </c>
      <c r="BG15" s="10" t="e">
        <f>CAPEX!BG29</f>
        <v>#REF!</v>
      </c>
      <c r="BH15" s="10" t="e">
        <f>CAPEX!BH29</f>
        <v>#REF!</v>
      </c>
      <c r="BI15" s="10" t="e">
        <f>CAPEX!BI29</f>
        <v>#REF!</v>
      </c>
      <c r="BJ15" s="10" t="e">
        <f>CAPEX!BJ29</f>
        <v>#REF!</v>
      </c>
      <c r="BK15" s="10" t="e">
        <f>CAPEX!BK29</f>
        <v>#REF!</v>
      </c>
      <c r="BL15" s="10" t="e">
        <f>CAPEX!BL29</f>
        <v>#REF!</v>
      </c>
      <c r="BM15" s="10" t="e">
        <f>CAPEX!BM29</f>
        <v>#REF!</v>
      </c>
      <c r="BN15" s="10" t="e">
        <f>CAPEX!BN29</f>
        <v>#REF!</v>
      </c>
      <c r="BO15" s="10" t="e">
        <f>CAPEX!BO29</f>
        <v>#REF!</v>
      </c>
      <c r="BP15" s="10" t="e">
        <f>CAPEX!BP29</f>
        <v>#REF!</v>
      </c>
      <c r="BQ15" s="10" t="e">
        <f>CAPEX!BQ29</f>
        <v>#REF!</v>
      </c>
      <c r="BR15" s="10" t="e">
        <f>CAPEX!BR29</f>
        <v>#REF!</v>
      </c>
      <c r="BS15" s="10" t="e">
        <f>CAPEX!BS29</f>
        <v>#REF!</v>
      </c>
      <c r="BT15" s="10" t="e">
        <f>CAPEX!BT29</f>
        <v>#REF!</v>
      </c>
      <c r="BU15" s="10" t="e">
        <f>CAPEX!BU29</f>
        <v>#REF!</v>
      </c>
      <c r="BV15" s="10" t="e">
        <f>CAPEX!BV29</f>
        <v>#REF!</v>
      </c>
      <c r="BW15" s="10" t="e">
        <f>CAPEX!BW29</f>
        <v>#REF!</v>
      </c>
      <c r="BX15" s="10" t="e">
        <f>CAPEX!BX29</f>
        <v>#REF!</v>
      </c>
      <c r="BY15" s="10" t="e">
        <f>CAPEX!BY29</f>
        <v>#REF!</v>
      </c>
      <c r="BZ15" s="10" t="e">
        <f>CAPEX!BZ29</f>
        <v>#REF!</v>
      </c>
      <c r="CA15" s="10" t="e">
        <f>CAPEX!CA29</f>
        <v>#REF!</v>
      </c>
      <c r="CB15" s="10" t="e">
        <f>CAPEX!CB29</f>
        <v>#REF!</v>
      </c>
      <c r="CC15" s="10" t="e">
        <f>CAPEX!CC29</f>
        <v>#REF!</v>
      </c>
      <c r="CD15" s="10" t="e">
        <f>CAPEX!CD29</f>
        <v>#REF!</v>
      </c>
      <c r="CE15" s="10" t="e">
        <f>CAPEX!CE29</f>
        <v>#REF!</v>
      </c>
      <c r="CF15" s="10" t="e">
        <f>CAPEX!CF29</f>
        <v>#REF!</v>
      </c>
      <c r="CG15" s="10" t="e">
        <f>CAPEX!CG29</f>
        <v>#REF!</v>
      </c>
      <c r="CH15" s="10" t="e">
        <f>CAPEX!CH29</f>
        <v>#REF!</v>
      </c>
      <c r="CI15" s="10" t="e">
        <f>CAPEX!CI29</f>
        <v>#REF!</v>
      </c>
      <c r="CJ15" s="10" t="e">
        <f>CAPEX!CJ29</f>
        <v>#REF!</v>
      </c>
      <c r="CK15" s="10" t="e">
        <f>CAPEX!CK29</f>
        <v>#REF!</v>
      </c>
      <c r="CL15" s="10" t="e">
        <f>CAPEX!CL29</f>
        <v>#REF!</v>
      </c>
      <c r="CM15" s="10" t="e">
        <f>CAPEX!CM29</f>
        <v>#REF!</v>
      </c>
      <c r="CN15" s="10" t="e">
        <f>CAPEX!CN29</f>
        <v>#REF!</v>
      </c>
      <c r="CO15" s="10" t="e">
        <f>CAPEX!CO29</f>
        <v>#REF!</v>
      </c>
      <c r="CP15" s="10" t="e">
        <f>CAPEX!CP29</f>
        <v>#REF!</v>
      </c>
      <c r="CQ15" s="10" t="e">
        <f>CAPEX!CQ29</f>
        <v>#REF!</v>
      </c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</row>
    <row r="16" spans="1:108" ht="15" x14ac:dyDescent="0.25">
      <c r="C16" s="17" t="s">
        <v>32</v>
      </c>
      <c r="D16" t="s">
        <v>200</v>
      </c>
      <c r="H16" s="54"/>
      <c r="N16" s="25" t="e">
        <f t="shared" si="1"/>
        <v>#REF!</v>
      </c>
      <c r="O16" s="10"/>
      <c r="P16" s="10" t="e">
        <f>CAPEX!P38</f>
        <v>#REF!</v>
      </c>
      <c r="Q16" s="10" t="e">
        <f>CAPEX!Q38</f>
        <v>#REF!</v>
      </c>
      <c r="R16" s="10" t="e">
        <f>CAPEX!R38</f>
        <v>#REF!</v>
      </c>
      <c r="S16" s="10" t="e">
        <f>CAPEX!S38</f>
        <v>#REF!</v>
      </c>
      <c r="T16" s="10" t="e">
        <f>CAPEX!T38</f>
        <v>#REF!</v>
      </c>
      <c r="U16" s="10" t="e">
        <f>CAPEX!U38</f>
        <v>#REF!</v>
      </c>
      <c r="V16" s="10" t="e">
        <f>CAPEX!V38</f>
        <v>#REF!</v>
      </c>
      <c r="W16" s="10" t="e">
        <f>CAPEX!W38</f>
        <v>#REF!</v>
      </c>
      <c r="X16" s="10" t="e">
        <f>CAPEX!X38</f>
        <v>#REF!</v>
      </c>
      <c r="Y16" s="10" t="e">
        <f>CAPEX!Y38</f>
        <v>#REF!</v>
      </c>
      <c r="Z16" s="10" t="e">
        <f>CAPEX!Z38</f>
        <v>#REF!</v>
      </c>
      <c r="AA16" s="10" t="e">
        <f>CAPEX!AA38</f>
        <v>#REF!</v>
      </c>
      <c r="AB16" s="10" t="e">
        <f>CAPEX!AB38</f>
        <v>#REF!</v>
      </c>
      <c r="AC16" s="10" t="e">
        <f>CAPEX!AC38</f>
        <v>#REF!</v>
      </c>
      <c r="AD16" s="10" t="e">
        <f>CAPEX!AD38</f>
        <v>#REF!</v>
      </c>
      <c r="AE16" s="10" t="e">
        <f>CAPEX!AE38</f>
        <v>#REF!</v>
      </c>
      <c r="AF16" s="10" t="e">
        <f>CAPEX!AF38</f>
        <v>#REF!</v>
      </c>
      <c r="AG16" s="10" t="e">
        <f>CAPEX!AG38</f>
        <v>#REF!</v>
      </c>
      <c r="AH16" s="10" t="e">
        <f>CAPEX!AH38</f>
        <v>#REF!</v>
      </c>
      <c r="AI16" s="10" t="e">
        <f>CAPEX!AI38</f>
        <v>#REF!</v>
      </c>
      <c r="AJ16" s="10" t="e">
        <f>CAPEX!AJ38</f>
        <v>#REF!</v>
      </c>
      <c r="AK16" s="10" t="e">
        <f>CAPEX!AK38</f>
        <v>#REF!</v>
      </c>
      <c r="AL16" s="10" t="e">
        <f>CAPEX!AL38</f>
        <v>#REF!</v>
      </c>
      <c r="AM16" s="10" t="e">
        <f>CAPEX!AM38</f>
        <v>#REF!</v>
      </c>
      <c r="AN16" s="10" t="e">
        <f>CAPEX!AN38</f>
        <v>#REF!</v>
      </c>
      <c r="AO16" s="10" t="e">
        <f>CAPEX!AO38</f>
        <v>#REF!</v>
      </c>
      <c r="AP16" s="10" t="e">
        <f>CAPEX!AP38</f>
        <v>#REF!</v>
      </c>
      <c r="AQ16" s="10" t="e">
        <f>CAPEX!AQ38</f>
        <v>#REF!</v>
      </c>
      <c r="AR16" s="10" t="e">
        <f>CAPEX!AR38</f>
        <v>#REF!</v>
      </c>
      <c r="AS16" s="10" t="e">
        <f>CAPEX!AS38</f>
        <v>#REF!</v>
      </c>
      <c r="AT16" s="10" t="e">
        <f>CAPEX!AT38</f>
        <v>#REF!</v>
      </c>
      <c r="AU16" s="10" t="e">
        <f>CAPEX!AU38</f>
        <v>#REF!</v>
      </c>
      <c r="AV16" s="10" t="e">
        <f>CAPEX!AV38</f>
        <v>#REF!</v>
      </c>
      <c r="AW16" s="10" t="e">
        <f>CAPEX!AW38</f>
        <v>#REF!</v>
      </c>
      <c r="AX16" s="10" t="e">
        <f>CAPEX!AX38</f>
        <v>#REF!</v>
      </c>
      <c r="AY16" s="10" t="e">
        <f>CAPEX!AY38</f>
        <v>#REF!</v>
      </c>
      <c r="AZ16" s="10" t="e">
        <f>CAPEX!AZ38</f>
        <v>#REF!</v>
      </c>
      <c r="BA16" s="10" t="e">
        <f>CAPEX!BA38</f>
        <v>#REF!</v>
      </c>
      <c r="BB16" s="10" t="e">
        <f>CAPEX!BB38</f>
        <v>#REF!</v>
      </c>
      <c r="BC16" s="10" t="e">
        <f>CAPEX!BC38</f>
        <v>#REF!</v>
      </c>
      <c r="BD16" s="10" t="e">
        <f>CAPEX!BD38</f>
        <v>#REF!</v>
      </c>
      <c r="BE16" s="10" t="e">
        <f>CAPEX!BE38</f>
        <v>#REF!</v>
      </c>
      <c r="BF16" s="10" t="e">
        <f>CAPEX!BF38</f>
        <v>#REF!</v>
      </c>
      <c r="BG16" s="10" t="e">
        <f>CAPEX!BG38</f>
        <v>#REF!</v>
      </c>
      <c r="BH16" s="10" t="e">
        <f>CAPEX!BH38</f>
        <v>#REF!</v>
      </c>
      <c r="BI16" s="10" t="e">
        <f>CAPEX!BI38</f>
        <v>#REF!</v>
      </c>
      <c r="BJ16" s="10" t="e">
        <f>CAPEX!BJ38</f>
        <v>#REF!</v>
      </c>
      <c r="BK16" s="10" t="e">
        <f>CAPEX!BK38</f>
        <v>#REF!</v>
      </c>
      <c r="BL16" s="10" t="e">
        <f>CAPEX!BL38</f>
        <v>#REF!</v>
      </c>
      <c r="BM16" s="10" t="e">
        <f>CAPEX!BM38</f>
        <v>#REF!</v>
      </c>
      <c r="BN16" s="10" t="e">
        <f>CAPEX!BN38</f>
        <v>#REF!</v>
      </c>
      <c r="BO16" s="10" t="e">
        <f>CAPEX!BO38</f>
        <v>#REF!</v>
      </c>
      <c r="BP16" s="10" t="e">
        <f>CAPEX!BP38</f>
        <v>#REF!</v>
      </c>
      <c r="BQ16" s="10" t="e">
        <f>CAPEX!BQ38</f>
        <v>#REF!</v>
      </c>
      <c r="BR16" s="10" t="e">
        <f>CAPEX!BR38</f>
        <v>#REF!</v>
      </c>
      <c r="BS16" s="10" t="e">
        <f>CAPEX!BS38</f>
        <v>#REF!</v>
      </c>
      <c r="BT16" s="10" t="e">
        <f>CAPEX!BT38</f>
        <v>#REF!</v>
      </c>
      <c r="BU16" s="10" t="e">
        <f>CAPEX!BU38</f>
        <v>#REF!</v>
      </c>
      <c r="BV16" s="10" t="e">
        <f>CAPEX!BV38</f>
        <v>#REF!</v>
      </c>
      <c r="BW16" s="10" t="e">
        <f>CAPEX!BW38</f>
        <v>#REF!</v>
      </c>
      <c r="BX16" s="10" t="e">
        <f>CAPEX!BX38</f>
        <v>#REF!</v>
      </c>
      <c r="BY16" s="10" t="e">
        <f>CAPEX!BY38</f>
        <v>#REF!</v>
      </c>
      <c r="BZ16" s="10" t="e">
        <f>CAPEX!BZ38</f>
        <v>#REF!</v>
      </c>
      <c r="CA16" s="10" t="e">
        <f>CAPEX!CA38</f>
        <v>#REF!</v>
      </c>
      <c r="CB16" s="10" t="e">
        <f>CAPEX!CB38</f>
        <v>#REF!</v>
      </c>
      <c r="CC16" s="10" t="e">
        <f>CAPEX!CC38</f>
        <v>#REF!</v>
      </c>
      <c r="CD16" s="10" t="e">
        <f>CAPEX!CD38</f>
        <v>#REF!</v>
      </c>
      <c r="CE16" s="10" t="e">
        <f>CAPEX!CE38</f>
        <v>#REF!</v>
      </c>
      <c r="CF16" s="10" t="e">
        <f>CAPEX!CF38</f>
        <v>#REF!</v>
      </c>
      <c r="CG16" s="10" t="e">
        <f>CAPEX!CG38</f>
        <v>#REF!</v>
      </c>
      <c r="CH16" s="10" t="e">
        <f>CAPEX!CH38</f>
        <v>#REF!</v>
      </c>
      <c r="CI16" s="10" t="e">
        <f>CAPEX!CI38</f>
        <v>#REF!</v>
      </c>
      <c r="CJ16" s="10" t="e">
        <f>CAPEX!CJ38</f>
        <v>#REF!</v>
      </c>
      <c r="CK16" s="10" t="e">
        <f>CAPEX!CK38</f>
        <v>#REF!</v>
      </c>
      <c r="CL16" s="10" t="e">
        <f>CAPEX!CL38</f>
        <v>#REF!</v>
      </c>
      <c r="CM16" s="10" t="e">
        <f>CAPEX!CM38</f>
        <v>#REF!</v>
      </c>
      <c r="CN16" s="10" t="e">
        <f>CAPEX!CN38</f>
        <v>#REF!</v>
      </c>
      <c r="CO16" s="10" t="e">
        <f>CAPEX!CO38</f>
        <v>#REF!</v>
      </c>
      <c r="CP16" s="10" t="e">
        <f>CAPEX!CP38</f>
        <v>#REF!</v>
      </c>
      <c r="CQ16" s="10" t="e">
        <f>CAPEX!CQ38</f>
        <v>#REF!</v>
      </c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</row>
    <row r="17" spans="1:108" ht="15" x14ac:dyDescent="0.25">
      <c r="C17" s="17" t="s">
        <v>32</v>
      </c>
      <c r="D17" t="s">
        <v>276</v>
      </c>
      <c r="H17" s="54" t="s">
        <v>3</v>
      </c>
      <c r="N17" s="25" t="e">
        <f t="shared" si="1"/>
        <v>#REF!</v>
      </c>
      <c r="P17" s="10" t="e">
        <f>IS!P25</f>
        <v>#REF!</v>
      </c>
      <c r="Q17" s="10" t="e">
        <f>IS!Q25</f>
        <v>#REF!</v>
      </c>
      <c r="R17" s="10" t="e">
        <f>IS!R25</f>
        <v>#REF!</v>
      </c>
      <c r="S17" s="10" t="e">
        <f>IS!S25</f>
        <v>#REF!</v>
      </c>
      <c r="T17" s="10" t="e">
        <f>IS!T25</f>
        <v>#REF!</v>
      </c>
      <c r="U17" s="10" t="e">
        <f>IS!U25</f>
        <v>#REF!</v>
      </c>
      <c r="V17" s="10" t="e">
        <f>IS!V25</f>
        <v>#REF!</v>
      </c>
      <c r="W17" s="10" t="e">
        <f>IS!W25</f>
        <v>#REF!</v>
      </c>
      <c r="X17" s="10" t="e">
        <f>IS!X25</f>
        <v>#REF!</v>
      </c>
      <c r="Y17" s="10" t="e">
        <f>IS!Y25</f>
        <v>#REF!</v>
      </c>
      <c r="Z17" s="10" t="e">
        <f>IS!Z25</f>
        <v>#REF!</v>
      </c>
      <c r="AA17" s="10" t="e">
        <f>IS!AA25</f>
        <v>#REF!</v>
      </c>
      <c r="AB17" s="10" t="e">
        <f>IS!AB25</f>
        <v>#REF!</v>
      </c>
      <c r="AC17" s="10" t="e">
        <f>IS!AC25</f>
        <v>#REF!</v>
      </c>
      <c r="AD17" s="10" t="e">
        <f>IS!AD25</f>
        <v>#REF!</v>
      </c>
      <c r="AE17" s="10" t="e">
        <f>IS!AE25</f>
        <v>#REF!</v>
      </c>
      <c r="AF17" s="10" t="e">
        <f>IS!AF25</f>
        <v>#REF!</v>
      </c>
      <c r="AG17" s="10" t="e">
        <f>IS!AG25</f>
        <v>#REF!</v>
      </c>
      <c r="AH17" s="10" t="e">
        <f>IS!AH25</f>
        <v>#REF!</v>
      </c>
      <c r="AI17" s="10" t="e">
        <f>IS!AI25</f>
        <v>#REF!</v>
      </c>
      <c r="AJ17" s="10" t="e">
        <f>IS!AJ25</f>
        <v>#REF!</v>
      </c>
      <c r="AK17" s="10" t="e">
        <f>IS!AK25</f>
        <v>#REF!</v>
      </c>
      <c r="AL17" s="10" t="e">
        <f>IS!AL25</f>
        <v>#REF!</v>
      </c>
      <c r="AM17" s="10" t="e">
        <f>IS!AM25</f>
        <v>#REF!</v>
      </c>
      <c r="AN17" s="10" t="e">
        <f>IS!AN25</f>
        <v>#REF!</v>
      </c>
      <c r="AO17" s="10" t="e">
        <f>IS!AO25</f>
        <v>#REF!</v>
      </c>
      <c r="AP17" s="10" t="e">
        <f>IS!AP25</f>
        <v>#REF!</v>
      </c>
      <c r="AQ17" s="10" t="e">
        <f>IS!AQ25</f>
        <v>#REF!</v>
      </c>
      <c r="AR17" s="10" t="e">
        <f>IS!AR25</f>
        <v>#REF!</v>
      </c>
      <c r="AS17" s="10" t="e">
        <f>IS!AS25</f>
        <v>#REF!</v>
      </c>
      <c r="AT17" s="10" t="e">
        <f>IS!AT25</f>
        <v>#REF!</v>
      </c>
      <c r="AU17" s="10" t="e">
        <f>IS!AU25</f>
        <v>#REF!</v>
      </c>
      <c r="AV17" s="10" t="e">
        <f>IS!AV25</f>
        <v>#REF!</v>
      </c>
      <c r="AW17" s="10" t="e">
        <f>IS!AW25</f>
        <v>#REF!</v>
      </c>
      <c r="AX17" s="10" t="e">
        <f>IS!AX25</f>
        <v>#REF!</v>
      </c>
      <c r="AY17" s="10" t="e">
        <f>IS!AY25</f>
        <v>#REF!</v>
      </c>
      <c r="AZ17" s="10" t="e">
        <f>IS!AZ25</f>
        <v>#REF!</v>
      </c>
      <c r="BA17" s="10" t="e">
        <f>IS!BA25</f>
        <v>#REF!</v>
      </c>
      <c r="BB17" s="10" t="e">
        <f>IS!BB25</f>
        <v>#REF!</v>
      </c>
      <c r="BC17" s="10" t="e">
        <f>IS!BC25</f>
        <v>#REF!</v>
      </c>
      <c r="BD17" s="10" t="e">
        <f>IS!BD25</f>
        <v>#REF!</v>
      </c>
      <c r="BE17" s="10" t="e">
        <f>IS!BE25</f>
        <v>#REF!</v>
      </c>
      <c r="BF17" s="10" t="e">
        <f>IS!BF25</f>
        <v>#REF!</v>
      </c>
      <c r="BG17" s="10" t="e">
        <f>IS!BG25</f>
        <v>#REF!</v>
      </c>
      <c r="BH17" s="10" t="e">
        <f>IS!BH25</f>
        <v>#REF!</v>
      </c>
      <c r="BI17" s="10" t="e">
        <f>IS!BI25</f>
        <v>#REF!</v>
      </c>
      <c r="BJ17" s="10" t="e">
        <f>IS!BJ25</f>
        <v>#REF!</v>
      </c>
      <c r="BK17" s="10" t="e">
        <f>IS!BK25</f>
        <v>#REF!</v>
      </c>
      <c r="BL17" s="10" t="e">
        <f>IS!BL25</f>
        <v>#REF!</v>
      </c>
      <c r="BM17" s="10" t="e">
        <f>IS!BM25</f>
        <v>#REF!</v>
      </c>
      <c r="BN17" s="10" t="e">
        <f>IS!BN25</f>
        <v>#REF!</v>
      </c>
      <c r="BO17" s="10" t="e">
        <f>IS!BO25</f>
        <v>#REF!</v>
      </c>
      <c r="BP17" s="10" t="e">
        <f>IS!BP25</f>
        <v>#REF!</v>
      </c>
      <c r="BQ17" s="10" t="e">
        <f>IS!BQ25</f>
        <v>#REF!</v>
      </c>
      <c r="BR17" s="10" t="e">
        <f>IS!BR25</f>
        <v>#REF!</v>
      </c>
      <c r="BS17" s="10" t="e">
        <f>IS!BS25</f>
        <v>#REF!</v>
      </c>
      <c r="BT17" s="10" t="e">
        <f>IS!BT25</f>
        <v>#REF!</v>
      </c>
      <c r="BU17" s="10" t="e">
        <f>IS!BU25</f>
        <v>#REF!</v>
      </c>
      <c r="BV17" s="10" t="e">
        <f>IS!BV25</f>
        <v>#REF!</v>
      </c>
      <c r="BW17" s="10" t="e">
        <f>IS!BW25</f>
        <v>#REF!</v>
      </c>
      <c r="BX17" s="10" t="e">
        <f>IS!BX25</f>
        <v>#REF!</v>
      </c>
      <c r="BY17" s="10" t="e">
        <f>IS!BY25</f>
        <v>#REF!</v>
      </c>
      <c r="BZ17" s="10" t="e">
        <f>IS!BZ25</f>
        <v>#REF!</v>
      </c>
      <c r="CA17" s="10" t="e">
        <f>IS!CA25</f>
        <v>#REF!</v>
      </c>
      <c r="CB17" s="10" t="e">
        <f>IS!CB25</f>
        <v>#REF!</v>
      </c>
      <c r="CC17" s="10" t="e">
        <f>IS!CC25</f>
        <v>#REF!</v>
      </c>
      <c r="CD17" s="10" t="e">
        <f>IS!CD25</f>
        <v>#REF!</v>
      </c>
      <c r="CE17" s="10" t="e">
        <f>IS!CE25</f>
        <v>#REF!</v>
      </c>
      <c r="CF17" s="10" t="e">
        <f>IS!CF25</f>
        <v>#REF!</v>
      </c>
      <c r="CG17" s="10" t="e">
        <f>IS!CG25</f>
        <v>#REF!</v>
      </c>
      <c r="CH17" s="10" t="e">
        <f>IS!CH25</f>
        <v>#REF!</v>
      </c>
      <c r="CI17" s="10" t="e">
        <f>IS!CI25</f>
        <v>#REF!</v>
      </c>
      <c r="CJ17" s="10" t="e">
        <f>IS!CJ25</f>
        <v>#REF!</v>
      </c>
      <c r="CK17" s="10" t="e">
        <f>IS!CK25</f>
        <v>#REF!</v>
      </c>
      <c r="CL17" s="10" t="e">
        <f>IS!CL25</f>
        <v>#REF!</v>
      </c>
      <c r="CM17" s="10" t="e">
        <f>IS!CM25</f>
        <v>#REF!</v>
      </c>
      <c r="CN17" s="10" t="e">
        <f>IS!CN25</f>
        <v>#REF!</v>
      </c>
      <c r="CO17" s="10" t="e">
        <f>IS!CO25</f>
        <v>#REF!</v>
      </c>
      <c r="CP17" s="10" t="e">
        <f>IS!CP25</f>
        <v>#REF!</v>
      </c>
      <c r="CQ17" s="10" t="e">
        <f>IS!CQ25</f>
        <v>#REF!</v>
      </c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</row>
    <row r="18" spans="1:108" ht="15" x14ac:dyDescent="0.25">
      <c r="C18" s="29" t="s">
        <v>32</v>
      </c>
      <c r="D18" s="27" t="s">
        <v>339</v>
      </c>
      <c r="E18" s="27"/>
      <c r="F18" s="27"/>
      <c r="G18" s="27"/>
      <c r="H18" s="160" t="s">
        <v>3</v>
      </c>
      <c r="I18" s="27"/>
      <c r="J18" s="27"/>
      <c r="K18" s="27"/>
      <c r="L18" s="27"/>
      <c r="M18" s="27"/>
      <c r="N18" s="32" t="e">
        <f t="shared" si="1"/>
        <v>#REF!</v>
      </c>
      <c r="O18" s="27"/>
      <c r="P18" s="161" t="e">
        <f>CF!P13</f>
        <v>#REF!</v>
      </c>
      <c r="Q18" s="161" t="e">
        <f>CF!Q13</f>
        <v>#REF!</v>
      </c>
      <c r="R18" s="161" t="e">
        <f>CF!R13</f>
        <v>#REF!</v>
      </c>
      <c r="S18" s="161" t="e">
        <f>CF!S13</f>
        <v>#REF!</v>
      </c>
      <c r="T18" s="161" t="e">
        <f>CF!T13</f>
        <v>#REF!</v>
      </c>
      <c r="U18" s="161" t="e">
        <f>CF!U13</f>
        <v>#REF!</v>
      </c>
      <c r="V18" s="161" t="e">
        <f>CF!V13</f>
        <v>#REF!</v>
      </c>
      <c r="W18" s="161" t="e">
        <f>CF!W13</f>
        <v>#REF!</v>
      </c>
      <c r="X18" s="161" t="e">
        <f>CF!X13</f>
        <v>#REF!</v>
      </c>
      <c r="Y18" s="161" t="e">
        <f>CF!Y13</f>
        <v>#REF!</v>
      </c>
      <c r="Z18" s="161" t="e">
        <f>CF!Z13</f>
        <v>#REF!</v>
      </c>
      <c r="AA18" s="161" t="e">
        <f>CF!AA13</f>
        <v>#REF!</v>
      </c>
      <c r="AB18" s="161" t="e">
        <f>CF!AB13</f>
        <v>#REF!</v>
      </c>
      <c r="AC18" s="161" t="e">
        <f>CF!AC13</f>
        <v>#REF!</v>
      </c>
      <c r="AD18" s="161" t="e">
        <f>CF!AD13</f>
        <v>#REF!</v>
      </c>
      <c r="AE18" s="161" t="e">
        <f>CF!AE13</f>
        <v>#REF!</v>
      </c>
      <c r="AF18" s="161" t="e">
        <f>CF!AF13</f>
        <v>#REF!</v>
      </c>
      <c r="AG18" s="161" t="e">
        <f>CF!AG13</f>
        <v>#REF!</v>
      </c>
      <c r="AH18" s="161" t="e">
        <f>CF!AH13</f>
        <v>#REF!</v>
      </c>
      <c r="AI18" s="161" t="e">
        <f>CF!AI13</f>
        <v>#REF!</v>
      </c>
      <c r="AJ18" s="161" t="e">
        <f>CF!AJ13</f>
        <v>#REF!</v>
      </c>
      <c r="AK18" s="161" t="e">
        <f>CF!AK13</f>
        <v>#REF!</v>
      </c>
      <c r="AL18" s="161" t="e">
        <f>CF!AL13</f>
        <v>#REF!</v>
      </c>
      <c r="AM18" s="161" t="e">
        <f>CF!AM13</f>
        <v>#REF!</v>
      </c>
      <c r="AN18" s="161" t="e">
        <f>CF!AN13</f>
        <v>#REF!</v>
      </c>
      <c r="AO18" s="161" t="e">
        <f>CF!AO13</f>
        <v>#REF!</v>
      </c>
      <c r="AP18" s="161" t="e">
        <f>CF!AP13</f>
        <v>#REF!</v>
      </c>
      <c r="AQ18" s="161" t="e">
        <f>CF!AQ13</f>
        <v>#REF!</v>
      </c>
      <c r="AR18" s="161" t="e">
        <f>CF!AR13</f>
        <v>#REF!</v>
      </c>
      <c r="AS18" s="161" t="e">
        <f>CF!AS13</f>
        <v>#REF!</v>
      </c>
      <c r="AT18" s="161" t="e">
        <f>CF!AT13</f>
        <v>#REF!</v>
      </c>
      <c r="AU18" s="161" t="e">
        <f>CF!AU13</f>
        <v>#REF!</v>
      </c>
      <c r="AV18" s="161" t="e">
        <f>CF!AV13</f>
        <v>#REF!</v>
      </c>
      <c r="AW18" s="161" t="e">
        <f>CF!AW13</f>
        <v>#REF!</v>
      </c>
      <c r="AX18" s="161" t="e">
        <f>CF!AX13</f>
        <v>#REF!</v>
      </c>
      <c r="AY18" s="161" t="e">
        <f>CF!AY13</f>
        <v>#REF!</v>
      </c>
      <c r="AZ18" s="161" t="e">
        <f>CF!AZ13</f>
        <v>#REF!</v>
      </c>
      <c r="BA18" s="161" t="e">
        <f>CF!BA13</f>
        <v>#REF!</v>
      </c>
      <c r="BB18" s="161" t="e">
        <f>CF!BB13</f>
        <v>#REF!</v>
      </c>
      <c r="BC18" s="161" t="e">
        <f>CF!BC13</f>
        <v>#REF!</v>
      </c>
      <c r="BD18" s="161" t="e">
        <f>CF!BD13</f>
        <v>#REF!</v>
      </c>
      <c r="BE18" s="161" t="e">
        <f>CF!BE13</f>
        <v>#REF!</v>
      </c>
      <c r="BF18" s="161" t="e">
        <f>CF!BF13</f>
        <v>#REF!</v>
      </c>
      <c r="BG18" s="161" t="e">
        <f>CF!BG13</f>
        <v>#REF!</v>
      </c>
      <c r="BH18" s="161" t="e">
        <f>CF!BH13</f>
        <v>#REF!</v>
      </c>
      <c r="BI18" s="161" t="e">
        <f>CF!BI13</f>
        <v>#REF!</v>
      </c>
      <c r="BJ18" s="161" t="e">
        <f>CF!BJ13</f>
        <v>#REF!</v>
      </c>
      <c r="BK18" s="161" t="e">
        <f>CF!BK13</f>
        <v>#REF!</v>
      </c>
      <c r="BL18" s="161" t="e">
        <f>CF!BL13</f>
        <v>#REF!</v>
      </c>
      <c r="BM18" s="161" t="e">
        <f>CF!BM13</f>
        <v>#REF!</v>
      </c>
      <c r="BN18" s="161" t="e">
        <f>CF!BN13</f>
        <v>#REF!</v>
      </c>
      <c r="BO18" s="161" t="e">
        <f>CF!BO13</f>
        <v>#REF!</v>
      </c>
      <c r="BP18" s="161" t="e">
        <f>CF!BP13</f>
        <v>#REF!</v>
      </c>
      <c r="BQ18" s="161" t="e">
        <f>CF!BQ13</f>
        <v>#REF!</v>
      </c>
      <c r="BR18" s="161" t="e">
        <f>CF!BR13</f>
        <v>#REF!</v>
      </c>
      <c r="BS18" s="161" t="e">
        <f>CF!BS13</f>
        <v>#REF!</v>
      </c>
      <c r="BT18" s="161" t="e">
        <f>CF!BT13</f>
        <v>#REF!</v>
      </c>
      <c r="BU18" s="161" t="e">
        <f>CF!BU13</f>
        <v>#REF!</v>
      </c>
      <c r="BV18" s="161" t="e">
        <f>CF!BV13</f>
        <v>#REF!</v>
      </c>
      <c r="BW18" s="161" t="e">
        <f>CF!BW13</f>
        <v>#REF!</v>
      </c>
      <c r="BX18" s="161" t="e">
        <f>CF!BX13</f>
        <v>#REF!</v>
      </c>
      <c r="BY18" s="161" t="e">
        <f>CF!BY13</f>
        <v>#REF!</v>
      </c>
      <c r="BZ18" s="161" t="e">
        <f>CF!BZ13</f>
        <v>#REF!</v>
      </c>
      <c r="CA18" s="161" t="e">
        <f>CF!CA13</f>
        <v>#REF!</v>
      </c>
      <c r="CB18" s="161" t="e">
        <f>CF!CB13</f>
        <v>#REF!</v>
      </c>
      <c r="CC18" s="161" t="e">
        <f>CF!CC13</f>
        <v>#REF!</v>
      </c>
      <c r="CD18" s="161" t="e">
        <f>CF!CD13</f>
        <v>#REF!</v>
      </c>
      <c r="CE18" s="161" t="e">
        <f>CF!CE13</f>
        <v>#REF!</v>
      </c>
      <c r="CF18" s="161" t="e">
        <f>CF!CF13</f>
        <v>#REF!</v>
      </c>
      <c r="CG18" s="161" t="e">
        <f>CF!CG13</f>
        <v>#REF!</v>
      </c>
      <c r="CH18" s="161" t="e">
        <f>CF!CH13</f>
        <v>#REF!</v>
      </c>
      <c r="CI18" s="161" t="e">
        <f>CF!CI13</f>
        <v>#REF!</v>
      </c>
      <c r="CJ18" s="161" t="e">
        <f>CF!CJ13</f>
        <v>#REF!</v>
      </c>
      <c r="CK18" s="161" t="e">
        <f>CF!CK13</f>
        <v>#REF!</v>
      </c>
      <c r="CL18" s="161" t="e">
        <f>CF!CL13</f>
        <v>#REF!</v>
      </c>
      <c r="CM18" s="161" t="e">
        <f>CF!CM13</f>
        <v>#REF!</v>
      </c>
      <c r="CN18" s="161" t="e">
        <f>CF!CN13</f>
        <v>#REF!</v>
      </c>
      <c r="CO18" s="161" t="e">
        <f>CF!CO13</f>
        <v>#REF!</v>
      </c>
      <c r="CP18" s="161" t="e">
        <f>CF!CP13</f>
        <v>#REF!</v>
      </c>
      <c r="CQ18" s="161" t="e">
        <f>CF!CQ13</f>
        <v>#REF!</v>
      </c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</row>
    <row r="19" spans="1:108" ht="15" x14ac:dyDescent="0.25">
      <c r="H19" s="54" t="s">
        <v>3</v>
      </c>
      <c r="N19" s="35" t="e">
        <f t="shared" si="1"/>
        <v>#REF!</v>
      </c>
      <c r="O19" s="51"/>
      <c r="P19" s="51" t="e">
        <f t="shared" ref="P19:AU19" si="2">P13-SUM(P14:P18)</f>
        <v>#REF!</v>
      </c>
      <c r="Q19" s="51" t="e">
        <f t="shared" si="2"/>
        <v>#REF!</v>
      </c>
      <c r="R19" s="51" t="e">
        <f t="shared" si="2"/>
        <v>#REF!</v>
      </c>
      <c r="S19" s="51" t="e">
        <f t="shared" si="2"/>
        <v>#REF!</v>
      </c>
      <c r="T19" s="51" t="e">
        <f t="shared" si="2"/>
        <v>#REF!</v>
      </c>
      <c r="U19" s="51" t="e">
        <f t="shared" si="2"/>
        <v>#REF!</v>
      </c>
      <c r="V19" s="51" t="e">
        <f t="shared" si="2"/>
        <v>#REF!</v>
      </c>
      <c r="W19" s="51" t="e">
        <f t="shared" si="2"/>
        <v>#REF!</v>
      </c>
      <c r="X19" s="51" t="e">
        <f t="shared" si="2"/>
        <v>#REF!</v>
      </c>
      <c r="Y19" s="51" t="e">
        <f t="shared" si="2"/>
        <v>#REF!</v>
      </c>
      <c r="Z19" s="51" t="e">
        <f t="shared" si="2"/>
        <v>#REF!</v>
      </c>
      <c r="AA19" s="51" t="e">
        <f t="shared" si="2"/>
        <v>#REF!</v>
      </c>
      <c r="AB19" s="51" t="e">
        <f t="shared" si="2"/>
        <v>#REF!</v>
      </c>
      <c r="AC19" s="51" t="e">
        <f t="shared" si="2"/>
        <v>#REF!</v>
      </c>
      <c r="AD19" s="51" t="e">
        <f t="shared" si="2"/>
        <v>#REF!</v>
      </c>
      <c r="AE19" s="51" t="e">
        <f t="shared" si="2"/>
        <v>#REF!</v>
      </c>
      <c r="AF19" s="51" t="e">
        <f t="shared" si="2"/>
        <v>#REF!</v>
      </c>
      <c r="AG19" s="51" t="e">
        <f t="shared" si="2"/>
        <v>#REF!</v>
      </c>
      <c r="AH19" s="51" t="e">
        <f t="shared" si="2"/>
        <v>#REF!</v>
      </c>
      <c r="AI19" s="51" t="e">
        <f t="shared" si="2"/>
        <v>#REF!</v>
      </c>
      <c r="AJ19" s="51" t="e">
        <f t="shared" si="2"/>
        <v>#REF!</v>
      </c>
      <c r="AK19" s="51" t="e">
        <f t="shared" si="2"/>
        <v>#REF!</v>
      </c>
      <c r="AL19" s="51" t="e">
        <f t="shared" si="2"/>
        <v>#REF!</v>
      </c>
      <c r="AM19" s="51" t="e">
        <f t="shared" si="2"/>
        <v>#REF!</v>
      </c>
      <c r="AN19" s="51" t="e">
        <f t="shared" si="2"/>
        <v>#REF!</v>
      </c>
      <c r="AO19" s="51" t="e">
        <f t="shared" si="2"/>
        <v>#REF!</v>
      </c>
      <c r="AP19" s="51" t="e">
        <f t="shared" si="2"/>
        <v>#REF!</v>
      </c>
      <c r="AQ19" s="51" t="e">
        <f t="shared" si="2"/>
        <v>#REF!</v>
      </c>
      <c r="AR19" s="51" t="e">
        <f t="shared" si="2"/>
        <v>#REF!</v>
      </c>
      <c r="AS19" s="51" t="e">
        <f t="shared" si="2"/>
        <v>#REF!</v>
      </c>
      <c r="AT19" s="51" t="e">
        <f t="shared" si="2"/>
        <v>#REF!</v>
      </c>
      <c r="AU19" s="51" t="e">
        <f t="shared" si="2"/>
        <v>#REF!</v>
      </c>
      <c r="AV19" s="51" t="e">
        <f t="shared" ref="AV19:CA19" si="3">AV13-SUM(AV14:AV18)</f>
        <v>#REF!</v>
      </c>
      <c r="AW19" s="51" t="e">
        <f t="shared" si="3"/>
        <v>#REF!</v>
      </c>
      <c r="AX19" s="51" t="e">
        <f t="shared" si="3"/>
        <v>#REF!</v>
      </c>
      <c r="AY19" s="51" t="e">
        <f t="shared" si="3"/>
        <v>#REF!</v>
      </c>
      <c r="AZ19" s="51" t="e">
        <f t="shared" si="3"/>
        <v>#REF!</v>
      </c>
      <c r="BA19" s="51" t="e">
        <f t="shared" si="3"/>
        <v>#REF!</v>
      </c>
      <c r="BB19" s="51" t="e">
        <f t="shared" si="3"/>
        <v>#REF!</v>
      </c>
      <c r="BC19" s="51" t="e">
        <f t="shared" si="3"/>
        <v>#REF!</v>
      </c>
      <c r="BD19" s="51" t="e">
        <f t="shared" si="3"/>
        <v>#REF!</v>
      </c>
      <c r="BE19" s="51" t="e">
        <f t="shared" si="3"/>
        <v>#REF!</v>
      </c>
      <c r="BF19" s="51" t="e">
        <f t="shared" si="3"/>
        <v>#REF!</v>
      </c>
      <c r="BG19" s="51" t="e">
        <f t="shared" si="3"/>
        <v>#REF!</v>
      </c>
      <c r="BH19" s="51" t="e">
        <f t="shared" si="3"/>
        <v>#REF!</v>
      </c>
      <c r="BI19" s="51" t="e">
        <f t="shared" si="3"/>
        <v>#REF!</v>
      </c>
      <c r="BJ19" s="51" t="e">
        <f t="shared" si="3"/>
        <v>#REF!</v>
      </c>
      <c r="BK19" s="51" t="e">
        <f t="shared" si="3"/>
        <v>#REF!</v>
      </c>
      <c r="BL19" s="51" t="e">
        <f t="shared" si="3"/>
        <v>#REF!</v>
      </c>
      <c r="BM19" s="51" t="e">
        <f t="shared" si="3"/>
        <v>#REF!</v>
      </c>
      <c r="BN19" s="51" t="e">
        <f t="shared" si="3"/>
        <v>#REF!</v>
      </c>
      <c r="BO19" s="51" t="e">
        <f t="shared" si="3"/>
        <v>#REF!</v>
      </c>
      <c r="BP19" s="51" t="e">
        <f t="shared" si="3"/>
        <v>#REF!</v>
      </c>
      <c r="BQ19" s="51" t="e">
        <f t="shared" si="3"/>
        <v>#REF!</v>
      </c>
      <c r="BR19" s="51" t="e">
        <f t="shared" si="3"/>
        <v>#REF!</v>
      </c>
      <c r="BS19" s="51" t="e">
        <f t="shared" si="3"/>
        <v>#REF!</v>
      </c>
      <c r="BT19" s="51" t="e">
        <f t="shared" si="3"/>
        <v>#REF!</v>
      </c>
      <c r="BU19" s="51" t="e">
        <f t="shared" si="3"/>
        <v>#REF!</v>
      </c>
      <c r="BV19" s="51" t="e">
        <f t="shared" si="3"/>
        <v>#REF!</v>
      </c>
      <c r="BW19" s="51" t="e">
        <f t="shared" si="3"/>
        <v>#REF!</v>
      </c>
      <c r="BX19" s="51" t="e">
        <f t="shared" si="3"/>
        <v>#REF!</v>
      </c>
      <c r="BY19" s="51" t="e">
        <f t="shared" si="3"/>
        <v>#REF!</v>
      </c>
      <c r="BZ19" s="51" t="e">
        <f t="shared" si="3"/>
        <v>#REF!</v>
      </c>
      <c r="CA19" s="51" t="e">
        <f t="shared" si="3"/>
        <v>#REF!</v>
      </c>
      <c r="CB19" s="51" t="e">
        <f t="shared" ref="CB19:CQ19" si="4">CB13-SUM(CB14:CB18)</f>
        <v>#REF!</v>
      </c>
      <c r="CC19" s="51" t="e">
        <f t="shared" si="4"/>
        <v>#REF!</v>
      </c>
      <c r="CD19" s="51" t="e">
        <f t="shared" si="4"/>
        <v>#REF!</v>
      </c>
      <c r="CE19" s="51" t="e">
        <f t="shared" si="4"/>
        <v>#REF!</v>
      </c>
      <c r="CF19" s="51" t="e">
        <f t="shared" si="4"/>
        <v>#REF!</v>
      </c>
      <c r="CG19" s="51" t="e">
        <f t="shared" si="4"/>
        <v>#REF!</v>
      </c>
      <c r="CH19" s="51" t="e">
        <f t="shared" si="4"/>
        <v>#REF!</v>
      </c>
      <c r="CI19" s="51" t="e">
        <f t="shared" si="4"/>
        <v>#REF!</v>
      </c>
      <c r="CJ19" s="51" t="e">
        <f t="shared" si="4"/>
        <v>#REF!</v>
      </c>
      <c r="CK19" s="51" t="e">
        <f t="shared" si="4"/>
        <v>#REF!</v>
      </c>
      <c r="CL19" s="51" t="e">
        <f t="shared" si="4"/>
        <v>#REF!</v>
      </c>
      <c r="CM19" s="51" t="e">
        <f t="shared" si="4"/>
        <v>#REF!</v>
      </c>
      <c r="CN19" s="51" t="e">
        <f t="shared" si="4"/>
        <v>#REF!</v>
      </c>
      <c r="CO19" s="51" t="e">
        <f t="shared" si="4"/>
        <v>#REF!</v>
      </c>
      <c r="CP19" s="51" t="e">
        <f t="shared" si="4"/>
        <v>#REF!</v>
      </c>
      <c r="CQ19" s="51" t="e">
        <f t="shared" si="4"/>
        <v>#REF!</v>
      </c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</row>
    <row r="20" spans="1:108" ht="15" x14ac:dyDescent="0.25">
      <c r="H20" s="54"/>
      <c r="N20" s="19"/>
    </row>
    <row r="21" spans="1:108" ht="15" x14ac:dyDescent="0.25">
      <c r="C21" s="184" t="s">
        <v>204</v>
      </c>
      <c r="H21" s="54" t="s">
        <v>6</v>
      </c>
      <c r="J21" s="174" t="e">
        <f>IRR(P19:DD19)</f>
        <v>#VALUE!</v>
      </c>
      <c r="N21" s="19"/>
    </row>
    <row r="22" spans="1:108" ht="15" x14ac:dyDescent="0.25">
      <c r="H22" s="54"/>
      <c r="N22" s="19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</row>
    <row r="23" spans="1:108" ht="15" x14ac:dyDescent="0.25">
      <c r="B23" s="21" t="s">
        <v>340</v>
      </c>
      <c r="H23" s="54"/>
      <c r="N23" s="19"/>
    </row>
    <row r="24" spans="1:108" ht="15" x14ac:dyDescent="0.25">
      <c r="B24" s="23"/>
      <c r="H24" s="54"/>
      <c r="N24" s="19"/>
    </row>
    <row r="25" spans="1:108" ht="15" x14ac:dyDescent="0.25">
      <c r="C25" s="17" t="s">
        <v>32</v>
      </c>
      <c r="D25" t="s">
        <v>341</v>
      </c>
      <c r="H25" s="54" t="s">
        <v>3</v>
      </c>
      <c r="N25" s="25" t="e">
        <f>SUM(P25:DD25)</f>
        <v>#REF!</v>
      </c>
      <c r="O25" s="10"/>
      <c r="P25" s="10" t="e">
        <f>Financing!P22</f>
        <v>#REF!</v>
      </c>
      <c r="Q25" s="10" t="e">
        <f>Financing!Q22</f>
        <v>#REF!</v>
      </c>
      <c r="R25" s="10" t="e">
        <f>Financing!R22</f>
        <v>#REF!</v>
      </c>
      <c r="S25" s="10" t="e">
        <f>Financing!S22</f>
        <v>#REF!</v>
      </c>
      <c r="T25" s="10" t="e">
        <f>Financing!T22</f>
        <v>#REF!</v>
      </c>
      <c r="U25" s="10" t="e">
        <f>Financing!U22</f>
        <v>#REF!</v>
      </c>
      <c r="V25" s="10" t="e">
        <f>Financing!V22</f>
        <v>#REF!</v>
      </c>
      <c r="W25" s="10" t="e">
        <f>Financing!W22</f>
        <v>#REF!</v>
      </c>
      <c r="X25" s="10" t="e">
        <f>Financing!X22</f>
        <v>#REF!</v>
      </c>
      <c r="Y25" s="10" t="e">
        <f>Financing!Y22</f>
        <v>#REF!</v>
      </c>
      <c r="Z25" s="10" t="e">
        <f>Financing!Z22</f>
        <v>#REF!</v>
      </c>
      <c r="AA25" s="10" t="e">
        <f>Financing!AA22</f>
        <v>#REF!</v>
      </c>
      <c r="AB25" s="10" t="e">
        <f>Financing!AB22</f>
        <v>#REF!</v>
      </c>
      <c r="AC25" s="10" t="e">
        <f>Financing!AC22</f>
        <v>#REF!</v>
      </c>
      <c r="AD25" s="10" t="e">
        <f>Financing!AD22</f>
        <v>#REF!</v>
      </c>
      <c r="AE25" s="10" t="e">
        <f>Financing!AE22</f>
        <v>#REF!</v>
      </c>
      <c r="AF25" s="10" t="e">
        <f>Financing!AF22</f>
        <v>#REF!</v>
      </c>
      <c r="AG25" s="10" t="e">
        <f>Financing!AG22</f>
        <v>#REF!</v>
      </c>
      <c r="AH25" s="10" t="e">
        <f>Financing!AH22</f>
        <v>#REF!</v>
      </c>
      <c r="AI25" s="10" t="e">
        <f>Financing!AI22</f>
        <v>#REF!</v>
      </c>
      <c r="AJ25" s="10" t="e">
        <f>Financing!AJ22</f>
        <v>#REF!</v>
      </c>
      <c r="AK25" s="10" t="e">
        <f>Financing!AK22</f>
        <v>#REF!</v>
      </c>
      <c r="AL25" s="10" t="e">
        <f>Financing!AL22</f>
        <v>#REF!</v>
      </c>
      <c r="AM25" s="10" t="e">
        <f>Financing!AM22</f>
        <v>#REF!</v>
      </c>
      <c r="AN25" s="10" t="e">
        <f>Financing!AN22</f>
        <v>#REF!</v>
      </c>
      <c r="AO25" s="10" t="e">
        <f>Financing!AO22</f>
        <v>#REF!</v>
      </c>
      <c r="AP25" s="10" t="e">
        <f>Financing!AP22</f>
        <v>#REF!</v>
      </c>
      <c r="AQ25" s="10" t="e">
        <f>Financing!AQ22</f>
        <v>#REF!</v>
      </c>
      <c r="AR25" s="10" t="e">
        <f>Financing!AR22</f>
        <v>#REF!</v>
      </c>
      <c r="AS25" s="10" t="e">
        <f>Financing!AS22</f>
        <v>#REF!</v>
      </c>
      <c r="AT25" s="10" t="e">
        <f>Financing!AT22</f>
        <v>#REF!</v>
      </c>
      <c r="AU25" s="10" t="e">
        <f>Financing!AU22</f>
        <v>#REF!</v>
      </c>
      <c r="AV25" s="10" t="e">
        <f>Financing!AV22</f>
        <v>#REF!</v>
      </c>
      <c r="AW25" s="10" t="e">
        <f>Financing!AW22</f>
        <v>#REF!</v>
      </c>
      <c r="AX25" s="10" t="e">
        <f>Financing!AX22</f>
        <v>#REF!</v>
      </c>
      <c r="AY25" s="10" t="e">
        <f>Financing!AY22</f>
        <v>#REF!</v>
      </c>
      <c r="AZ25" s="10" t="e">
        <f>Financing!AZ22</f>
        <v>#REF!</v>
      </c>
      <c r="BA25" s="10" t="e">
        <f>Financing!BA22</f>
        <v>#REF!</v>
      </c>
      <c r="BB25" s="10" t="e">
        <f>Financing!BB22</f>
        <v>#REF!</v>
      </c>
      <c r="BC25" s="10" t="e">
        <f>Financing!BC22</f>
        <v>#REF!</v>
      </c>
      <c r="BD25" s="10" t="e">
        <f>Financing!BD22</f>
        <v>#REF!</v>
      </c>
      <c r="BE25" s="10" t="e">
        <f>Financing!BE22</f>
        <v>#REF!</v>
      </c>
      <c r="BF25" s="10" t="e">
        <f>Financing!BF22</f>
        <v>#REF!</v>
      </c>
      <c r="BG25" s="10" t="e">
        <f>Financing!BG22</f>
        <v>#REF!</v>
      </c>
      <c r="BH25" s="10" t="e">
        <f>Financing!BH22</f>
        <v>#REF!</v>
      </c>
      <c r="BI25" s="10" t="e">
        <f>Financing!BI22</f>
        <v>#REF!</v>
      </c>
      <c r="BJ25" s="10" t="e">
        <f>Financing!BJ22</f>
        <v>#REF!</v>
      </c>
      <c r="BK25" s="10" t="e">
        <f>Financing!BK22</f>
        <v>#REF!</v>
      </c>
      <c r="BL25" s="10" t="e">
        <f>Financing!BL22</f>
        <v>#REF!</v>
      </c>
      <c r="BM25" s="10" t="e">
        <f>Financing!BM22</f>
        <v>#REF!</v>
      </c>
      <c r="BN25" s="10" t="e">
        <f>Financing!BN22</f>
        <v>#REF!</v>
      </c>
      <c r="BO25" s="10" t="e">
        <f>Financing!BO22</f>
        <v>#REF!</v>
      </c>
      <c r="BP25" s="10" t="e">
        <f>Financing!BP22</f>
        <v>#REF!</v>
      </c>
      <c r="BQ25" s="10" t="e">
        <f>Financing!BQ22</f>
        <v>#REF!</v>
      </c>
      <c r="BR25" s="10" t="e">
        <f>Financing!BR22</f>
        <v>#REF!</v>
      </c>
      <c r="BS25" s="10" t="e">
        <f>Financing!BS22</f>
        <v>#REF!</v>
      </c>
      <c r="BT25" s="10" t="e">
        <f>Financing!BT22</f>
        <v>#REF!</v>
      </c>
      <c r="BU25" s="10" t="e">
        <f>Financing!BU22</f>
        <v>#REF!</v>
      </c>
      <c r="BV25" s="10" t="e">
        <f>Financing!BV22</f>
        <v>#REF!</v>
      </c>
      <c r="BW25" s="10" t="e">
        <f>Financing!BW22</f>
        <v>#REF!</v>
      </c>
      <c r="BX25" s="10" t="e">
        <f>Financing!BX22</f>
        <v>#REF!</v>
      </c>
      <c r="BY25" s="10" t="e">
        <f>Financing!BY22</f>
        <v>#REF!</v>
      </c>
      <c r="BZ25" s="10" t="e">
        <f>Financing!BZ22</f>
        <v>#REF!</v>
      </c>
      <c r="CA25" s="10" t="e">
        <f>Financing!CA22</f>
        <v>#REF!</v>
      </c>
      <c r="CB25" s="10" t="e">
        <f>Financing!CB22</f>
        <v>#REF!</v>
      </c>
      <c r="CC25" s="10" t="e">
        <f>Financing!CC22</f>
        <v>#REF!</v>
      </c>
      <c r="CD25" s="10" t="e">
        <f>Financing!CD22</f>
        <v>#REF!</v>
      </c>
      <c r="CE25" s="10" t="e">
        <f>Financing!CE22</f>
        <v>#REF!</v>
      </c>
      <c r="CF25" s="10" t="e">
        <f>Financing!CF22</f>
        <v>#REF!</v>
      </c>
      <c r="CG25" s="10" t="e">
        <f>Financing!CG22</f>
        <v>#REF!</v>
      </c>
      <c r="CH25" s="10" t="e">
        <f>Financing!CH22</f>
        <v>#REF!</v>
      </c>
      <c r="CI25" s="10" t="e">
        <f>Financing!CI22</f>
        <v>#REF!</v>
      </c>
      <c r="CJ25" s="10" t="e">
        <f>Financing!CJ22</f>
        <v>#REF!</v>
      </c>
      <c r="CK25" s="10" t="e">
        <f>Financing!CK22</f>
        <v>#REF!</v>
      </c>
      <c r="CL25" s="10" t="e">
        <f>Financing!CL22</f>
        <v>#REF!</v>
      </c>
      <c r="CM25" s="10" t="e">
        <f>Financing!CM22</f>
        <v>#REF!</v>
      </c>
      <c r="CN25" s="10" t="e">
        <f>Financing!CN22</f>
        <v>#REF!</v>
      </c>
      <c r="CO25" s="10" t="e">
        <f>Financing!CO22</f>
        <v>#REF!</v>
      </c>
      <c r="CP25" s="10" t="e">
        <f>Financing!CP22</f>
        <v>#REF!</v>
      </c>
      <c r="CQ25" s="10" t="e">
        <f>Financing!CQ22</f>
        <v>#REF!</v>
      </c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</row>
    <row r="26" spans="1:108" ht="15" x14ac:dyDescent="0.25">
      <c r="C26" s="17" t="s">
        <v>32</v>
      </c>
      <c r="D26" t="s">
        <v>310</v>
      </c>
      <c r="H26" s="54" t="s">
        <v>3</v>
      </c>
      <c r="N26" s="25" t="e">
        <f>SUM(P26:DD26)</f>
        <v>#REF!</v>
      </c>
      <c r="O26" s="10"/>
      <c r="P26" s="10" t="e">
        <f>CF!P44</f>
        <v>#REF!</v>
      </c>
      <c r="Q26" s="10" t="e">
        <f>CF!Q44</f>
        <v>#REF!</v>
      </c>
      <c r="R26" s="10" t="e">
        <f>CF!R44</f>
        <v>#REF!</v>
      </c>
      <c r="S26" s="10" t="e">
        <f>CF!S44</f>
        <v>#REF!</v>
      </c>
      <c r="T26" s="10" t="e">
        <f>CF!T44</f>
        <v>#REF!</v>
      </c>
      <c r="U26" s="10" t="e">
        <f>CF!U44</f>
        <v>#REF!</v>
      </c>
      <c r="V26" s="10" t="e">
        <f>CF!V44</f>
        <v>#REF!</v>
      </c>
      <c r="W26" s="10" t="e">
        <f>CF!W44</f>
        <v>#REF!</v>
      </c>
      <c r="X26" s="10" t="e">
        <f>CF!X44</f>
        <v>#REF!</v>
      </c>
      <c r="Y26" s="10" t="e">
        <f>CF!Y44</f>
        <v>#REF!</v>
      </c>
      <c r="Z26" s="10" t="e">
        <f>CF!Z44</f>
        <v>#REF!</v>
      </c>
      <c r="AA26" s="10" t="e">
        <f>CF!AA44</f>
        <v>#REF!</v>
      </c>
      <c r="AB26" s="10" t="e">
        <f>CF!AB44</f>
        <v>#REF!</v>
      </c>
      <c r="AC26" s="10" t="e">
        <f>CF!AC44</f>
        <v>#REF!</v>
      </c>
      <c r="AD26" s="10" t="e">
        <f>CF!AD44</f>
        <v>#REF!</v>
      </c>
      <c r="AE26" s="10" t="e">
        <f>CF!AE44</f>
        <v>#REF!</v>
      </c>
      <c r="AF26" s="10" t="e">
        <f>CF!AF44</f>
        <v>#REF!</v>
      </c>
      <c r="AG26" s="10" t="e">
        <f>CF!AG44</f>
        <v>#REF!</v>
      </c>
      <c r="AH26" s="10" t="e">
        <f>CF!AH44</f>
        <v>#REF!</v>
      </c>
      <c r="AI26" s="10" t="e">
        <f>CF!AI44</f>
        <v>#REF!</v>
      </c>
      <c r="AJ26" s="10" t="e">
        <f>CF!AJ44</f>
        <v>#REF!</v>
      </c>
      <c r="AK26" s="10" t="e">
        <f>CF!AK44</f>
        <v>#REF!</v>
      </c>
      <c r="AL26" s="10" t="e">
        <f>CF!AL44</f>
        <v>#REF!</v>
      </c>
      <c r="AM26" s="10" t="e">
        <f>CF!AM44</f>
        <v>#REF!</v>
      </c>
      <c r="AN26" s="10" t="e">
        <f>CF!AN44</f>
        <v>#REF!</v>
      </c>
      <c r="AO26" s="10" t="e">
        <f>CF!AO44</f>
        <v>#REF!</v>
      </c>
      <c r="AP26" s="10" t="e">
        <f>CF!AP44</f>
        <v>#REF!</v>
      </c>
      <c r="AQ26" s="10" t="e">
        <f>CF!AQ44</f>
        <v>#REF!</v>
      </c>
      <c r="AR26" s="10" t="e">
        <f>CF!AR44</f>
        <v>#REF!</v>
      </c>
      <c r="AS26" s="10" t="e">
        <f>CF!AS44</f>
        <v>#REF!</v>
      </c>
      <c r="AT26" s="10" t="e">
        <f>CF!AT44</f>
        <v>#REF!</v>
      </c>
      <c r="AU26" s="10" t="e">
        <f>CF!AU44</f>
        <v>#REF!</v>
      </c>
      <c r="AV26" s="10" t="e">
        <f>CF!AV44</f>
        <v>#REF!</v>
      </c>
      <c r="AW26" s="10" t="e">
        <f>CF!AW44</f>
        <v>#REF!</v>
      </c>
      <c r="AX26" s="10" t="e">
        <f>CF!AX44</f>
        <v>#REF!</v>
      </c>
      <c r="AY26" s="10" t="e">
        <f>CF!AY44</f>
        <v>#REF!</v>
      </c>
      <c r="AZ26" s="10" t="e">
        <f>CF!AZ44</f>
        <v>#REF!</v>
      </c>
      <c r="BA26" s="10" t="e">
        <f>CF!BA44</f>
        <v>#REF!</v>
      </c>
      <c r="BB26" s="10" t="e">
        <f>CF!BB44</f>
        <v>#REF!</v>
      </c>
      <c r="BC26" s="10" t="e">
        <f>CF!BC44</f>
        <v>#REF!</v>
      </c>
      <c r="BD26" s="10" t="e">
        <f>CF!BD44</f>
        <v>#REF!</v>
      </c>
      <c r="BE26" s="10" t="e">
        <f>CF!BE44</f>
        <v>#REF!</v>
      </c>
      <c r="BF26" s="10" t="e">
        <f>CF!BF44</f>
        <v>#REF!</v>
      </c>
      <c r="BG26" s="10" t="e">
        <f>CF!BG44</f>
        <v>#REF!</v>
      </c>
      <c r="BH26" s="10" t="e">
        <f>CF!BH44</f>
        <v>#REF!</v>
      </c>
      <c r="BI26" s="10" t="e">
        <f>CF!BI44</f>
        <v>#REF!</v>
      </c>
      <c r="BJ26" s="10" t="e">
        <f>CF!BJ44</f>
        <v>#REF!</v>
      </c>
      <c r="BK26" s="10" t="e">
        <f>CF!BK44</f>
        <v>#REF!</v>
      </c>
      <c r="BL26" s="10" t="e">
        <f>CF!BL44</f>
        <v>#REF!</v>
      </c>
      <c r="BM26" s="10" t="e">
        <f>CF!BM44</f>
        <v>#REF!</v>
      </c>
      <c r="BN26" s="10" t="e">
        <f>CF!BN44</f>
        <v>#REF!</v>
      </c>
      <c r="BO26" s="10" t="e">
        <f>CF!BO44</f>
        <v>#REF!</v>
      </c>
      <c r="BP26" s="10" t="e">
        <f>CF!BP44</f>
        <v>#REF!</v>
      </c>
      <c r="BQ26" s="10" t="e">
        <f>CF!BQ44</f>
        <v>#REF!</v>
      </c>
      <c r="BR26" s="10" t="e">
        <f>CF!BR44</f>
        <v>#REF!</v>
      </c>
      <c r="BS26" s="10" t="e">
        <f>CF!BS44</f>
        <v>#REF!</v>
      </c>
      <c r="BT26" s="10" t="e">
        <f>CF!BT44</f>
        <v>#REF!</v>
      </c>
      <c r="BU26" s="10" t="e">
        <f>CF!BU44</f>
        <v>#REF!</v>
      </c>
      <c r="BV26" s="10" t="e">
        <f>CF!BV44</f>
        <v>#REF!</v>
      </c>
      <c r="BW26" s="10" t="e">
        <f>CF!BW44</f>
        <v>#REF!</v>
      </c>
      <c r="BX26" s="10" t="e">
        <f>CF!BX44</f>
        <v>#REF!</v>
      </c>
      <c r="BY26" s="10" t="e">
        <f>CF!BY44</f>
        <v>#REF!</v>
      </c>
      <c r="BZ26" s="10" t="e">
        <f>CF!BZ44</f>
        <v>#REF!</v>
      </c>
      <c r="CA26" s="10" t="e">
        <f>CF!CA44</f>
        <v>#REF!</v>
      </c>
      <c r="CB26" s="10" t="e">
        <f>CF!CB44</f>
        <v>#REF!</v>
      </c>
      <c r="CC26" s="10" t="e">
        <f>CF!CC44</f>
        <v>#REF!</v>
      </c>
      <c r="CD26" s="10" t="e">
        <f>CF!CD44</f>
        <v>#REF!</v>
      </c>
      <c r="CE26" s="10" t="e">
        <f>CF!CE44</f>
        <v>#REF!</v>
      </c>
      <c r="CF26" s="10" t="e">
        <f>CF!CF44</f>
        <v>#REF!</v>
      </c>
      <c r="CG26" s="10" t="e">
        <f>CF!CG44</f>
        <v>#REF!</v>
      </c>
      <c r="CH26" s="10" t="e">
        <f>CF!CH44</f>
        <v>#REF!</v>
      </c>
      <c r="CI26" s="10" t="e">
        <f>CF!CI44</f>
        <v>#REF!</v>
      </c>
      <c r="CJ26" s="10" t="e">
        <f>CF!CJ44</f>
        <v>#REF!</v>
      </c>
      <c r="CK26" s="10" t="e">
        <f>CF!CK44</f>
        <v>#REF!</v>
      </c>
      <c r="CL26" s="10" t="e">
        <f>CF!CL44</f>
        <v>#REF!</v>
      </c>
      <c r="CM26" s="10" t="e">
        <f>CF!CM44</f>
        <v>#REF!</v>
      </c>
      <c r="CN26" s="10" t="e">
        <f>CF!CN44</f>
        <v>#REF!</v>
      </c>
      <c r="CO26" s="10" t="e">
        <f>CF!CO44</f>
        <v>#REF!</v>
      </c>
      <c r="CP26" s="10" t="e">
        <f>CF!CP44</f>
        <v>#REF!</v>
      </c>
      <c r="CQ26" s="10" t="e">
        <f>CF!CQ44</f>
        <v>#REF!</v>
      </c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</row>
    <row r="27" spans="1:108" ht="15" x14ac:dyDescent="0.25">
      <c r="C27" s="29" t="s">
        <v>34</v>
      </c>
      <c r="D27" s="27" t="s">
        <v>342</v>
      </c>
      <c r="E27" s="27"/>
      <c r="F27" s="27"/>
      <c r="G27" s="27"/>
      <c r="H27" s="160" t="s">
        <v>3</v>
      </c>
      <c r="I27" s="27"/>
      <c r="J27" s="27"/>
      <c r="K27" s="27"/>
      <c r="L27" s="27"/>
      <c r="M27" s="27"/>
      <c r="N27" s="32" t="e">
        <f>SUM(P27:DD27)</f>
        <v>#REF!</v>
      </c>
      <c r="O27" s="27"/>
      <c r="P27" s="161" t="e">
        <f>IS!P30</f>
        <v>#REF!</v>
      </c>
      <c r="Q27" s="161" t="e">
        <f>IS!Q30</f>
        <v>#REF!</v>
      </c>
      <c r="R27" s="161" t="e">
        <f>IS!R30</f>
        <v>#REF!</v>
      </c>
      <c r="S27" s="161" t="e">
        <f>IS!S30</f>
        <v>#REF!</v>
      </c>
      <c r="T27" s="161" t="e">
        <f>IS!T30</f>
        <v>#REF!</v>
      </c>
      <c r="U27" s="161" t="e">
        <f>IS!U30</f>
        <v>#REF!</v>
      </c>
      <c r="V27" s="161" t="e">
        <f>IS!V30</f>
        <v>#REF!</v>
      </c>
      <c r="W27" s="161" t="e">
        <f>IS!W30</f>
        <v>#REF!</v>
      </c>
      <c r="X27" s="161" t="e">
        <f>IS!X30</f>
        <v>#REF!</v>
      </c>
      <c r="Y27" s="161" t="e">
        <f>IS!Y30</f>
        <v>#REF!</v>
      </c>
      <c r="Z27" s="161" t="e">
        <f>IS!Z30</f>
        <v>#REF!</v>
      </c>
      <c r="AA27" s="161" t="e">
        <f>IS!AA30</f>
        <v>#REF!</v>
      </c>
      <c r="AB27" s="161" t="e">
        <f>IS!AB30</f>
        <v>#REF!</v>
      </c>
      <c r="AC27" s="161" t="e">
        <f>IS!AC30</f>
        <v>#REF!</v>
      </c>
      <c r="AD27" s="161" t="e">
        <f>IS!AD30</f>
        <v>#REF!</v>
      </c>
      <c r="AE27" s="161" t="e">
        <f>IS!AE30</f>
        <v>#REF!</v>
      </c>
      <c r="AF27" s="161" t="e">
        <f>IS!AF30</f>
        <v>#REF!</v>
      </c>
      <c r="AG27" s="161" t="e">
        <f>IS!AG30</f>
        <v>#REF!</v>
      </c>
      <c r="AH27" s="161" t="e">
        <f>IS!AH30</f>
        <v>#REF!</v>
      </c>
      <c r="AI27" s="161" t="e">
        <f>IS!AI30</f>
        <v>#REF!</v>
      </c>
      <c r="AJ27" s="161" t="e">
        <f>IS!AJ30</f>
        <v>#REF!</v>
      </c>
      <c r="AK27" s="161" t="e">
        <f>IS!AK30</f>
        <v>#REF!</v>
      </c>
      <c r="AL27" s="161" t="e">
        <f>IS!AL30</f>
        <v>#REF!</v>
      </c>
      <c r="AM27" s="161" t="e">
        <f>IS!AM30</f>
        <v>#REF!</v>
      </c>
      <c r="AN27" s="161" t="e">
        <f>IS!AN30</f>
        <v>#REF!</v>
      </c>
      <c r="AO27" s="161" t="e">
        <f>IS!AO30</f>
        <v>#REF!</v>
      </c>
      <c r="AP27" s="161" t="e">
        <f>IS!AP30</f>
        <v>#REF!</v>
      </c>
      <c r="AQ27" s="161" t="e">
        <f>IS!AQ30</f>
        <v>#REF!</v>
      </c>
      <c r="AR27" s="161" t="e">
        <f>IS!AR30</f>
        <v>#REF!</v>
      </c>
      <c r="AS27" s="161" t="e">
        <f>IS!AS30</f>
        <v>#REF!</v>
      </c>
      <c r="AT27" s="161" t="e">
        <f>IS!AT30</f>
        <v>#REF!</v>
      </c>
      <c r="AU27" s="161" t="e">
        <f>IS!AU30</f>
        <v>#REF!</v>
      </c>
      <c r="AV27" s="161" t="e">
        <f>IS!AV30</f>
        <v>#REF!</v>
      </c>
      <c r="AW27" s="161" t="e">
        <f>IS!AW30</f>
        <v>#REF!</v>
      </c>
      <c r="AX27" s="161" t="e">
        <f>IS!AX30</f>
        <v>#REF!</v>
      </c>
      <c r="AY27" s="161" t="e">
        <f>IS!AY30</f>
        <v>#REF!</v>
      </c>
      <c r="AZ27" s="161" t="e">
        <f>IS!AZ30</f>
        <v>#REF!</v>
      </c>
      <c r="BA27" s="161" t="e">
        <f>IS!BA30</f>
        <v>#REF!</v>
      </c>
      <c r="BB27" s="161" t="e">
        <f>IS!BB30</f>
        <v>#REF!</v>
      </c>
      <c r="BC27" s="161" t="e">
        <f>IS!BC30</f>
        <v>#REF!</v>
      </c>
      <c r="BD27" s="161" t="e">
        <f>IS!BD30</f>
        <v>#REF!</v>
      </c>
      <c r="BE27" s="161" t="e">
        <f>IS!BE30</f>
        <v>#REF!</v>
      </c>
      <c r="BF27" s="161" t="e">
        <f>IS!BF30</f>
        <v>#REF!</v>
      </c>
      <c r="BG27" s="161" t="e">
        <f>IS!BG30</f>
        <v>#REF!</v>
      </c>
      <c r="BH27" s="161" t="e">
        <f>IS!BH30</f>
        <v>#REF!</v>
      </c>
      <c r="BI27" s="161" t="e">
        <f>IS!BI30</f>
        <v>#REF!</v>
      </c>
      <c r="BJ27" s="161" t="e">
        <f>IS!BJ30</f>
        <v>#REF!</v>
      </c>
      <c r="BK27" s="161" t="e">
        <f>IS!BK30</f>
        <v>#REF!</v>
      </c>
      <c r="BL27" s="161" t="e">
        <f>IS!BL30</f>
        <v>#REF!</v>
      </c>
      <c r="BM27" s="161" t="e">
        <f>IS!BM30</f>
        <v>#REF!</v>
      </c>
      <c r="BN27" s="161" t="e">
        <f>IS!BN30</f>
        <v>#REF!</v>
      </c>
      <c r="BO27" s="161" t="e">
        <f>IS!BO30</f>
        <v>#REF!</v>
      </c>
      <c r="BP27" s="161" t="e">
        <f>IS!BP30</f>
        <v>#REF!</v>
      </c>
      <c r="BQ27" s="161" t="e">
        <f>IS!BQ30</f>
        <v>#REF!</v>
      </c>
      <c r="BR27" s="161" t="e">
        <f>IS!BR30</f>
        <v>#REF!</v>
      </c>
      <c r="BS27" s="161" t="e">
        <f>IS!BS30</f>
        <v>#REF!</v>
      </c>
      <c r="BT27" s="161" t="e">
        <f>IS!BT30</f>
        <v>#REF!</v>
      </c>
      <c r="BU27" s="161" t="e">
        <f>IS!BU30</f>
        <v>#REF!</v>
      </c>
      <c r="BV27" s="161" t="e">
        <f>IS!BV30</f>
        <v>#REF!</v>
      </c>
      <c r="BW27" s="161" t="e">
        <f>IS!BW30</f>
        <v>#REF!</v>
      </c>
      <c r="BX27" s="161" t="e">
        <f>IS!BX30</f>
        <v>#REF!</v>
      </c>
      <c r="BY27" s="161" t="e">
        <f>IS!BY30</f>
        <v>#REF!</v>
      </c>
      <c r="BZ27" s="161" t="e">
        <f>IS!BZ30</f>
        <v>#REF!</v>
      </c>
      <c r="CA27" s="161" t="e">
        <f>IS!CA30</f>
        <v>#REF!</v>
      </c>
      <c r="CB27" s="161" t="e">
        <f>IS!CB30</f>
        <v>#REF!</v>
      </c>
      <c r="CC27" s="161" t="e">
        <f>IS!CC30</f>
        <v>#REF!</v>
      </c>
      <c r="CD27" s="161" t="e">
        <f>IS!CD30</f>
        <v>#REF!</v>
      </c>
      <c r="CE27" s="161" t="e">
        <f>IS!CE30</f>
        <v>#REF!</v>
      </c>
      <c r="CF27" s="161" t="e">
        <f>IS!CF30</f>
        <v>#REF!</v>
      </c>
      <c r="CG27" s="161" t="e">
        <f>IS!CG30</f>
        <v>#REF!</v>
      </c>
      <c r="CH27" s="161" t="e">
        <f>IS!CH30</f>
        <v>#REF!</v>
      </c>
      <c r="CI27" s="161" t="e">
        <f>IS!CI30</f>
        <v>#REF!</v>
      </c>
      <c r="CJ27" s="161" t="e">
        <f>IS!CJ30</f>
        <v>#REF!</v>
      </c>
      <c r="CK27" s="161" t="e">
        <f>IS!CK30</f>
        <v>#REF!</v>
      </c>
      <c r="CL27" s="161" t="e">
        <f>IS!CL30</f>
        <v>#REF!</v>
      </c>
      <c r="CM27" s="161" t="e">
        <f>IS!CM30</f>
        <v>#REF!</v>
      </c>
      <c r="CN27" s="161" t="e">
        <f>IS!CN30</f>
        <v>#REF!</v>
      </c>
      <c r="CO27" s="161" t="e">
        <f>IS!CO30</f>
        <v>#REF!</v>
      </c>
      <c r="CP27" s="161" t="e">
        <f>IS!CP30</f>
        <v>#REF!</v>
      </c>
      <c r="CQ27" s="161" t="e">
        <f>IS!CQ30</f>
        <v>#REF!</v>
      </c>
      <c r="CR27" s="161"/>
      <c r="CS27" s="161"/>
      <c r="CT27" s="161"/>
      <c r="CU27" s="161"/>
      <c r="CV27" s="161"/>
      <c r="CW27" s="161"/>
      <c r="CX27" s="161"/>
      <c r="CY27" s="161"/>
      <c r="CZ27" s="161"/>
      <c r="DA27" s="161"/>
      <c r="DB27" s="161"/>
      <c r="DC27" s="161"/>
      <c r="DD27" s="161"/>
    </row>
    <row r="28" spans="1:108" ht="15" x14ac:dyDescent="0.25">
      <c r="C28"/>
      <c r="H28" s="54" t="s">
        <v>3</v>
      </c>
      <c r="N28" s="35" t="e">
        <f>SUM(P28:DD28)</f>
        <v>#REF!</v>
      </c>
      <c r="O28" s="51"/>
      <c r="P28" s="51" t="e">
        <f t="shared" ref="P28:CA28" si="5">-P25-P26+P27</f>
        <v>#REF!</v>
      </c>
      <c r="Q28" s="51" t="e">
        <f t="shared" si="5"/>
        <v>#REF!</v>
      </c>
      <c r="R28" s="51" t="e">
        <f t="shared" si="5"/>
        <v>#REF!</v>
      </c>
      <c r="S28" s="51" t="e">
        <f t="shared" si="5"/>
        <v>#REF!</v>
      </c>
      <c r="T28" s="51" t="e">
        <f t="shared" si="5"/>
        <v>#REF!</v>
      </c>
      <c r="U28" s="51" t="e">
        <f t="shared" si="5"/>
        <v>#REF!</v>
      </c>
      <c r="V28" s="51" t="e">
        <f t="shared" si="5"/>
        <v>#REF!</v>
      </c>
      <c r="W28" s="51" t="e">
        <f t="shared" si="5"/>
        <v>#REF!</v>
      </c>
      <c r="X28" s="51" t="e">
        <f t="shared" si="5"/>
        <v>#REF!</v>
      </c>
      <c r="Y28" s="51" t="e">
        <f t="shared" si="5"/>
        <v>#REF!</v>
      </c>
      <c r="Z28" s="51" t="e">
        <f t="shared" si="5"/>
        <v>#REF!</v>
      </c>
      <c r="AA28" s="51" t="e">
        <f t="shared" si="5"/>
        <v>#REF!</v>
      </c>
      <c r="AB28" s="51" t="e">
        <f t="shared" si="5"/>
        <v>#REF!</v>
      </c>
      <c r="AC28" s="51" t="e">
        <f t="shared" si="5"/>
        <v>#REF!</v>
      </c>
      <c r="AD28" s="51" t="e">
        <f t="shared" si="5"/>
        <v>#REF!</v>
      </c>
      <c r="AE28" s="51" t="e">
        <f t="shared" si="5"/>
        <v>#REF!</v>
      </c>
      <c r="AF28" s="51" t="e">
        <f t="shared" si="5"/>
        <v>#REF!</v>
      </c>
      <c r="AG28" s="51" t="e">
        <f t="shared" si="5"/>
        <v>#REF!</v>
      </c>
      <c r="AH28" s="51" t="e">
        <f t="shared" si="5"/>
        <v>#REF!</v>
      </c>
      <c r="AI28" s="51" t="e">
        <f t="shared" si="5"/>
        <v>#REF!</v>
      </c>
      <c r="AJ28" s="51" t="e">
        <f t="shared" si="5"/>
        <v>#REF!</v>
      </c>
      <c r="AK28" s="51" t="e">
        <f t="shared" si="5"/>
        <v>#REF!</v>
      </c>
      <c r="AL28" s="51" t="e">
        <f t="shared" si="5"/>
        <v>#REF!</v>
      </c>
      <c r="AM28" s="51" t="e">
        <f t="shared" si="5"/>
        <v>#REF!</v>
      </c>
      <c r="AN28" s="51" t="e">
        <f t="shared" si="5"/>
        <v>#REF!</v>
      </c>
      <c r="AO28" s="51" t="e">
        <f t="shared" si="5"/>
        <v>#REF!</v>
      </c>
      <c r="AP28" s="51" t="e">
        <f t="shared" si="5"/>
        <v>#REF!</v>
      </c>
      <c r="AQ28" s="51" t="e">
        <f t="shared" si="5"/>
        <v>#REF!</v>
      </c>
      <c r="AR28" s="51" t="e">
        <f t="shared" si="5"/>
        <v>#REF!</v>
      </c>
      <c r="AS28" s="51" t="e">
        <f t="shared" si="5"/>
        <v>#REF!</v>
      </c>
      <c r="AT28" s="51" t="e">
        <f t="shared" si="5"/>
        <v>#REF!</v>
      </c>
      <c r="AU28" s="51" t="e">
        <f t="shared" si="5"/>
        <v>#REF!</v>
      </c>
      <c r="AV28" s="51" t="e">
        <f t="shared" si="5"/>
        <v>#REF!</v>
      </c>
      <c r="AW28" s="51" t="e">
        <f t="shared" si="5"/>
        <v>#REF!</v>
      </c>
      <c r="AX28" s="51" t="e">
        <f t="shared" si="5"/>
        <v>#REF!</v>
      </c>
      <c r="AY28" s="51" t="e">
        <f t="shared" si="5"/>
        <v>#REF!</v>
      </c>
      <c r="AZ28" s="51" t="e">
        <f t="shared" si="5"/>
        <v>#REF!</v>
      </c>
      <c r="BA28" s="51" t="e">
        <f t="shared" si="5"/>
        <v>#REF!</v>
      </c>
      <c r="BB28" s="51" t="e">
        <f t="shared" si="5"/>
        <v>#REF!</v>
      </c>
      <c r="BC28" s="51" t="e">
        <f t="shared" si="5"/>
        <v>#REF!</v>
      </c>
      <c r="BD28" s="51" t="e">
        <f t="shared" si="5"/>
        <v>#REF!</v>
      </c>
      <c r="BE28" s="51" t="e">
        <f t="shared" si="5"/>
        <v>#REF!</v>
      </c>
      <c r="BF28" s="51" t="e">
        <f t="shared" si="5"/>
        <v>#REF!</v>
      </c>
      <c r="BG28" s="51" t="e">
        <f t="shared" si="5"/>
        <v>#REF!</v>
      </c>
      <c r="BH28" s="51" t="e">
        <f t="shared" si="5"/>
        <v>#REF!</v>
      </c>
      <c r="BI28" s="51" t="e">
        <f t="shared" si="5"/>
        <v>#REF!</v>
      </c>
      <c r="BJ28" s="51" t="e">
        <f t="shared" si="5"/>
        <v>#REF!</v>
      </c>
      <c r="BK28" s="51" t="e">
        <f t="shared" si="5"/>
        <v>#REF!</v>
      </c>
      <c r="BL28" s="51" t="e">
        <f t="shared" si="5"/>
        <v>#REF!</v>
      </c>
      <c r="BM28" s="51" t="e">
        <f t="shared" si="5"/>
        <v>#REF!</v>
      </c>
      <c r="BN28" s="51" t="e">
        <f t="shared" si="5"/>
        <v>#REF!</v>
      </c>
      <c r="BO28" s="51" t="e">
        <f t="shared" si="5"/>
        <v>#REF!</v>
      </c>
      <c r="BP28" s="51" t="e">
        <f t="shared" si="5"/>
        <v>#REF!</v>
      </c>
      <c r="BQ28" s="51" t="e">
        <f t="shared" si="5"/>
        <v>#REF!</v>
      </c>
      <c r="BR28" s="51" t="e">
        <f t="shared" si="5"/>
        <v>#REF!</v>
      </c>
      <c r="BS28" s="51" t="e">
        <f t="shared" si="5"/>
        <v>#REF!</v>
      </c>
      <c r="BT28" s="51" t="e">
        <f t="shared" si="5"/>
        <v>#REF!</v>
      </c>
      <c r="BU28" s="51" t="e">
        <f t="shared" si="5"/>
        <v>#REF!</v>
      </c>
      <c r="BV28" s="51" t="e">
        <f t="shared" si="5"/>
        <v>#REF!</v>
      </c>
      <c r="BW28" s="51" t="e">
        <f t="shared" si="5"/>
        <v>#REF!</v>
      </c>
      <c r="BX28" s="51" t="e">
        <f t="shared" si="5"/>
        <v>#REF!</v>
      </c>
      <c r="BY28" s="51" t="e">
        <f t="shared" si="5"/>
        <v>#REF!</v>
      </c>
      <c r="BZ28" s="51" t="e">
        <f t="shared" si="5"/>
        <v>#REF!</v>
      </c>
      <c r="CA28" s="51" t="e">
        <f t="shared" si="5"/>
        <v>#REF!</v>
      </c>
      <c r="CB28" s="51" t="e">
        <f t="shared" ref="CB28:CQ28" si="6">-CB25-CB26+CB27</f>
        <v>#REF!</v>
      </c>
      <c r="CC28" s="51" t="e">
        <f t="shared" si="6"/>
        <v>#REF!</v>
      </c>
      <c r="CD28" s="51" t="e">
        <f t="shared" si="6"/>
        <v>#REF!</v>
      </c>
      <c r="CE28" s="51" t="e">
        <f t="shared" si="6"/>
        <v>#REF!</v>
      </c>
      <c r="CF28" s="51" t="e">
        <f t="shared" si="6"/>
        <v>#REF!</v>
      </c>
      <c r="CG28" s="51" t="e">
        <f t="shared" si="6"/>
        <v>#REF!</v>
      </c>
      <c r="CH28" s="51" t="e">
        <f t="shared" si="6"/>
        <v>#REF!</v>
      </c>
      <c r="CI28" s="51" t="e">
        <f t="shared" si="6"/>
        <v>#REF!</v>
      </c>
      <c r="CJ28" s="51" t="e">
        <f t="shared" si="6"/>
        <v>#REF!</v>
      </c>
      <c r="CK28" s="51" t="e">
        <f t="shared" si="6"/>
        <v>#REF!</v>
      </c>
      <c r="CL28" s="51" t="e">
        <f t="shared" si="6"/>
        <v>#REF!</v>
      </c>
      <c r="CM28" s="51" t="e">
        <f t="shared" si="6"/>
        <v>#REF!</v>
      </c>
      <c r="CN28" s="51" t="e">
        <f t="shared" si="6"/>
        <v>#REF!</v>
      </c>
      <c r="CO28" s="51" t="e">
        <f t="shared" si="6"/>
        <v>#REF!</v>
      </c>
      <c r="CP28" s="51" t="e">
        <f t="shared" si="6"/>
        <v>#REF!</v>
      </c>
      <c r="CQ28" s="51" t="e">
        <f t="shared" si="6"/>
        <v>#REF!</v>
      </c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</row>
    <row r="29" spans="1:108" ht="15" x14ac:dyDescent="0.25">
      <c r="C29"/>
      <c r="H29" s="54"/>
      <c r="N29" s="19"/>
    </row>
    <row r="30" spans="1:108" ht="15" x14ac:dyDescent="0.25">
      <c r="C30"/>
      <c r="D30" t="s">
        <v>343</v>
      </c>
      <c r="H30" s="54" t="s">
        <v>6</v>
      </c>
      <c r="J30" s="174" t="e">
        <f>IRR(P28:DD28)</f>
        <v>#VALUE!</v>
      </c>
      <c r="N30" s="19"/>
    </row>
    <row r="31" spans="1:108" ht="15" x14ac:dyDescent="0.25">
      <c r="C31"/>
      <c r="H31" s="54"/>
      <c r="N31" s="19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</row>
    <row r="32" spans="1:108" s="5" customFormat="1" x14ac:dyDescent="0.2">
      <c r="A32" s="5" t="s">
        <v>26</v>
      </c>
      <c r="C32" s="6"/>
      <c r="H32" s="137"/>
      <c r="I32" s="8"/>
    </row>
    <row r="33" spans="1:98" s="125" customFormat="1" ht="15" x14ac:dyDescent="0.25">
      <c r="A33" s="124" t="s">
        <v>344</v>
      </c>
      <c r="H33" s="126"/>
      <c r="J33" s="127"/>
      <c r="N33" s="128"/>
    </row>
    <row r="34" spans="1:98" ht="15" x14ac:dyDescent="0.25">
      <c r="C34"/>
      <c r="H34" s="54"/>
      <c r="N34" s="19"/>
    </row>
    <row r="35" spans="1:98" ht="15" x14ac:dyDescent="0.25">
      <c r="B35" s="21" t="s">
        <v>345</v>
      </c>
      <c r="C35"/>
      <c r="I35" s="54"/>
      <c r="N35" s="19"/>
    </row>
    <row r="36" spans="1:98" ht="15" x14ac:dyDescent="0.25">
      <c r="C36"/>
      <c r="I36" s="54"/>
      <c r="N36" s="19"/>
    </row>
    <row r="37" spans="1:98" ht="15" x14ac:dyDescent="0.25">
      <c r="C37" s="23" t="s">
        <v>73</v>
      </c>
      <c r="I37" s="54"/>
      <c r="N37" s="19"/>
    </row>
    <row r="38" spans="1:98" ht="15" x14ac:dyDescent="0.25">
      <c r="C38"/>
      <c r="I38" s="54"/>
      <c r="N38" s="19"/>
    </row>
    <row r="39" spans="1:98" ht="15" x14ac:dyDescent="0.25">
      <c r="C39" t="s">
        <v>353</v>
      </c>
      <c r="H39" s="54" t="s">
        <v>13</v>
      </c>
      <c r="I39" s="54"/>
      <c r="N39" s="19"/>
      <c r="P39" s="68">
        <f>Timing!R40</f>
        <v>0</v>
      </c>
      <c r="Q39" s="68">
        <f>Timing!S40</f>
        <v>0</v>
      </c>
      <c r="R39" s="68">
        <f>Timing!T40</f>
        <v>0</v>
      </c>
      <c r="S39" s="68">
        <f>Timing!U40</f>
        <v>1</v>
      </c>
      <c r="T39" s="68">
        <f>Timing!V40</f>
        <v>1</v>
      </c>
      <c r="U39" s="68">
        <f>Timing!W40</f>
        <v>1</v>
      </c>
      <c r="V39" s="68">
        <f>Timing!X40</f>
        <v>1</v>
      </c>
      <c r="W39" s="68">
        <f>Timing!Y40</f>
        <v>1</v>
      </c>
      <c r="X39" s="68">
        <f>Timing!Z40</f>
        <v>1</v>
      </c>
      <c r="Y39" s="68">
        <f>Timing!AA40</f>
        <v>1</v>
      </c>
      <c r="Z39" s="68">
        <f>Timing!AB40</f>
        <v>1</v>
      </c>
      <c r="AA39" s="68">
        <f>Timing!AC40</f>
        <v>1</v>
      </c>
      <c r="AB39" s="68">
        <f>Timing!AD40</f>
        <v>1</v>
      </c>
      <c r="AC39" s="68">
        <f>Timing!AE40</f>
        <v>1</v>
      </c>
      <c r="AD39" s="68">
        <f>Timing!AF40</f>
        <v>1</v>
      </c>
      <c r="AE39" s="68">
        <f>Timing!AG40</f>
        <v>1</v>
      </c>
      <c r="AF39" s="68">
        <f>Timing!AH40</f>
        <v>1</v>
      </c>
      <c r="AG39" s="68">
        <f>Timing!AI40</f>
        <v>1</v>
      </c>
      <c r="AH39" s="68">
        <f>Timing!AJ40</f>
        <v>1</v>
      </c>
      <c r="AI39" s="68">
        <f>Timing!AK40</f>
        <v>1</v>
      </c>
      <c r="AJ39" s="68">
        <f>Timing!AL40</f>
        <v>1</v>
      </c>
      <c r="AK39" s="68">
        <f>Timing!AM40</f>
        <v>1</v>
      </c>
      <c r="AL39" s="68">
        <f>Timing!AN40</f>
        <v>1</v>
      </c>
      <c r="AM39" s="68">
        <f>Timing!AO40</f>
        <v>1</v>
      </c>
      <c r="AN39" s="68">
        <f>Timing!AP40</f>
        <v>1</v>
      </c>
      <c r="AO39" s="68">
        <f>Timing!AQ40</f>
        <v>1</v>
      </c>
      <c r="AP39" s="68">
        <f>Timing!AR40</f>
        <v>1</v>
      </c>
      <c r="AQ39" s="68">
        <f>Timing!AS40</f>
        <v>1</v>
      </c>
      <c r="AR39" s="68">
        <f>Timing!AT40</f>
        <v>0</v>
      </c>
      <c r="AS39" s="68">
        <f>Timing!AU40</f>
        <v>0</v>
      </c>
      <c r="AT39" s="68">
        <f>Timing!AV40</f>
        <v>0</v>
      </c>
      <c r="AU39" s="68">
        <f>Timing!AW40</f>
        <v>0</v>
      </c>
      <c r="AV39" s="68">
        <f>Timing!AX40</f>
        <v>0</v>
      </c>
      <c r="AW39" s="68">
        <f>Timing!AY40</f>
        <v>0</v>
      </c>
      <c r="AX39" s="68">
        <f>Timing!AZ40</f>
        <v>0</v>
      </c>
      <c r="AY39" s="68">
        <f>Timing!BA40</f>
        <v>0</v>
      </c>
      <c r="AZ39" s="68">
        <f>Timing!BB40</f>
        <v>0</v>
      </c>
      <c r="BA39" s="68">
        <f>Timing!BC40</f>
        <v>0</v>
      </c>
      <c r="BB39" s="68">
        <f>Timing!BD40</f>
        <v>0</v>
      </c>
      <c r="BC39" s="68">
        <f>Timing!BE40</f>
        <v>0</v>
      </c>
      <c r="BD39" s="68">
        <f>Timing!BF40</f>
        <v>0</v>
      </c>
      <c r="BE39" s="68">
        <f>Timing!BG40</f>
        <v>0</v>
      </c>
      <c r="BF39" s="68">
        <f>Timing!BH40</f>
        <v>0</v>
      </c>
      <c r="BG39" s="68">
        <f>Timing!BI40</f>
        <v>0</v>
      </c>
      <c r="BH39" s="68">
        <f>Timing!BJ40</f>
        <v>0</v>
      </c>
      <c r="BI39" s="68">
        <f>Timing!BK40</f>
        <v>0</v>
      </c>
      <c r="BJ39" s="68">
        <f>Timing!BL40</f>
        <v>0</v>
      </c>
      <c r="BK39" s="68">
        <f>Timing!BM40</f>
        <v>0</v>
      </c>
      <c r="BL39" s="68">
        <f>Timing!BN40</f>
        <v>0</v>
      </c>
      <c r="BM39" s="68">
        <f>Timing!BO40</f>
        <v>0</v>
      </c>
      <c r="BN39" s="68">
        <f>Timing!BP40</f>
        <v>0</v>
      </c>
      <c r="BO39" s="68">
        <f>Timing!BQ40</f>
        <v>0</v>
      </c>
      <c r="BP39" s="68">
        <f>Timing!BR40</f>
        <v>0</v>
      </c>
      <c r="BQ39" s="68">
        <f>Timing!BS40</f>
        <v>0</v>
      </c>
      <c r="BR39" s="68">
        <f>Timing!BT40</f>
        <v>0</v>
      </c>
      <c r="BS39" s="68">
        <f>Timing!BU40</f>
        <v>0</v>
      </c>
      <c r="BT39" s="68">
        <f>Timing!BV40</f>
        <v>0</v>
      </c>
      <c r="BU39" s="68">
        <f>Timing!BW40</f>
        <v>0</v>
      </c>
      <c r="BV39" s="68">
        <f>Timing!BX40</f>
        <v>0</v>
      </c>
      <c r="BW39" s="68">
        <f>Timing!BY40</f>
        <v>0</v>
      </c>
      <c r="BX39" s="68">
        <f>Timing!BZ40</f>
        <v>0</v>
      </c>
      <c r="BY39" s="68">
        <f>Timing!CA40</f>
        <v>0</v>
      </c>
      <c r="BZ39" s="68">
        <f>Timing!CB40</f>
        <v>0</v>
      </c>
      <c r="CA39" s="68">
        <f>Timing!CC40</f>
        <v>0</v>
      </c>
      <c r="CB39" s="68">
        <f>Timing!CD40</f>
        <v>0</v>
      </c>
      <c r="CC39" s="68">
        <f>Timing!CE40</f>
        <v>0</v>
      </c>
      <c r="CD39" s="68">
        <f>Timing!CF40</f>
        <v>0</v>
      </c>
      <c r="CE39" s="68">
        <f>Timing!CG40</f>
        <v>0</v>
      </c>
      <c r="CF39" s="68">
        <f>Timing!CH40</f>
        <v>0</v>
      </c>
      <c r="CG39" s="68">
        <f>Timing!CI40</f>
        <v>0</v>
      </c>
      <c r="CH39" s="68">
        <f>Timing!CJ40</f>
        <v>0</v>
      </c>
      <c r="CI39" s="68">
        <f>Timing!CK40</f>
        <v>0</v>
      </c>
      <c r="CJ39" s="68">
        <f>Timing!CL40</f>
        <v>0</v>
      </c>
      <c r="CK39" s="68">
        <f>Timing!CM40</f>
        <v>0</v>
      </c>
      <c r="CL39" s="68">
        <f>Timing!CN40</f>
        <v>0</v>
      </c>
      <c r="CM39" s="68">
        <f>Timing!CO40</f>
        <v>0</v>
      </c>
      <c r="CN39" s="68">
        <f>Timing!CP40</f>
        <v>0</v>
      </c>
      <c r="CO39" s="68">
        <f>Timing!CQ40</f>
        <v>0</v>
      </c>
      <c r="CP39" s="68">
        <f>Timing!CR40</f>
        <v>0</v>
      </c>
      <c r="CQ39" s="68">
        <f>Timing!CS40</f>
        <v>0</v>
      </c>
      <c r="CR39" s="68">
        <f>Timing!CT40</f>
        <v>0</v>
      </c>
      <c r="CS39" s="68">
        <f>Timing!CU40</f>
        <v>0</v>
      </c>
      <c r="CT39" s="68">
        <f>Timing!CV40</f>
        <v>0</v>
      </c>
    </row>
    <row r="40" spans="1:98" ht="15" x14ac:dyDescent="0.25">
      <c r="C40"/>
      <c r="I40" s="54"/>
      <c r="N40" s="19"/>
    </row>
    <row r="41" spans="1:98" ht="15" x14ac:dyDescent="0.25">
      <c r="C41" t="s">
        <v>346</v>
      </c>
      <c r="H41" s="54" t="s">
        <v>6</v>
      </c>
      <c r="N41" s="19"/>
      <c r="P41" s="82">
        <f>Financing!P39</f>
        <v>0</v>
      </c>
      <c r="Q41" s="82">
        <f>Financing!Q39</f>
        <v>0</v>
      </c>
      <c r="R41" s="82">
        <f>Financing!R39</f>
        <v>0</v>
      </c>
      <c r="S41" s="82">
        <f>Financing!S39</f>
        <v>0.01</v>
      </c>
      <c r="T41" s="82">
        <f>Financing!T39</f>
        <v>0.01</v>
      </c>
      <c r="U41" s="82">
        <f>Financing!U39</f>
        <v>0.01</v>
      </c>
      <c r="V41" s="82">
        <f>Financing!V39</f>
        <v>0.01</v>
      </c>
      <c r="W41" s="82">
        <f>Financing!W39</f>
        <v>0.01</v>
      </c>
      <c r="X41" s="82">
        <f>Financing!X39</f>
        <v>0.01</v>
      </c>
      <c r="Y41" s="82">
        <f>Financing!Y39</f>
        <v>0.01</v>
      </c>
      <c r="Z41" s="82">
        <f>Financing!Z39</f>
        <v>0.01</v>
      </c>
      <c r="AA41" s="82">
        <f>Financing!AA39</f>
        <v>0.01</v>
      </c>
      <c r="AB41" s="82">
        <f>Financing!AB39</f>
        <v>0.01</v>
      </c>
      <c r="AC41" s="82">
        <f>Financing!AC39</f>
        <v>0.01</v>
      </c>
      <c r="AD41" s="82">
        <f>Financing!AD39</f>
        <v>0.01</v>
      </c>
      <c r="AE41" s="82">
        <f>Financing!AE39</f>
        <v>0.01</v>
      </c>
      <c r="AF41" s="82">
        <f>Financing!AF39</f>
        <v>0.01</v>
      </c>
      <c r="AG41" s="82">
        <f>Financing!AG39</f>
        <v>0.01</v>
      </c>
      <c r="AH41" s="82">
        <f>Financing!AH39</f>
        <v>0.01</v>
      </c>
      <c r="AI41" s="82">
        <f>Financing!AI39</f>
        <v>0.01</v>
      </c>
      <c r="AJ41" s="82">
        <f>Financing!AJ39</f>
        <v>0.01</v>
      </c>
      <c r="AK41" s="82">
        <f>Financing!AK39</f>
        <v>0.01</v>
      </c>
      <c r="AL41" s="82">
        <f>Financing!AL39</f>
        <v>0.01</v>
      </c>
      <c r="AM41" s="82">
        <f>Financing!AM39</f>
        <v>0.01</v>
      </c>
      <c r="AN41" s="82">
        <f>Financing!AN39</f>
        <v>0.01</v>
      </c>
      <c r="AO41" s="82">
        <f>Financing!AO39</f>
        <v>0.01</v>
      </c>
      <c r="AP41" s="82">
        <f>Financing!AP39</f>
        <v>0.01</v>
      </c>
      <c r="AQ41" s="82">
        <f>Financing!AQ39</f>
        <v>0.01</v>
      </c>
      <c r="AR41" s="82">
        <f>Financing!AR39</f>
        <v>0</v>
      </c>
      <c r="AS41" s="82">
        <f>Financing!AS39</f>
        <v>0</v>
      </c>
      <c r="AT41" s="82">
        <f>Financing!AT39</f>
        <v>0</v>
      </c>
      <c r="AU41" s="82">
        <f>Financing!AU39</f>
        <v>0</v>
      </c>
      <c r="AV41" s="82">
        <f>Financing!AV39</f>
        <v>0</v>
      </c>
      <c r="AW41" s="82">
        <f>Financing!AW39</f>
        <v>0</v>
      </c>
      <c r="AX41" s="82">
        <f>Financing!AX39</f>
        <v>0</v>
      </c>
      <c r="AY41" s="82">
        <f>Financing!AY39</f>
        <v>0</v>
      </c>
      <c r="AZ41" s="82">
        <f>Financing!AZ39</f>
        <v>0</v>
      </c>
      <c r="BA41" s="82">
        <f>Financing!BA39</f>
        <v>0</v>
      </c>
      <c r="BB41" s="82">
        <f>Financing!BB39</f>
        <v>0</v>
      </c>
      <c r="BC41" s="82">
        <f>Financing!BC39</f>
        <v>0</v>
      </c>
      <c r="BD41" s="82">
        <f>Financing!BD39</f>
        <v>0</v>
      </c>
      <c r="BE41" s="82">
        <f>Financing!BE39</f>
        <v>0</v>
      </c>
      <c r="BF41" s="82">
        <f>Financing!BF39</f>
        <v>0</v>
      </c>
      <c r="BG41" s="82">
        <f>Financing!BG39</f>
        <v>0</v>
      </c>
      <c r="BH41" s="82">
        <f>Financing!BH39</f>
        <v>0</v>
      </c>
      <c r="BI41" s="82">
        <f>Financing!BI39</f>
        <v>0</v>
      </c>
      <c r="BJ41" s="82">
        <f>Financing!BJ39</f>
        <v>0</v>
      </c>
      <c r="BK41" s="82">
        <f>Financing!BK39</f>
        <v>0</v>
      </c>
      <c r="BL41" s="82">
        <f>Financing!BL39</f>
        <v>0</v>
      </c>
      <c r="BM41" s="82">
        <f>Financing!BM39</f>
        <v>0</v>
      </c>
      <c r="BN41" s="82">
        <f>Financing!BN39</f>
        <v>0</v>
      </c>
      <c r="BO41" s="82">
        <f>Financing!BO39</f>
        <v>0</v>
      </c>
      <c r="BP41" s="82">
        <f>Financing!BP39</f>
        <v>0</v>
      </c>
      <c r="BQ41" s="82">
        <f>Financing!BQ39</f>
        <v>0</v>
      </c>
      <c r="BR41" s="82">
        <f>Financing!BR39</f>
        <v>0</v>
      </c>
      <c r="BS41" s="82">
        <f>Financing!BS39</f>
        <v>0</v>
      </c>
      <c r="BT41" s="82">
        <f>Financing!BT39</f>
        <v>0</v>
      </c>
      <c r="BU41" s="82">
        <f>Financing!BU39</f>
        <v>0</v>
      </c>
      <c r="BV41" s="82">
        <f>Financing!BV39</f>
        <v>0</v>
      </c>
      <c r="BW41" s="82">
        <f>Financing!BW39</f>
        <v>0</v>
      </c>
      <c r="BX41" s="82">
        <f>Financing!BX39</f>
        <v>0</v>
      </c>
      <c r="BY41" s="82">
        <f>Financing!BY39</f>
        <v>0</v>
      </c>
      <c r="BZ41" s="82">
        <f>Financing!BZ39</f>
        <v>0</v>
      </c>
      <c r="CA41" s="82">
        <f>Financing!CA39</f>
        <v>0</v>
      </c>
      <c r="CB41" s="82">
        <f>Financing!CB39</f>
        <v>0</v>
      </c>
      <c r="CC41" s="82">
        <f>Financing!CC39</f>
        <v>0</v>
      </c>
      <c r="CD41" s="82">
        <f>Financing!CD39</f>
        <v>0</v>
      </c>
      <c r="CE41" s="82">
        <f>Financing!CE39</f>
        <v>0</v>
      </c>
      <c r="CF41" s="82">
        <f>Financing!CF39</f>
        <v>0</v>
      </c>
      <c r="CG41" s="82">
        <f>Financing!CG39</f>
        <v>0</v>
      </c>
      <c r="CH41" s="82">
        <f>Financing!CH39</f>
        <v>0</v>
      </c>
      <c r="CI41" s="82">
        <f>Financing!CI39</f>
        <v>0</v>
      </c>
      <c r="CJ41" s="82">
        <f>Financing!CJ39</f>
        <v>0</v>
      </c>
      <c r="CK41" s="82">
        <f>Financing!CK39</f>
        <v>0</v>
      </c>
      <c r="CL41" s="82">
        <f>Financing!CL39</f>
        <v>0</v>
      </c>
      <c r="CM41" s="82">
        <f>Financing!CM39</f>
        <v>0</v>
      </c>
      <c r="CN41" s="82">
        <f>Financing!CN39</f>
        <v>0</v>
      </c>
      <c r="CO41" s="82">
        <f>Financing!CO39</f>
        <v>0</v>
      </c>
      <c r="CP41" s="82">
        <f>Financing!CP39</f>
        <v>0</v>
      </c>
      <c r="CQ41" s="82">
        <f>Financing!CQ39</f>
        <v>0</v>
      </c>
    </row>
    <row r="42" spans="1:98" ht="15" x14ac:dyDescent="0.25">
      <c r="C42" t="s">
        <v>218</v>
      </c>
      <c r="H42" s="54" t="s">
        <v>6</v>
      </c>
      <c r="N42" s="19"/>
      <c r="P42" s="82">
        <f>Financing!P40</f>
        <v>0</v>
      </c>
      <c r="Q42" s="82">
        <f>Financing!Q40</f>
        <v>0</v>
      </c>
      <c r="R42" s="82">
        <f>Financing!R40</f>
        <v>0</v>
      </c>
      <c r="S42" s="82">
        <f>Financing!S40</f>
        <v>1.2999999999999999E-2</v>
      </c>
      <c r="T42" s="82">
        <f>Financing!T40</f>
        <v>1.2999999999999999E-2</v>
      </c>
      <c r="U42" s="82">
        <f>Financing!U40</f>
        <v>1.4E-2</v>
      </c>
      <c r="V42" s="82">
        <f>Financing!V40</f>
        <v>1.4E-2</v>
      </c>
      <c r="W42" s="82">
        <f>Financing!W40</f>
        <v>1.4E-2</v>
      </c>
      <c r="X42" s="82">
        <f>Financing!X40</f>
        <v>1.4E-2</v>
      </c>
      <c r="Y42" s="82">
        <f>Financing!Y40</f>
        <v>1.4E-2</v>
      </c>
      <c r="Z42" s="82">
        <f>Financing!Z40</f>
        <v>1.5000000000000001E-2</v>
      </c>
      <c r="AA42" s="82">
        <f>Financing!AA40</f>
        <v>1.5000000000000001E-2</v>
      </c>
      <c r="AB42" s="82">
        <f>Financing!AB40</f>
        <v>1.5000000000000001E-2</v>
      </c>
      <c r="AC42" s="82">
        <f>Financing!AC40</f>
        <v>1.5000000000000001E-2</v>
      </c>
      <c r="AD42" s="82">
        <f>Financing!AD40</f>
        <v>1.5000000000000001E-2</v>
      </c>
      <c r="AE42" s="82">
        <f>Financing!AE40</f>
        <v>1.6E-2</v>
      </c>
      <c r="AF42" s="82">
        <f>Financing!AF40</f>
        <v>1.6E-2</v>
      </c>
      <c r="AG42" s="82">
        <f>Financing!AG40</f>
        <v>1.6E-2</v>
      </c>
      <c r="AH42" s="82">
        <f>Financing!AH40</f>
        <v>1.6E-2</v>
      </c>
      <c r="AI42" s="82">
        <f>Financing!AI40</f>
        <v>1.6E-2</v>
      </c>
      <c r="AJ42" s="82">
        <f>Financing!AJ40</f>
        <v>1.7000000000000001E-2</v>
      </c>
      <c r="AK42" s="82">
        <f>Financing!AK40</f>
        <v>1.7000000000000001E-2</v>
      </c>
      <c r="AL42" s="82">
        <f>Financing!AL40</f>
        <v>1.7000000000000001E-2</v>
      </c>
      <c r="AM42" s="82">
        <f>Financing!AM40</f>
        <v>1.7000000000000001E-2</v>
      </c>
      <c r="AN42" s="82">
        <f>Financing!AN40</f>
        <v>1.7000000000000001E-2</v>
      </c>
      <c r="AO42" s="82">
        <f>Financing!AO40</f>
        <v>1.8000000000000002E-2</v>
      </c>
      <c r="AP42" s="82">
        <f>Financing!AP40</f>
        <v>1.8000000000000002E-2</v>
      </c>
      <c r="AQ42" s="82">
        <f>Financing!AQ40</f>
        <v>1.8000000000000002E-2</v>
      </c>
      <c r="AR42" s="82">
        <f>Financing!AR40</f>
        <v>0</v>
      </c>
      <c r="AS42" s="82">
        <f>Financing!AS40</f>
        <v>0</v>
      </c>
      <c r="AT42" s="82">
        <f>Financing!AT40</f>
        <v>0</v>
      </c>
      <c r="AU42" s="82">
        <f>Financing!AU40</f>
        <v>0</v>
      </c>
      <c r="AV42" s="82">
        <f>Financing!AV40</f>
        <v>0</v>
      </c>
      <c r="AW42" s="82">
        <f>Financing!AW40</f>
        <v>0</v>
      </c>
      <c r="AX42" s="82">
        <f>Financing!AX40</f>
        <v>0</v>
      </c>
      <c r="AY42" s="82">
        <f>Financing!AY40</f>
        <v>0</v>
      </c>
      <c r="AZ42" s="82">
        <f>Financing!AZ40</f>
        <v>0</v>
      </c>
      <c r="BA42" s="82">
        <f>Financing!BA40</f>
        <v>0</v>
      </c>
      <c r="BB42" s="82">
        <f>Financing!BB40</f>
        <v>0</v>
      </c>
      <c r="BC42" s="82">
        <f>Financing!BC40</f>
        <v>0</v>
      </c>
      <c r="BD42" s="82">
        <f>Financing!BD40</f>
        <v>0</v>
      </c>
      <c r="BE42" s="82">
        <f>Financing!BE40</f>
        <v>0</v>
      </c>
      <c r="BF42" s="82">
        <f>Financing!BF40</f>
        <v>0</v>
      </c>
      <c r="BG42" s="82">
        <f>Financing!BG40</f>
        <v>0</v>
      </c>
      <c r="BH42" s="82">
        <f>Financing!BH40</f>
        <v>0</v>
      </c>
      <c r="BI42" s="82">
        <f>Financing!BI40</f>
        <v>0</v>
      </c>
      <c r="BJ42" s="82">
        <f>Financing!BJ40</f>
        <v>0</v>
      </c>
      <c r="BK42" s="82">
        <f>Financing!BK40</f>
        <v>0</v>
      </c>
      <c r="BL42" s="82">
        <f>Financing!BL40</f>
        <v>0</v>
      </c>
      <c r="BM42" s="82">
        <f>Financing!BM40</f>
        <v>0</v>
      </c>
      <c r="BN42" s="82">
        <f>Financing!BN40</f>
        <v>0</v>
      </c>
      <c r="BO42" s="82">
        <f>Financing!BO40</f>
        <v>0</v>
      </c>
      <c r="BP42" s="82">
        <f>Financing!BP40</f>
        <v>0</v>
      </c>
      <c r="BQ42" s="82">
        <f>Financing!BQ40</f>
        <v>0</v>
      </c>
      <c r="BR42" s="82">
        <f>Financing!BR40</f>
        <v>0</v>
      </c>
      <c r="BS42" s="82">
        <f>Financing!BS40</f>
        <v>0</v>
      </c>
      <c r="BT42" s="82">
        <f>Financing!BT40</f>
        <v>0</v>
      </c>
      <c r="BU42" s="82">
        <f>Financing!BU40</f>
        <v>0</v>
      </c>
      <c r="BV42" s="82">
        <f>Financing!BV40</f>
        <v>0</v>
      </c>
      <c r="BW42" s="82">
        <f>Financing!BW40</f>
        <v>0</v>
      </c>
      <c r="BX42" s="82">
        <f>Financing!BX40</f>
        <v>0</v>
      </c>
      <c r="BY42" s="82">
        <f>Financing!BY40</f>
        <v>0</v>
      </c>
      <c r="BZ42" s="82">
        <f>Financing!BZ40</f>
        <v>0</v>
      </c>
      <c r="CA42" s="82">
        <f>Financing!CA40</f>
        <v>0</v>
      </c>
      <c r="CB42" s="82">
        <f>Financing!CB40</f>
        <v>0</v>
      </c>
      <c r="CC42" s="82">
        <f>Financing!CC40</f>
        <v>0</v>
      </c>
      <c r="CD42" s="82">
        <f>Financing!CD40</f>
        <v>0</v>
      </c>
      <c r="CE42" s="82">
        <f>Financing!CE40</f>
        <v>0</v>
      </c>
      <c r="CF42" s="82">
        <f>Financing!CF40</f>
        <v>0</v>
      </c>
      <c r="CG42" s="82">
        <f>Financing!CG40</f>
        <v>0</v>
      </c>
      <c r="CH42" s="82">
        <f>Financing!CH40</f>
        <v>0</v>
      </c>
      <c r="CI42" s="82">
        <f>Financing!CI40</f>
        <v>0</v>
      </c>
      <c r="CJ42" s="82">
        <f>Financing!CJ40</f>
        <v>0</v>
      </c>
      <c r="CK42" s="82">
        <f>Financing!CK40</f>
        <v>0</v>
      </c>
      <c r="CL42" s="82">
        <f>Financing!CL40</f>
        <v>0</v>
      </c>
      <c r="CM42" s="82">
        <f>Financing!CM40</f>
        <v>0</v>
      </c>
      <c r="CN42" s="82">
        <f>Financing!CN40</f>
        <v>0</v>
      </c>
      <c r="CO42" s="82">
        <f>Financing!CO40</f>
        <v>0</v>
      </c>
      <c r="CP42" s="82">
        <f>Financing!CP40</f>
        <v>0</v>
      </c>
      <c r="CQ42" s="82">
        <f>Financing!CQ40</f>
        <v>0</v>
      </c>
    </row>
    <row r="43" spans="1:98" ht="15" x14ac:dyDescent="0.25">
      <c r="C43" t="s">
        <v>347</v>
      </c>
      <c r="H43" s="54" t="s">
        <v>6</v>
      </c>
      <c r="N43" s="19"/>
      <c r="P43" s="221">
        <f>Financing!P41</f>
        <v>0</v>
      </c>
      <c r="Q43" s="221">
        <f>Financing!Q41</f>
        <v>0</v>
      </c>
      <c r="R43" s="221">
        <f>Financing!R41</f>
        <v>0</v>
      </c>
      <c r="S43" s="221">
        <f>Financing!S41</f>
        <v>2.3E-2</v>
      </c>
      <c r="T43" s="221">
        <f>Financing!T41</f>
        <v>2.3E-2</v>
      </c>
      <c r="U43" s="221">
        <f>Financing!U41</f>
        <v>2.4E-2</v>
      </c>
      <c r="V43" s="221">
        <f>Financing!V41</f>
        <v>2.4E-2</v>
      </c>
      <c r="W43" s="221">
        <f>Financing!W41</f>
        <v>2.4E-2</v>
      </c>
      <c r="X43" s="221">
        <f>Financing!X41</f>
        <v>2.4E-2</v>
      </c>
      <c r="Y43" s="221">
        <f>Financing!Y41</f>
        <v>2.4E-2</v>
      </c>
      <c r="Z43" s="221">
        <f>Financing!Z41</f>
        <v>2.5000000000000001E-2</v>
      </c>
      <c r="AA43" s="221">
        <f>Financing!AA41</f>
        <v>2.5000000000000001E-2</v>
      </c>
      <c r="AB43" s="221">
        <f>Financing!AB41</f>
        <v>2.5000000000000001E-2</v>
      </c>
      <c r="AC43" s="221">
        <f>Financing!AC41</f>
        <v>2.5000000000000001E-2</v>
      </c>
      <c r="AD43" s="221">
        <f>Financing!AD41</f>
        <v>2.5000000000000001E-2</v>
      </c>
      <c r="AE43" s="221">
        <f>Financing!AE41</f>
        <v>2.6000000000000002E-2</v>
      </c>
      <c r="AF43" s="221">
        <f>Financing!AF41</f>
        <v>2.6000000000000002E-2</v>
      </c>
      <c r="AG43" s="221">
        <f>Financing!AG41</f>
        <v>2.6000000000000002E-2</v>
      </c>
      <c r="AH43" s="221">
        <f>Financing!AH41</f>
        <v>2.6000000000000002E-2</v>
      </c>
      <c r="AI43" s="221">
        <f>Financing!AI41</f>
        <v>2.6000000000000002E-2</v>
      </c>
      <c r="AJ43" s="221">
        <f>Financing!AJ41</f>
        <v>2.7000000000000003E-2</v>
      </c>
      <c r="AK43" s="221">
        <f>Financing!AK41</f>
        <v>2.7000000000000003E-2</v>
      </c>
      <c r="AL43" s="221">
        <f>Financing!AL41</f>
        <v>2.7000000000000003E-2</v>
      </c>
      <c r="AM43" s="221">
        <f>Financing!AM41</f>
        <v>2.7000000000000003E-2</v>
      </c>
      <c r="AN43" s="221">
        <f>Financing!AN41</f>
        <v>2.7000000000000003E-2</v>
      </c>
      <c r="AO43" s="221">
        <f>Financing!AO41</f>
        <v>2.8000000000000004E-2</v>
      </c>
      <c r="AP43" s="221">
        <f>Financing!AP41</f>
        <v>2.8000000000000004E-2</v>
      </c>
      <c r="AQ43" s="221">
        <f>Financing!AQ41</f>
        <v>2.8000000000000004E-2</v>
      </c>
      <c r="AR43" s="221">
        <f>Financing!AR41</f>
        <v>0</v>
      </c>
      <c r="AS43" s="221">
        <f>Financing!AS41</f>
        <v>0</v>
      </c>
      <c r="AT43" s="221">
        <f>Financing!AT41</f>
        <v>0</v>
      </c>
      <c r="AU43" s="221">
        <f>Financing!AU41</f>
        <v>0</v>
      </c>
      <c r="AV43" s="221">
        <f>Financing!AV41</f>
        <v>0</v>
      </c>
      <c r="AW43" s="221">
        <f>Financing!AW41</f>
        <v>0</v>
      </c>
      <c r="AX43" s="221">
        <f>Financing!AX41</f>
        <v>0</v>
      </c>
      <c r="AY43" s="221">
        <f>Financing!AY41</f>
        <v>0</v>
      </c>
      <c r="AZ43" s="221">
        <f>Financing!AZ41</f>
        <v>0</v>
      </c>
      <c r="BA43" s="221">
        <f>Financing!BA41</f>
        <v>0</v>
      </c>
      <c r="BB43" s="221">
        <f>Financing!BB41</f>
        <v>0</v>
      </c>
      <c r="BC43" s="221">
        <f>Financing!BC41</f>
        <v>0</v>
      </c>
      <c r="BD43" s="221">
        <f>Financing!BD41</f>
        <v>0</v>
      </c>
      <c r="BE43" s="221">
        <f>Financing!BE41</f>
        <v>0</v>
      </c>
      <c r="BF43" s="221">
        <f>Financing!BF41</f>
        <v>0</v>
      </c>
      <c r="BG43" s="221">
        <f>Financing!BG41</f>
        <v>0</v>
      </c>
      <c r="BH43" s="221">
        <f>Financing!BH41</f>
        <v>0</v>
      </c>
      <c r="BI43" s="221">
        <f>Financing!BI41</f>
        <v>0</v>
      </c>
      <c r="BJ43" s="221">
        <f>Financing!BJ41</f>
        <v>0</v>
      </c>
      <c r="BK43" s="221">
        <f>Financing!BK41</f>
        <v>0</v>
      </c>
      <c r="BL43" s="221">
        <f>Financing!BL41</f>
        <v>0</v>
      </c>
      <c r="BM43" s="221">
        <f>Financing!BM41</f>
        <v>0</v>
      </c>
      <c r="BN43" s="221">
        <f>Financing!BN41</f>
        <v>0</v>
      </c>
      <c r="BO43" s="221">
        <f>Financing!BO41</f>
        <v>0</v>
      </c>
      <c r="BP43" s="221">
        <f>Financing!BP41</f>
        <v>0</v>
      </c>
      <c r="BQ43" s="221">
        <f>Financing!BQ41</f>
        <v>0</v>
      </c>
      <c r="BR43" s="221">
        <f>Financing!BR41</f>
        <v>0</v>
      </c>
      <c r="BS43" s="221">
        <f>Financing!BS41</f>
        <v>0</v>
      </c>
      <c r="BT43" s="221">
        <f>Financing!BT41</f>
        <v>0</v>
      </c>
      <c r="BU43" s="221">
        <f>Financing!BU41</f>
        <v>0</v>
      </c>
      <c r="BV43" s="221">
        <f>Financing!BV41</f>
        <v>0</v>
      </c>
      <c r="BW43" s="221">
        <f>Financing!BW41</f>
        <v>0</v>
      </c>
      <c r="BX43" s="221">
        <f>Financing!BX41</f>
        <v>0</v>
      </c>
      <c r="BY43" s="221">
        <f>Financing!BY41</f>
        <v>0</v>
      </c>
      <c r="BZ43" s="221">
        <f>Financing!BZ41</f>
        <v>0</v>
      </c>
      <c r="CA43" s="221">
        <f>Financing!CA41</f>
        <v>0</v>
      </c>
      <c r="CB43" s="221">
        <f>Financing!CB41</f>
        <v>0</v>
      </c>
      <c r="CC43" s="221">
        <f>Financing!CC41</f>
        <v>0</v>
      </c>
      <c r="CD43" s="221">
        <f>Financing!CD41</f>
        <v>0</v>
      </c>
      <c r="CE43" s="221">
        <f>Financing!CE41</f>
        <v>0</v>
      </c>
      <c r="CF43" s="221">
        <f>Financing!CF41</f>
        <v>0</v>
      </c>
      <c r="CG43" s="221">
        <f>Financing!CG41</f>
        <v>0</v>
      </c>
      <c r="CH43" s="221">
        <f>Financing!CH41</f>
        <v>0</v>
      </c>
      <c r="CI43" s="221">
        <f>Financing!CI41</f>
        <v>0</v>
      </c>
      <c r="CJ43" s="221">
        <f>Financing!CJ41</f>
        <v>0</v>
      </c>
      <c r="CK43" s="221">
        <f>Financing!CK41</f>
        <v>0</v>
      </c>
      <c r="CL43" s="221">
        <f>Financing!CL41</f>
        <v>0</v>
      </c>
      <c r="CM43" s="221">
        <f>Financing!CM41</f>
        <v>0</v>
      </c>
      <c r="CN43" s="221">
        <f>Financing!CN41</f>
        <v>0</v>
      </c>
      <c r="CO43" s="221">
        <f>Financing!CO41</f>
        <v>0</v>
      </c>
      <c r="CP43" s="221">
        <f>Financing!CP41</f>
        <v>0</v>
      </c>
      <c r="CQ43" s="221">
        <f>Financing!CQ41</f>
        <v>0</v>
      </c>
    </row>
    <row r="44" spans="1:98" ht="15" x14ac:dyDescent="0.25">
      <c r="C44"/>
      <c r="H44" s="54"/>
      <c r="N44" s="19"/>
    </row>
    <row r="45" spans="1:98" ht="15" x14ac:dyDescent="0.25">
      <c r="C45" t="s">
        <v>45</v>
      </c>
      <c r="H45" s="54" t="s">
        <v>6</v>
      </c>
      <c r="N45" s="19"/>
      <c r="P45" s="10" t="e">
        <f>Financing!P89*P39</f>
        <v>#REF!</v>
      </c>
      <c r="Q45" s="10" t="e">
        <f>Financing!Q89*Q39</f>
        <v>#REF!</v>
      </c>
      <c r="R45" s="10" t="e">
        <f>Financing!R89*R39</f>
        <v>#REF!</v>
      </c>
      <c r="S45" s="10" t="e">
        <f>Financing!S89*S39</f>
        <v>#REF!</v>
      </c>
      <c r="T45" s="10" t="e">
        <f>Financing!T89*T39</f>
        <v>#REF!</v>
      </c>
      <c r="U45" s="10" t="e">
        <f>Financing!U89*U39</f>
        <v>#REF!</v>
      </c>
      <c r="V45" s="10" t="e">
        <f>Financing!V89*V39</f>
        <v>#REF!</v>
      </c>
      <c r="W45" s="10" t="e">
        <f>Financing!W89*W39</f>
        <v>#REF!</v>
      </c>
      <c r="X45" s="10" t="e">
        <f>Financing!X89*X39</f>
        <v>#REF!</v>
      </c>
      <c r="Y45" s="10" t="e">
        <f>Financing!Y89*Y39</f>
        <v>#REF!</v>
      </c>
      <c r="Z45" s="10" t="e">
        <f>Financing!Z89*Z39</f>
        <v>#REF!</v>
      </c>
      <c r="AA45" s="10" t="e">
        <f>Financing!AA89*AA39</f>
        <v>#REF!</v>
      </c>
      <c r="AB45" s="10" t="e">
        <f>Financing!AB89*AB39</f>
        <v>#REF!</v>
      </c>
      <c r="AC45" s="10" t="e">
        <f>Financing!AC89*AC39</f>
        <v>#REF!</v>
      </c>
      <c r="AD45" s="10" t="e">
        <f>Financing!AD89*AD39</f>
        <v>#REF!</v>
      </c>
      <c r="AE45" s="10" t="e">
        <f>Financing!AE89*AE39</f>
        <v>#REF!</v>
      </c>
      <c r="AF45" s="10" t="e">
        <f>Financing!AF89*AF39</f>
        <v>#REF!</v>
      </c>
      <c r="AG45" s="10" t="e">
        <f>Financing!AG89*AG39</f>
        <v>#REF!</v>
      </c>
      <c r="AH45" s="10" t="e">
        <f>Financing!AH89*AH39</f>
        <v>#REF!</v>
      </c>
      <c r="AI45" s="10" t="e">
        <f>Financing!AI89*AI39</f>
        <v>#REF!</v>
      </c>
      <c r="AJ45" s="10" t="e">
        <f>Financing!AJ89*AJ39</f>
        <v>#REF!</v>
      </c>
      <c r="AK45" s="10" t="e">
        <f>Financing!AK89*AK39</f>
        <v>#REF!</v>
      </c>
      <c r="AL45" s="10" t="e">
        <f>Financing!AL89*AL39</f>
        <v>#REF!</v>
      </c>
      <c r="AM45" s="10" t="e">
        <f>Financing!AM89*AM39</f>
        <v>#REF!</v>
      </c>
      <c r="AN45" s="10" t="e">
        <f>Financing!AN89*AN39</f>
        <v>#REF!</v>
      </c>
      <c r="AO45" s="10" t="e">
        <f>Financing!AO89*AO39</f>
        <v>#REF!</v>
      </c>
      <c r="AP45" s="10" t="e">
        <f>Financing!AP89*AP39</f>
        <v>#REF!</v>
      </c>
      <c r="AQ45" s="10" t="e">
        <f>Financing!AQ89*AQ39</f>
        <v>#REF!</v>
      </c>
      <c r="AR45" s="10" t="e">
        <f>Financing!AR89*AR39</f>
        <v>#REF!</v>
      </c>
      <c r="AS45" s="10" t="e">
        <f>Financing!AS89*AS39</f>
        <v>#REF!</v>
      </c>
      <c r="AT45" s="10" t="e">
        <f>Financing!AT89*AT39</f>
        <v>#REF!</v>
      </c>
      <c r="AU45" s="10" t="e">
        <f>Financing!AU89*AU39</f>
        <v>#REF!</v>
      </c>
      <c r="AV45" s="10" t="e">
        <f>Financing!AV89*AV39</f>
        <v>#REF!</v>
      </c>
      <c r="AW45" s="10" t="e">
        <f>Financing!AW89*AW39</f>
        <v>#REF!</v>
      </c>
      <c r="AX45" s="10" t="e">
        <f>Financing!AX89*AX39</f>
        <v>#REF!</v>
      </c>
      <c r="AY45" s="10" t="e">
        <f>Financing!AY89*AY39</f>
        <v>#REF!</v>
      </c>
      <c r="AZ45" s="10" t="e">
        <f>Financing!AZ89*AZ39</f>
        <v>#REF!</v>
      </c>
      <c r="BA45" s="10" t="e">
        <f>Financing!BA89*BA39</f>
        <v>#REF!</v>
      </c>
      <c r="BB45" s="10" t="e">
        <f>Financing!BB89*BB39</f>
        <v>#REF!</v>
      </c>
      <c r="BC45" s="10" t="e">
        <f>Financing!BC89*BC39</f>
        <v>#REF!</v>
      </c>
      <c r="BD45" s="10" t="e">
        <f>Financing!BD89*BD39</f>
        <v>#REF!</v>
      </c>
      <c r="BE45" s="10" t="e">
        <f>Financing!BE89*BE39</f>
        <v>#REF!</v>
      </c>
      <c r="BF45" s="10" t="e">
        <f>Financing!BF89*BF39</f>
        <v>#REF!</v>
      </c>
      <c r="BG45" s="10" t="e">
        <f>Financing!BG89*BG39</f>
        <v>#REF!</v>
      </c>
      <c r="BH45" s="10" t="e">
        <f>Financing!BH89*BH39</f>
        <v>#REF!</v>
      </c>
      <c r="BI45" s="10" t="e">
        <f>Financing!BI89*BI39</f>
        <v>#REF!</v>
      </c>
      <c r="BJ45" s="10" t="e">
        <f>Financing!BJ89*BJ39</f>
        <v>#REF!</v>
      </c>
      <c r="BK45" s="10" t="e">
        <f>Financing!BK89*BK39</f>
        <v>#REF!</v>
      </c>
      <c r="BL45" s="10" t="e">
        <f>Financing!BL89*BL39</f>
        <v>#REF!</v>
      </c>
      <c r="BM45" s="10" t="e">
        <f>Financing!BM89*BM39</f>
        <v>#REF!</v>
      </c>
      <c r="BN45" s="10" t="e">
        <f>Financing!BN89*BN39</f>
        <v>#REF!</v>
      </c>
      <c r="BO45" s="10" t="e">
        <f>Financing!BO89*BO39</f>
        <v>#REF!</v>
      </c>
      <c r="BP45" s="10" t="e">
        <f>Financing!BP89*BP39</f>
        <v>#REF!</v>
      </c>
      <c r="BQ45" s="10" t="e">
        <f>Financing!BQ89*BQ39</f>
        <v>#REF!</v>
      </c>
      <c r="BR45" s="10" t="e">
        <f>Financing!BR89*BR39</f>
        <v>#REF!</v>
      </c>
      <c r="BS45" s="10" t="e">
        <f>Financing!BS89*BS39</f>
        <v>#REF!</v>
      </c>
      <c r="BT45" s="10" t="e">
        <f>Financing!BT89*BT39</f>
        <v>#REF!</v>
      </c>
      <c r="BU45" s="10" t="e">
        <f>Financing!BU89*BU39</f>
        <v>#REF!</v>
      </c>
      <c r="BV45" s="10" t="e">
        <f>Financing!BV89*BV39</f>
        <v>#REF!</v>
      </c>
      <c r="BW45" s="10" t="e">
        <f>Financing!BW89*BW39</f>
        <v>#REF!</v>
      </c>
      <c r="BX45" s="10" t="e">
        <f>Financing!BX89*BX39</f>
        <v>#REF!</v>
      </c>
      <c r="BY45" s="10" t="e">
        <f>Financing!BY89*BY39</f>
        <v>#REF!</v>
      </c>
      <c r="BZ45" s="10" t="e">
        <f>Financing!BZ89*BZ39</f>
        <v>#REF!</v>
      </c>
      <c r="CA45" s="10" t="e">
        <f>Financing!CA89*CA39</f>
        <v>#REF!</v>
      </c>
      <c r="CB45" s="10" t="e">
        <f>Financing!CB89*CB39</f>
        <v>#REF!</v>
      </c>
      <c r="CC45" s="10" t="e">
        <f>Financing!CC89*CC39</f>
        <v>#REF!</v>
      </c>
      <c r="CD45" s="10" t="e">
        <f>Financing!CD89*CD39</f>
        <v>#REF!</v>
      </c>
      <c r="CE45" s="10" t="e">
        <f>Financing!CE89*CE39</f>
        <v>#REF!</v>
      </c>
      <c r="CF45" s="10" t="e">
        <f>Financing!CF89*CF39</f>
        <v>#REF!</v>
      </c>
      <c r="CG45" s="10" t="e">
        <f>Financing!CG89*CG39</f>
        <v>#REF!</v>
      </c>
      <c r="CH45" s="10" t="e">
        <f>Financing!CH89*CH39</f>
        <v>#REF!</v>
      </c>
      <c r="CI45" s="10" t="e">
        <f>Financing!CI89*CI39</f>
        <v>#REF!</v>
      </c>
      <c r="CJ45" s="10" t="e">
        <f>Financing!CJ89*CJ39</f>
        <v>#REF!</v>
      </c>
      <c r="CK45" s="10" t="e">
        <f>Financing!CK89*CK39</f>
        <v>#REF!</v>
      </c>
      <c r="CL45" s="10" t="e">
        <f>Financing!CL89*CL39</f>
        <v>#REF!</v>
      </c>
      <c r="CM45" s="10" t="e">
        <f>Financing!CM89*CM39</f>
        <v>#REF!</v>
      </c>
      <c r="CN45" s="10" t="e">
        <f>Financing!CN89*CN39</f>
        <v>#REF!</v>
      </c>
      <c r="CO45" s="10" t="e">
        <f>Financing!CO89*CO39</f>
        <v>#REF!</v>
      </c>
      <c r="CP45" s="10" t="e">
        <f>Financing!CP89*CP39</f>
        <v>#REF!</v>
      </c>
      <c r="CQ45" s="10" t="e">
        <f>Financing!CQ89*CQ39</f>
        <v>#REF!</v>
      </c>
    </row>
    <row r="46" spans="1:98" ht="15" x14ac:dyDescent="0.25">
      <c r="C46"/>
      <c r="H46" s="54"/>
      <c r="N46" s="19"/>
    </row>
    <row r="47" spans="1:98" ht="15" x14ac:dyDescent="0.25">
      <c r="C47" t="s">
        <v>348</v>
      </c>
      <c r="H47" s="54" t="s">
        <v>6</v>
      </c>
      <c r="J47" s="218" t="e">
        <f>SUMPRODUCT(P43:IB43,P45:IB45)/SUM(P45:IB45)</f>
        <v>#REF!</v>
      </c>
      <c r="N47" s="19"/>
    </row>
    <row r="48" spans="1:98" ht="15" x14ac:dyDescent="0.25">
      <c r="C48"/>
      <c r="H48" s="54"/>
      <c r="N48" s="19"/>
    </row>
    <row r="49" spans="2:237" ht="15" x14ac:dyDescent="0.25">
      <c r="C49" s="23" t="s">
        <v>23</v>
      </c>
      <c r="H49" s="54"/>
      <c r="N49" s="19"/>
    </row>
    <row r="50" spans="2:237" ht="15" x14ac:dyDescent="0.25">
      <c r="C50"/>
      <c r="H50" s="54"/>
      <c r="N50" s="19"/>
    </row>
    <row r="51" spans="2:237" ht="15" x14ac:dyDescent="0.25">
      <c r="C51" t="s">
        <v>117</v>
      </c>
      <c r="H51" s="54" t="s">
        <v>6</v>
      </c>
      <c r="J51" s="218">
        <f>InputC!K81</f>
        <v>7.0000000000000007E-2</v>
      </c>
      <c r="N51" s="19"/>
    </row>
    <row r="52" spans="2:237" ht="15" x14ac:dyDescent="0.25">
      <c r="C52"/>
      <c r="H52" s="54"/>
      <c r="N52" s="19"/>
    </row>
    <row r="53" spans="2:237" ht="15" x14ac:dyDescent="0.25">
      <c r="C53" s="23" t="s">
        <v>349</v>
      </c>
      <c r="H53" s="54"/>
      <c r="N53" s="19"/>
    </row>
    <row r="54" spans="2:237" ht="15" x14ac:dyDescent="0.25">
      <c r="C54"/>
      <c r="H54" s="54"/>
      <c r="N54" s="19"/>
    </row>
    <row r="55" spans="2:237" ht="15" x14ac:dyDescent="0.25">
      <c r="C55" t="s">
        <v>212</v>
      </c>
      <c r="H55" s="54" t="s">
        <v>6</v>
      </c>
      <c r="J55" s="218" t="e">
        <f>Financing!J5</f>
        <v>#REF!</v>
      </c>
      <c r="N55" s="19"/>
    </row>
    <row r="56" spans="2:237" ht="15" x14ac:dyDescent="0.25">
      <c r="C56" t="s">
        <v>349</v>
      </c>
      <c r="H56" s="54"/>
      <c r="J56" s="218" t="e">
        <f>(J55*J47)+((1-J55)*J51)</f>
        <v>#REF!</v>
      </c>
      <c r="N56" s="19"/>
    </row>
    <row r="57" spans="2:237" ht="15" x14ac:dyDescent="0.25">
      <c r="C57"/>
      <c r="H57" s="54"/>
      <c r="N57" s="19"/>
    </row>
    <row r="58" spans="2:237" ht="15" x14ac:dyDescent="0.25">
      <c r="B58" s="21" t="s">
        <v>26</v>
      </c>
      <c r="C58"/>
      <c r="H58" s="54"/>
      <c r="N58" s="19"/>
    </row>
    <row r="59" spans="2:237" ht="15" x14ac:dyDescent="0.25">
      <c r="C59"/>
      <c r="H59" s="54"/>
      <c r="N59" s="19"/>
    </row>
    <row r="60" spans="2:237" ht="15" x14ac:dyDescent="0.25">
      <c r="C60" t="s">
        <v>350</v>
      </c>
      <c r="H60" s="54" t="s">
        <v>58</v>
      </c>
      <c r="N60" s="19"/>
      <c r="P60">
        <v>365</v>
      </c>
      <c r="Q60">
        <f>P60+365</f>
        <v>730</v>
      </c>
      <c r="R60">
        <f t="shared" ref="R60:CC60" si="7">Q60+365</f>
        <v>1095</v>
      </c>
      <c r="S60">
        <f t="shared" si="7"/>
        <v>1460</v>
      </c>
      <c r="T60">
        <f t="shared" si="7"/>
        <v>1825</v>
      </c>
      <c r="U60">
        <f t="shared" si="7"/>
        <v>2190</v>
      </c>
      <c r="V60">
        <f t="shared" si="7"/>
        <v>2555</v>
      </c>
      <c r="W60">
        <f t="shared" si="7"/>
        <v>2920</v>
      </c>
      <c r="X60">
        <f t="shared" si="7"/>
        <v>3285</v>
      </c>
      <c r="Y60">
        <f t="shared" si="7"/>
        <v>3650</v>
      </c>
      <c r="Z60">
        <f t="shared" si="7"/>
        <v>4015</v>
      </c>
      <c r="AA60">
        <f t="shared" si="7"/>
        <v>4380</v>
      </c>
      <c r="AB60">
        <f t="shared" si="7"/>
        <v>4745</v>
      </c>
      <c r="AC60">
        <f t="shared" si="7"/>
        <v>5110</v>
      </c>
      <c r="AD60">
        <f t="shared" si="7"/>
        <v>5475</v>
      </c>
      <c r="AE60">
        <f t="shared" si="7"/>
        <v>5840</v>
      </c>
      <c r="AF60">
        <f t="shared" si="7"/>
        <v>6205</v>
      </c>
      <c r="AG60">
        <f t="shared" si="7"/>
        <v>6570</v>
      </c>
      <c r="AH60">
        <f t="shared" si="7"/>
        <v>6935</v>
      </c>
      <c r="AI60">
        <f t="shared" si="7"/>
        <v>7300</v>
      </c>
      <c r="AJ60">
        <f t="shared" si="7"/>
        <v>7665</v>
      </c>
      <c r="AK60">
        <f t="shared" si="7"/>
        <v>8030</v>
      </c>
      <c r="AL60">
        <f t="shared" si="7"/>
        <v>8395</v>
      </c>
      <c r="AM60">
        <f t="shared" si="7"/>
        <v>8760</v>
      </c>
      <c r="AN60">
        <f t="shared" si="7"/>
        <v>9125</v>
      </c>
      <c r="AO60">
        <f t="shared" si="7"/>
        <v>9490</v>
      </c>
      <c r="AP60">
        <f t="shared" si="7"/>
        <v>9855</v>
      </c>
      <c r="AQ60">
        <f t="shared" si="7"/>
        <v>10220</v>
      </c>
      <c r="AR60">
        <f t="shared" si="7"/>
        <v>10585</v>
      </c>
      <c r="AS60">
        <f t="shared" si="7"/>
        <v>10950</v>
      </c>
      <c r="AT60">
        <f t="shared" si="7"/>
        <v>11315</v>
      </c>
      <c r="AU60">
        <f t="shared" si="7"/>
        <v>11680</v>
      </c>
      <c r="AV60">
        <f t="shared" si="7"/>
        <v>12045</v>
      </c>
      <c r="AW60">
        <f t="shared" si="7"/>
        <v>12410</v>
      </c>
      <c r="AX60">
        <f t="shared" si="7"/>
        <v>12775</v>
      </c>
      <c r="AY60">
        <f t="shared" si="7"/>
        <v>13140</v>
      </c>
      <c r="AZ60">
        <f t="shared" si="7"/>
        <v>13505</v>
      </c>
      <c r="BA60">
        <f t="shared" si="7"/>
        <v>13870</v>
      </c>
      <c r="BB60">
        <f t="shared" si="7"/>
        <v>14235</v>
      </c>
      <c r="BC60">
        <f t="shared" si="7"/>
        <v>14600</v>
      </c>
      <c r="BD60">
        <f t="shared" si="7"/>
        <v>14965</v>
      </c>
      <c r="BE60">
        <f t="shared" si="7"/>
        <v>15330</v>
      </c>
      <c r="BF60">
        <f t="shared" si="7"/>
        <v>15695</v>
      </c>
      <c r="BG60">
        <f t="shared" si="7"/>
        <v>16060</v>
      </c>
      <c r="BH60">
        <f t="shared" si="7"/>
        <v>16425</v>
      </c>
      <c r="BI60">
        <f t="shared" si="7"/>
        <v>16790</v>
      </c>
      <c r="BJ60">
        <f t="shared" si="7"/>
        <v>17155</v>
      </c>
      <c r="BK60">
        <f t="shared" si="7"/>
        <v>17520</v>
      </c>
      <c r="BL60">
        <f t="shared" si="7"/>
        <v>17885</v>
      </c>
      <c r="BM60">
        <f t="shared" si="7"/>
        <v>18250</v>
      </c>
      <c r="BN60">
        <f t="shared" si="7"/>
        <v>18615</v>
      </c>
      <c r="BO60">
        <f t="shared" si="7"/>
        <v>18980</v>
      </c>
      <c r="BP60">
        <f t="shared" si="7"/>
        <v>19345</v>
      </c>
      <c r="BQ60">
        <f t="shared" si="7"/>
        <v>19710</v>
      </c>
      <c r="BR60">
        <f t="shared" si="7"/>
        <v>20075</v>
      </c>
      <c r="BS60">
        <f t="shared" si="7"/>
        <v>20440</v>
      </c>
      <c r="BT60">
        <f t="shared" si="7"/>
        <v>20805</v>
      </c>
      <c r="BU60">
        <f t="shared" si="7"/>
        <v>21170</v>
      </c>
      <c r="BV60">
        <f t="shared" si="7"/>
        <v>21535</v>
      </c>
      <c r="BW60">
        <f t="shared" si="7"/>
        <v>21900</v>
      </c>
      <c r="BX60">
        <f t="shared" si="7"/>
        <v>22265</v>
      </c>
      <c r="BY60">
        <f t="shared" si="7"/>
        <v>22630</v>
      </c>
      <c r="BZ60">
        <f t="shared" si="7"/>
        <v>22995</v>
      </c>
      <c r="CA60">
        <f t="shared" si="7"/>
        <v>23360</v>
      </c>
      <c r="CB60">
        <f t="shared" si="7"/>
        <v>23725</v>
      </c>
      <c r="CC60">
        <f t="shared" si="7"/>
        <v>24090</v>
      </c>
      <c r="CD60">
        <f t="shared" ref="CD60:CQ60" si="8">CC60+365</f>
        <v>24455</v>
      </c>
      <c r="CE60">
        <f t="shared" si="8"/>
        <v>24820</v>
      </c>
      <c r="CF60">
        <f t="shared" si="8"/>
        <v>25185</v>
      </c>
      <c r="CG60">
        <f t="shared" si="8"/>
        <v>25550</v>
      </c>
      <c r="CH60">
        <f t="shared" si="8"/>
        <v>25915</v>
      </c>
      <c r="CI60">
        <f t="shared" si="8"/>
        <v>26280</v>
      </c>
      <c r="CJ60">
        <f t="shared" si="8"/>
        <v>26645</v>
      </c>
      <c r="CK60">
        <f t="shared" si="8"/>
        <v>27010</v>
      </c>
      <c r="CL60">
        <f t="shared" si="8"/>
        <v>27375</v>
      </c>
      <c r="CM60">
        <f t="shared" si="8"/>
        <v>27740</v>
      </c>
      <c r="CN60">
        <f t="shared" si="8"/>
        <v>28105</v>
      </c>
      <c r="CO60">
        <f t="shared" si="8"/>
        <v>28470</v>
      </c>
      <c r="CP60">
        <f t="shared" si="8"/>
        <v>28835</v>
      </c>
      <c r="CQ60">
        <f t="shared" si="8"/>
        <v>29200</v>
      </c>
    </row>
    <row r="61" spans="2:237" ht="15" x14ac:dyDescent="0.25">
      <c r="C61" t="s">
        <v>349</v>
      </c>
      <c r="H61" s="54" t="s">
        <v>6</v>
      </c>
      <c r="N61" s="19"/>
      <c r="P61" s="82" t="e">
        <f>$J56</f>
        <v>#REF!</v>
      </c>
      <c r="Q61" s="82" t="e">
        <f t="shared" ref="Q61:CB61" si="9">$J56</f>
        <v>#REF!</v>
      </c>
      <c r="R61" s="82" t="e">
        <f t="shared" si="9"/>
        <v>#REF!</v>
      </c>
      <c r="S61" s="82" t="e">
        <f t="shared" si="9"/>
        <v>#REF!</v>
      </c>
      <c r="T61" s="82" t="e">
        <f t="shared" si="9"/>
        <v>#REF!</v>
      </c>
      <c r="U61" s="82" t="e">
        <f t="shared" si="9"/>
        <v>#REF!</v>
      </c>
      <c r="V61" s="82" t="e">
        <f t="shared" si="9"/>
        <v>#REF!</v>
      </c>
      <c r="W61" s="82" t="e">
        <f t="shared" si="9"/>
        <v>#REF!</v>
      </c>
      <c r="X61" s="82" t="e">
        <f t="shared" si="9"/>
        <v>#REF!</v>
      </c>
      <c r="Y61" s="82" t="e">
        <f t="shared" si="9"/>
        <v>#REF!</v>
      </c>
      <c r="Z61" s="82" t="e">
        <f t="shared" si="9"/>
        <v>#REF!</v>
      </c>
      <c r="AA61" s="82" t="e">
        <f t="shared" si="9"/>
        <v>#REF!</v>
      </c>
      <c r="AB61" s="82" t="e">
        <f t="shared" si="9"/>
        <v>#REF!</v>
      </c>
      <c r="AC61" s="82" t="e">
        <f t="shared" si="9"/>
        <v>#REF!</v>
      </c>
      <c r="AD61" s="82" t="e">
        <f t="shared" si="9"/>
        <v>#REF!</v>
      </c>
      <c r="AE61" s="82" t="e">
        <f t="shared" si="9"/>
        <v>#REF!</v>
      </c>
      <c r="AF61" s="82" t="e">
        <f t="shared" si="9"/>
        <v>#REF!</v>
      </c>
      <c r="AG61" s="82" t="e">
        <f t="shared" si="9"/>
        <v>#REF!</v>
      </c>
      <c r="AH61" s="82" t="e">
        <f t="shared" si="9"/>
        <v>#REF!</v>
      </c>
      <c r="AI61" s="82" t="e">
        <f t="shared" si="9"/>
        <v>#REF!</v>
      </c>
      <c r="AJ61" s="82" t="e">
        <f t="shared" si="9"/>
        <v>#REF!</v>
      </c>
      <c r="AK61" s="82" t="e">
        <f t="shared" si="9"/>
        <v>#REF!</v>
      </c>
      <c r="AL61" s="82" t="e">
        <f t="shared" si="9"/>
        <v>#REF!</v>
      </c>
      <c r="AM61" s="82" t="e">
        <f t="shared" si="9"/>
        <v>#REF!</v>
      </c>
      <c r="AN61" s="82" t="e">
        <f t="shared" si="9"/>
        <v>#REF!</v>
      </c>
      <c r="AO61" s="82" t="e">
        <f t="shared" si="9"/>
        <v>#REF!</v>
      </c>
      <c r="AP61" s="82" t="e">
        <f t="shared" si="9"/>
        <v>#REF!</v>
      </c>
      <c r="AQ61" s="82" t="e">
        <f t="shared" si="9"/>
        <v>#REF!</v>
      </c>
      <c r="AR61" s="82" t="e">
        <f t="shared" si="9"/>
        <v>#REF!</v>
      </c>
      <c r="AS61" s="82" t="e">
        <f t="shared" si="9"/>
        <v>#REF!</v>
      </c>
      <c r="AT61" s="82" t="e">
        <f t="shared" si="9"/>
        <v>#REF!</v>
      </c>
      <c r="AU61" s="82" t="e">
        <f t="shared" si="9"/>
        <v>#REF!</v>
      </c>
      <c r="AV61" s="82" t="e">
        <f t="shared" si="9"/>
        <v>#REF!</v>
      </c>
      <c r="AW61" s="82" t="e">
        <f t="shared" si="9"/>
        <v>#REF!</v>
      </c>
      <c r="AX61" s="82" t="e">
        <f t="shared" si="9"/>
        <v>#REF!</v>
      </c>
      <c r="AY61" s="82" t="e">
        <f t="shared" si="9"/>
        <v>#REF!</v>
      </c>
      <c r="AZ61" s="82" t="e">
        <f t="shared" si="9"/>
        <v>#REF!</v>
      </c>
      <c r="BA61" s="82" t="e">
        <f t="shared" si="9"/>
        <v>#REF!</v>
      </c>
      <c r="BB61" s="82" t="e">
        <f t="shared" si="9"/>
        <v>#REF!</v>
      </c>
      <c r="BC61" s="82" t="e">
        <f t="shared" si="9"/>
        <v>#REF!</v>
      </c>
      <c r="BD61" s="82" t="e">
        <f t="shared" si="9"/>
        <v>#REF!</v>
      </c>
      <c r="BE61" s="82" t="e">
        <f t="shared" si="9"/>
        <v>#REF!</v>
      </c>
      <c r="BF61" s="82" t="e">
        <f t="shared" si="9"/>
        <v>#REF!</v>
      </c>
      <c r="BG61" s="82" t="e">
        <f t="shared" si="9"/>
        <v>#REF!</v>
      </c>
      <c r="BH61" s="82" t="e">
        <f t="shared" si="9"/>
        <v>#REF!</v>
      </c>
      <c r="BI61" s="82" t="e">
        <f t="shared" si="9"/>
        <v>#REF!</v>
      </c>
      <c r="BJ61" s="82" t="e">
        <f t="shared" si="9"/>
        <v>#REF!</v>
      </c>
      <c r="BK61" s="82" t="e">
        <f t="shared" si="9"/>
        <v>#REF!</v>
      </c>
      <c r="BL61" s="82" t="e">
        <f t="shared" si="9"/>
        <v>#REF!</v>
      </c>
      <c r="BM61" s="82" t="e">
        <f t="shared" si="9"/>
        <v>#REF!</v>
      </c>
      <c r="BN61" s="82" t="e">
        <f t="shared" si="9"/>
        <v>#REF!</v>
      </c>
      <c r="BO61" s="82" t="e">
        <f t="shared" si="9"/>
        <v>#REF!</v>
      </c>
      <c r="BP61" s="82" t="e">
        <f t="shared" si="9"/>
        <v>#REF!</v>
      </c>
      <c r="BQ61" s="82" t="e">
        <f t="shared" si="9"/>
        <v>#REF!</v>
      </c>
      <c r="BR61" s="82" t="e">
        <f t="shared" si="9"/>
        <v>#REF!</v>
      </c>
      <c r="BS61" s="82" t="e">
        <f t="shared" si="9"/>
        <v>#REF!</v>
      </c>
      <c r="BT61" s="82" t="e">
        <f t="shared" si="9"/>
        <v>#REF!</v>
      </c>
      <c r="BU61" s="82" t="e">
        <f t="shared" si="9"/>
        <v>#REF!</v>
      </c>
      <c r="BV61" s="82" t="e">
        <f t="shared" si="9"/>
        <v>#REF!</v>
      </c>
      <c r="BW61" s="82" t="e">
        <f t="shared" si="9"/>
        <v>#REF!</v>
      </c>
      <c r="BX61" s="82" t="e">
        <f t="shared" si="9"/>
        <v>#REF!</v>
      </c>
      <c r="BY61" s="82" t="e">
        <f t="shared" si="9"/>
        <v>#REF!</v>
      </c>
      <c r="BZ61" s="82" t="e">
        <f t="shared" si="9"/>
        <v>#REF!</v>
      </c>
      <c r="CA61" s="82" t="e">
        <f t="shared" si="9"/>
        <v>#REF!</v>
      </c>
      <c r="CB61" s="82" t="e">
        <f t="shared" si="9"/>
        <v>#REF!</v>
      </c>
      <c r="CC61" s="82" t="e">
        <f t="shared" ref="CC61:CQ61" si="10">$J56</f>
        <v>#REF!</v>
      </c>
      <c r="CD61" s="82" t="e">
        <f t="shared" si="10"/>
        <v>#REF!</v>
      </c>
      <c r="CE61" s="82" t="e">
        <f t="shared" si="10"/>
        <v>#REF!</v>
      </c>
      <c r="CF61" s="82" t="e">
        <f t="shared" si="10"/>
        <v>#REF!</v>
      </c>
      <c r="CG61" s="82" t="e">
        <f t="shared" si="10"/>
        <v>#REF!</v>
      </c>
      <c r="CH61" s="82" t="e">
        <f t="shared" si="10"/>
        <v>#REF!</v>
      </c>
      <c r="CI61" s="82" t="e">
        <f t="shared" si="10"/>
        <v>#REF!</v>
      </c>
      <c r="CJ61" s="82" t="e">
        <f t="shared" si="10"/>
        <v>#REF!</v>
      </c>
      <c r="CK61" s="82" t="e">
        <f t="shared" si="10"/>
        <v>#REF!</v>
      </c>
      <c r="CL61" s="82" t="e">
        <f t="shared" si="10"/>
        <v>#REF!</v>
      </c>
      <c r="CM61" s="82" t="e">
        <f t="shared" si="10"/>
        <v>#REF!</v>
      </c>
      <c r="CN61" s="82" t="e">
        <f t="shared" si="10"/>
        <v>#REF!</v>
      </c>
      <c r="CO61" s="82" t="e">
        <f t="shared" si="10"/>
        <v>#REF!</v>
      </c>
      <c r="CP61" s="82" t="e">
        <f t="shared" si="10"/>
        <v>#REF!</v>
      </c>
      <c r="CQ61" s="82" t="e">
        <f t="shared" si="10"/>
        <v>#REF!</v>
      </c>
    </row>
    <row r="62" spans="2:237" ht="15" x14ac:dyDescent="0.25">
      <c r="C62" t="s">
        <v>222</v>
      </c>
      <c r="H62" s="54" t="s">
        <v>50</v>
      </c>
      <c r="N62" s="19"/>
      <c r="P62" s="219" t="e">
        <f>(1+P61)^(-P60/365)</f>
        <v>#REF!</v>
      </c>
      <c r="Q62" s="219" t="e">
        <f t="shared" ref="Q62:CB62" si="11">(1+Q61)^(-Q60/365)</f>
        <v>#REF!</v>
      </c>
      <c r="R62" s="219" t="e">
        <f t="shared" si="11"/>
        <v>#REF!</v>
      </c>
      <c r="S62" s="219" t="e">
        <f t="shared" si="11"/>
        <v>#REF!</v>
      </c>
      <c r="T62" s="219" t="e">
        <f t="shared" si="11"/>
        <v>#REF!</v>
      </c>
      <c r="U62" s="219" t="e">
        <f t="shared" si="11"/>
        <v>#REF!</v>
      </c>
      <c r="V62" s="219" t="e">
        <f t="shared" si="11"/>
        <v>#REF!</v>
      </c>
      <c r="W62" s="219" t="e">
        <f t="shared" si="11"/>
        <v>#REF!</v>
      </c>
      <c r="X62" s="219" t="e">
        <f t="shared" si="11"/>
        <v>#REF!</v>
      </c>
      <c r="Y62" s="219" t="e">
        <f t="shared" si="11"/>
        <v>#REF!</v>
      </c>
      <c r="Z62" s="219" t="e">
        <f t="shared" si="11"/>
        <v>#REF!</v>
      </c>
      <c r="AA62" s="219" t="e">
        <f t="shared" si="11"/>
        <v>#REF!</v>
      </c>
      <c r="AB62" s="219" t="e">
        <f t="shared" si="11"/>
        <v>#REF!</v>
      </c>
      <c r="AC62" s="219" t="e">
        <f t="shared" si="11"/>
        <v>#REF!</v>
      </c>
      <c r="AD62" s="219" t="e">
        <f t="shared" si="11"/>
        <v>#REF!</v>
      </c>
      <c r="AE62" s="219" t="e">
        <f t="shared" si="11"/>
        <v>#REF!</v>
      </c>
      <c r="AF62" s="219" t="e">
        <f t="shared" si="11"/>
        <v>#REF!</v>
      </c>
      <c r="AG62" s="219" t="e">
        <f t="shared" si="11"/>
        <v>#REF!</v>
      </c>
      <c r="AH62" s="219" t="e">
        <f t="shared" si="11"/>
        <v>#REF!</v>
      </c>
      <c r="AI62" s="219" t="e">
        <f t="shared" si="11"/>
        <v>#REF!</v>
      </c>
      <c r="AJ62" s="219" t="e">
        <f t="shared" si="11"/>
        <v>#REF!</v>
      </c>
      <c r="AK62" s="219" t="e">
        <f t="shared" si="11"/>
        <v>#REF!</v>
      </c>
      <c r="AL62" s="219" t="e">
        <f t="shared" si="11"/>
        <v>#REF!</v>
      </c>
      <c r="AM62" s="219" t="e">
        <f t="shared" si="11"/>
        <v>#REF!</v>
      </c>
      <c r="AN62" s="219" t="e">
        <f t="shared" si="11"/>
        <v>#REF!</v>
      </c>
      <c r="AO62" s="219" t="e">
        <f t="shared" si="11"/>
        <v>#REF!</v>
      </c>
      <c r="AP62" s="219" t="e">
        <f t="shared" si="11"/>
        <v>#REF!</v>
      </c>
      <c r="AQ62" s="219" t="e">
        <f t="shared" si="11"/>
        <v>#REF!</v>
      </c>
      <c r="AR62" s="219" t="e">
        <f t="shared" si="11"/>
        <v>#REF!</v>
      </c>
      <c r="AS62" s="219" t="e">
        <f t="shared" si="11"/>
        <v>#REF!</v>
      </c>
      <c r="AT62" s="219" t="e">
        <f t="shared" si="11"/>
        <v>#REF!</v>
      </c>
      <c r="AU62" s="219" t="e">
        <f t="shared" si="11"/>
        <v>#REF!</v>
      </c>
      <c r="AV62" s="219" t="e">
        <f t="shared" si="11"/>
        <v>#REF!</v>
      </c>
      <c r="AW62" s="219" t="e">
        <f t="shared" si="11"/>
        <v>#REF!</v>
      </c>
      <c r="AX62" s="219" t="e">
        <f t="shared" si="11"/>
        <v>#REF!</v>
      </c>
      <c r="AY62" s="219" t="e">
        <f t="shared" si="11"/>
        <v>#REF!</v>
      </c>
      <c r="AZ62" s="219" t="e">
        <f t="shared" si="11"/>
        <v>#REF!</v>
      </c>
      <c r="BA62" s="219" t="e">
        <f t="shared" si="11"/>
        <v>#REF!</v>
      </c>
      <c r="BB62" s="219" t="e">
        <f t="shared" si="11"/>
        <v>#REF!</v>
      </c>
      <c r="BC62" s="219" t="e">
        <f t="shared" si="11"/>
        <v>#REF!</v>
      </c>
      <c r="BD62" s="219" t="e">
        <f t="shared" si="11"/>
        <v>#REF!</v>
      </c>
      <c r="BE62" s="219" t="e">
        <f t="shared" si="11"/>
        <v>#REF!</v>
      </c>
      <c r="BF62" s="219" t="e">
        <f t="shared" si="11"/>
        <v>#REF!</v>
      </c>
      <c r="BG62" s="219" t="e">
        <f t="shared" si="11"/>
        <v>#REF!</v>
      </c>
      <c r="BH62" s="219" t="e">
        <f t="shared" si="11"/>
        <v>#REF!</v>
      </c>
      <c r="BI62" s="219" t="e">
        <f t="shared" si="11"/>
        <v>#REF!</v>
      </c>
      <c r="BJ62" s="219" t="e">
        <f t="shared" si="11"/>
        <v>#REF!</v>
      </c>
      <c r="BK62" s="219" t="e">
        <f t="shared" si="11"/>
        <v>#REF!</v>
      </c>
      <c r="BL62" s="219" t="e">
        <f t="shared" si="11"/>
        <v>#REF!</v>
      </c>
      <c r="BM62" s="219" t="e">
        <f t="shared" si="11"/>
        <v>#REF!</v>
      </c>
      <c r="BN62" s="219" t="e">
        <f t="shared" si="11"/>
        <v>#REF!</v>
      </c>
      <c r="BO62" s="219" t="e">
        <f t="shared" si="11"/>
        <v>#REF!</v>
      </c>
      <c r="BP62" s="219" t="e">
        <f t="shared" si="11"/>
        <v>#REF!</v>
      </c>
      <c r="BQ62" s="219" t="e">
        <f t="shared" si="11"/>
        <v>#REF!</v>
      </c>
      <c r="BR62" s="219" t="e">
        <f t="shared" si="11"/>
        <v>#REF!</v>
      </c>
      <c r="BS62" s="219" t="e">
        <f t="shared" si="11"/>
        <v>#REF!</v>
      </c>
      <c r="BT62" s="219" t="e">
        <f t="shared" si="11"/>
        <v>#REF!</v>
      </c>
      <c r="BU62" s="219" t="e">
        <f t="shared" si="11"/>
        <v>#REF!</v>
      </c>
      <c r="BV62" s="219" t="e">
        <f t="shared" si="11"/>
        <v>#REF!</v>
      </c>
      <c r="BW62" s="219" t="e">
        <f t="shared" si="11"/>
        <v>#REF!</v>
      </c>
      <c r="BX62" s="219" t="e">
        <f t="shared" si="11"/>
        <v>#REF!</v>
      </c>
      <c r="BY62" s="219" t="e">
        <f t="shared" si="11"/>
        <v>#REF!</v>
      </c>
      <c r="BZ62" s="219" t="e">
        <f t="shared" si="11"/>
        <v>#REF!</v>
      </c>
      <c r="CA62" s="219" t="e">
        <f t="shared" si="11"/>
        <v>#REF!</v>
      </c>
      <c r="CB62" s="219" t="e">
        <f t="shared" si="11"/>
        <v>#REF!</v>
      </c>
      <c r="CC62" s="219" t="e">
        <f t="shared" ref="CC62:EN62" si="12">(1+CC61)^(-CC60/365)</f>
        <v>#REF!</v>
      </c>
      <c r="CD62" s="219" t="e">
        <f t="shared" si="12"/>
        <v>#REF!</v>
      </c>
      <c r="CE62" s="219" t="e">
        <f t="shared" si="12"/>
        <v>#REF!</v>
      </c>
      <c r="CF62" s="219" t="e">
        <f t="shared" si="12"/>
        <v>#REF!</v>
      </c>
      <c r="CG62" s="219" t="e">
        <f t="shared" si="12"/>
        <v>#REF!</v>
      </c>
      <c r="CH62" s="219" t="e">
        <f t="shared" si="12"/>
        <v>#REF!</v>
      </c>
      <c r="CI62" s="219" t="e">
        <f t="shared" si="12"/>
        <v>#REF!</v>
      </c>
      <c r="CJ62" s="219" t="e">
        <f t="shared" si="12"/>
        <v>#REF!</v>
      </c>
      <c r="CK62" s="219" t="e">
        <f t="shared" si="12"/>
        <v>#REF!</v>
      </c>
      <c r="CL62" s="219" t="e">
        <f t="shared" si="12"/>
        <v>#REF!</v>
      </c>
      <c r="CM62" s="219" t="e">
        <f t="shared" si="12"/>
        <v>#REF!</v>
      </c>
      <c r="CN62" s="219" t="e">
        <f t="shared" si="12"/>
        <v>#REF!</v>
      </c>
      <c r="CO62" s="219" t="e">
        <f t="shared" si="12"/>
        <v>#REF!</v>
      </c>
      <c r="CP62" s="219" t="e">
        <f t="shared" si="12"/>
        <v>#REF!</v>
      </c>
      <c r="CQ62" s="219" t="e">
        <f t="shared" si="12"/>
        <v>#REF!</v>
      </c>
      <c r="CR62" s="219">
        <f t="shared" si="12"/>
        <v>1</v>
      </c>
      <c r="CS62" s="219">
        <f t="shared" si="12"/>
        <v>1</v>
      </c>
      <c r="CT62" s="219">
        <f t="shared" si="12"/>
        <v>1</v>
      </c>
      <c r="CU62" s="219">
        <f t="shared" si="12"/>
        <v>1</v>
      </c>
      <c r="CV62" s="219">
        <f t="shared" si="12"/>
        <v>1</v>
      </c>
      <c r="CW62" s="219">
        <f t="shared" si="12"/>
        <v>1</v>
      </c>
      <c r="CX62" s="219">
        <f t="shared" si="12"/>
        <v>1</v>
      </c>
      <c r="CY62" s="219">
        <f t="shared" si="12"/>
        <v>1</v>
      </c>
      <c r="CZ62" s="219">
        <f t="shared" si="12"/>
        <v>1</v>
      </c>
      <c r="DA62" s="219">
        <f t="shared" si="12"/>
        <v>1</v>
      </c>
      <c r="DB62" s="219">
        <f t="shared" si="12"/>
        <v>1</v>
      </c>
      <c r="DC62" s="219">
        <f t="shared" si="12"/>
        <v>1</v>
      </c>
      <c r="DD62" s="219">
        <f t="shared" si="12"/>
        <v>1</v>
      </c>
      <c r="DE62" s="219">
        <f t="shared" si="12"/>
        <v>1</v>
      </c>
      <c r="DF62" s="219">
        <f t="shared" si="12"/>
        <v>1</v>
      </c>
      <c r="DG62" s="219">
        <f t="shared" si="12"/>
        <v>1</v>
      </c>
      <c r="DH62" s="219">
        <f t="shared" si="12"/>
        <v>1</v>
      </c>
      <c r="DI62" s="219">
        <f t="shared" si="12"/>
        <v>1</v>
      </c>
      <c r="DJ62" s="219">
        <f t="shared" si="12"/>
        <v>1</v>
      </c>
      <c r="DK62" s="219">
        <f t="shared" si="12"/>
        <v>1</v>
      </c>
      <c r="DL62" s="219">
        <f t="shared" si="12"/>
        <v>1</v>
      </c>
      <c r="DM62" s="219">
        <f t="shared" si="12"/>
        <v>1</v>
      </c>
      <c r="DN62" s="219">
        <f t="shared" si="12"/>
        <v>1</v>
      </c>
      <c r="DO62" s="219">
        <f t="shared" si="12"/>
        <v>1</v>
      </c>
      <c r="DP62" s="219">
        <f t="shared" si="12"/>
        <v>1</v>
      </c>
      <c r="DQ62" s="219">
        <f t="shared" si="12"/>
        <v>1</v>
      </c>
      <c r="DR62" s="219">
        <f t="shared" si="12"/>
        <v>1</v>
      </c>
      <c r="DS62" s="219">
        <f t="shared" si="12"/>
        <v>1</v>
      </c>
      <c r="DT62" s="219">
        <f t="shared" si="12"/>
        <v>1</v>
      </c>
      <c r="DU62" s="219">
        <f t="shared" si="12"/>
        <v>1</v>
      </c>
      <c r="DV62" s="219">
        <f t="shared" si="12"/>
        <v>1</v>
      </c>
      <c r="DW62" s="219">
        <f t="shared" si="12"/>
        <v>1</v>
      </c>
      <c r="DX62" s="219">
        <f t="shared" si="12"/>
        <v>1</v>
      </c>
      <c r="DY62" s="219">
        <f t="shared" si="12"/>
        <v>1</v>
      </c>
      <c r="DZ62" s="219">
        <f t="shared" si="12"/>
        <v>1</v>
      </c>
      <c r="EA62" s="219">
        <f t="shared" si="12"/>
        <v>1</v>
      </c>
      <c r="EB62" s="219">
        <f t="shared" si="12"/>
        <v>1</v>
      </c>
      <c r="EC62" s="219">
        <f t="shared" si="12"/>
        <v>1</v>
      </c>
      <c r="ED62" s="219">
        <f t="shared" si="12"/>
        <v>1</v>
      </c>
      <c r="EE62" s="219">
        <f t="shared" si="12"/>
        <v>1</v>
      </c>
      <c r="EF62" s="219">
        <f t="shared" si="12"/>
        <v>1</v>
      </c>
      <c r="EG62" s="219">
        <f t="shared" si="12"/>
        <v>1</v>
      </c>
      <c r="EH62" s="219">
        <f t="shared" si="12"/>
        <v>1</v>
      </c>
      <c r="EI62" s="219">
        <f t="shared" si="12"/>
        <v>1</v>
      </c>
      <c r="EJ62" s="219">
        <f t="shared" si="12"/>
        <v>1</v>
      </c>
      <c r="EK62" s="219">
        <f t="shared" si="12"/>
        <v>1</v>
      </c>
      <c r="EL62" s="219">
        <f t="shared" si="12"/>
        <v>1</v>
      </c>
      <c r="EM62" s="219">
        <f t="shared" si="12"/>
        <v>1</v>
      </c>
      <c r="EN62" s="219">
        <f t="shared" si="12"/>
        <v>1</v>
      </c>
      <c r="EO62" s="219">
        <f t="shared" ref="EO62:GZ62" si="13">(1+EO61)^(-EO60/365)</f>
        <v>1</v>
      </c>
      <c r="EP62" s="219">
        <f t="shared" si="13"/>
        <v>1</v>
      </c>
      <c r="EQ62" s="219">
        <f t="shared" si="13"/>
        <v>1</v>
      </c>
      <c r="ER62" s="219">
        <f t="shared" si="13"/>
        <v>1</v>
      </c>
      <c r="ES62" s="219">
        <f t="shared" si="13"/>
        <v>1</v>
      </c>
      <c r="ET62" s="219">
        <f t="shared" si="13"/>
        <v>1</v>
      </c>
      <c r="EU62" s="219">
        <f t="shared" si="13"/>
        <v>1</v>
      </c>
      <c r="EV62" s="219">
        <f t="shared" si="13"/>
        <v>1</v>
      </c>
      <c r="EW62" s="219">
        <f t="shared" si="13"/>
        <v>1</v>
      </c>
      <c r="EX62" s="219">
        <f t="shared" si="13"/>
        <v>1</v>
      </c>
      <c r="EY62" s="219">
        <f t="shared" si="13"/>
        <v>1</v>
      </c>
      <c r="EZ62" s="219">
        <f t="shared" si="13"/>
        <v>1</v>
      </c>
      <c r="FA62" s="219">
        <f t="shared" si="13"/>
        <v>1</v>
      </c>
      <c r="FB62" s="219">
        <f t="shared" si="13"/>
        <v>1</v>
      </c>
      <c r="FC62" s="219">
        <f t="shared" si="13"/>
        <v>1</v>
      </c>
      <c r="FD62" s="219">
        <f t="shared" si="13"/>
        <v>1</v>
      </c>
      <c r="FE62" s="219">
        <f t="shared" si="13"/>
        <v>1</v>
      </c>
      <c r="FF62" s="219">
        <f t="shared" si="13"/>
        <v>1</v>
      </c>
      <c r="FG62" s="219">
        <f t="shared" si="13"/>
        <v>1</v>
      </c>
      <c r="FH62" s="219">
        <f t="shared" si="13"/>
        <v>1</v>
      </c>
      <c r="FI62" s="219">
        <f t="shared" si="13"/>
        <v>1</v>
      </c>
      <c r="FJ62" s="219">
        <f t="shared" si="13"/>
        <v>1</v>
      </c>
      <c r="FK62" s="219">
        <f t="shared" si="13"/>
        <v>1</v>
      </c>
      <c r="FL62" s="219">
        <f t="shared" si="13"/>
        <v>1</v>
      </c>
      <c r="FM62" s="219">
        <f t="shared" si="13"/>
        <v>1</v>
      </c>
      <c r="FN62" s="219">
        <f t="shared" si="13"/>
        <v>1</v>
      </c>
      <c r="FO62" s="219">
        <f t="shared" si="13"/>
        <v>1</v>
      </c>
      <c r="FP62" s="219">
        <f t="shared" si="13"/>
        <v>1</v>
      </c>
      <c r="FQ62" s="219">
        <f t="shared" si="13"/>
        <v>1</v>
      </c>
      <c r="FR62" s="219">
        <f t="shared" si="13"/>
        <v>1</v>
      </c>
      <c r="FS62" s="219">
        <f t="shared" si="13"/>
        <v>1</v>
      </c>
      <c r="FT62" s="219">
        <f t="shared" si="13"/>
        <v>1</v>
      </c>
      <c r="FU62" s="219">
        <f t="shared" si="13"/>
        <v>1</v>
      </c>
      <c r="FV62" s="219">
        <f t="shared" si="13"/>
        <v>1</v>
      </c>
      <c r="FW62" s="219">
        <f t="shared" si="13"/>
        <v>1</v>
      </c>
      <c r="FX62" s="219">
        <f t="shared" si="13"/>
        <v>1</v>
      </c>
      <c r="FY62" s="219">
        <f t="shared" si="13"/>
        <v>1</v>
      </c>
      <c r="FZ62" s="219">
        <f t="shared" si="13"/>
        <v>1</v>
      </c>
      <c r="GA62" s="219">
        <f t="shared" si="13"/>
        <v>1</v>
      </c>
      <c r="GB62" s="219">
        <f t="shared" si="13"/>
        <v>1</v>
      </c>
      <c r="GC62" s="219">
        <f t="shared" si="13"/>
        <v>1</v>
      </c>
      <c r="GD62" s="219">
        <f t="shared" si="13"/>
        <v>1</v>
      </c>
      <c r="GE62" s="219">
        <f t="shared" si="13"/>
        <v>1</v>
      </c>
      <c r="GF62" s="219">
        <f t="shared" si="13"/>
        <v>1</v>
      </c>
      <c r="GG62" s="219">
        <f t="shared" si="13"/>
        <v>1</v>
      </c>
      <c r="GH62" s="219">
        <f t="shared" si="13"/>
        <v>1</v>
      </c>
      <c r="GI62" s="219">
        <f t="shared" si="13"/>
        <v>1</v>
      </c>
      <c r="GJ62" s="219">
        <f t="shared" si="13"/>
        <v>1</v>
      </c>
      <c r="GK62" s="219">
        <f t="shared" si="13"/>
        <v>1</v>
      </c>
      <c r="GL62" s="219">
        <f t="shared" si="13"/>
        <v>1</v>
      </c>
      <c r="GM62" s="219">
        <f t="shared" si="13"/>
        <v>1</v>
      </c>
      <c r="GN62" s="219">
        <f t="shared" si="13"/>
        <v>1</v>
      </c>
      <c r="GO62" s="219">
        <f t="shared" si="13"/>
        <v>1</v>
      </c>
      <c r="GP62" s="219">
        <f t="shared" si="13"/>
        <v>1</v>
      </c>
      <c r="GQ62" s="219">
        <f t="shared" si="13"/>
        <v>1</v>
      </c>
      <c r="GR62" s="219">
        <f t="shared" si="13"/>
        <v>1</v>
      </c>
      <c r="GS62" s="219">
        <f t="shared" si="13"/>
        <v>1</v>
      </c>
      <c r="GT62" s="219">
        <f t="shared" si="13"/>
        <v>1</v>
      </c>
      <c r="GU62" s="219">
        <f t="shared" si="13"/>
        <v>1</v>
      </c>
      <c r="GV62" s="219">
        <f t="shared" si="13"/>
        <v>1</v>
      </c>
      <c r="GW62" s="219">
        <f t="shared" si="13"/>
        <v>1</v>
      </c>
      <c r="GX62" s="219">
        <f t="shared" si="13"/>
        <v>1</v>
      </c>
      <c r="GY62" s="219">
        <f t="shared" si="13"/>
        <v>1</v>
      </c>
      <c r="GZ62" s="219">
        <f t="shared" si="13"/>
        <v>1</v>
      </c>
      <c r="HA62" s="219">
        <f t="shared" ref="HA62:IC62" si="14">(1+HA61)^(-HA60/365)</f>
        <v>1</v>
      </c>
      <c r="HB62" s="219">
        <f t="shared" si="14"/>
        <v>1</v>
      </c>
      <c r="HC62" s="219">
        <f t="shared" si="14"/>
        <v>1</v>
      </c>
      <c r="HD62" s="219">
        <f t="shared" si="14"/>
        <v>1</v>
      </c>
      <c r="HE62" s="219">
        <f t="shared" si="14"/>
        <v>1</v>
      </c>
      <c r="HF62" s="219">
        <f t="shared" si="14"/>
        <v>1</v>
      </c>
      <c r="HG62" s="219">
        <f t="shared" si="14"/>
        <v>1</v>
      </c>
      <c r="HH62" s="219">
        <f t="shared" si="14"/>
        <v>1</v>
      </c>
      <c r="HI62" s="219">
        <f t="shared" si="14"/>
        <v>1</v>
      </c>
      <c r="HJ62" s="219">
        <f t="shared" si="14"/>
        <v>1</v>
      </c>
      <c r="HK62" s="219">
        <f t="shared" si="14"/>
        <v>1</v>
      </c>
      <c r="HL62" s="219">
        <f t="shared" si="14"/>
        <v>1</v>
      </c>
      <c r="HM62" s="219">
        <f t="shared" si="14"/>
        <v>1</v>
      </c>
      <c r="HN62" s="219">
        <f t="shared" si="14"/>
        <v>1</v>
      </c>
      <c r="HO62" s="219">
        <f t="shared" si="14"/>
        <v>1</v>
      </c>
      <c r="HP62" s="219">
        <f t="shared" si="14"/>
        <v>1</v>
      </c>
      <c r="HQ62" s="219">
        <f t="shared" si="14"/>
        <v>1</v>
      </c>
      <c r="HR62" s="219">
        <f t="shared" si="14"/>
        <v>1</v>
      </c>
      <c r="HS62" s="219">
        <f t="shared" si="14"/>
        <v>1</v>
      </c>
      <c r="HT62" s="219">
        <f t="shared" si="14"/>
        <v>1</v>
      </c>
      <c r="HU62" s="219">
        <f t="shared" si="14"/>
        <v>1</v>
      </c>
      <c r="HV62" s="219">
        <f t="shared" si="14"/>
        <v>1</v>
      </c>
      <c r="HW62" s="219">
        <f t="shared" si="14"/>
        <v>1</v>
      </c>
      <c r="HX62" s="219">
        <f t="shared" si="14"/>
        <v>1</v>
      </c>
      <c r="HY62" s="219">
        <f t="shared" si="14"/>
        <v>1</v>
      </c>
      <c r="HZ62" s="219">
        <f t="shared" si="14"/>
        <v>1</v>
      </c>
      <c r="IA62" s="219">
        <f t="shared" si="14"/>
        <v>1</v>
      </c>
      <c r="IB62" s="219">
        <f t="shared" si="14"/>
        <v>1</v>
      </c>
      <c r="IC62" s="219">
        <f t="shared" si="14"/>
        <v>1</v>
      </c>
    </row>
    <row r="63" spans="2:237" ht="15" x14ac:dyDescent="0.25">
      <c r="C63"/>
      <c r="H63" s="54"/>
      <c r="N63" s="19"/>
    </row>
    <row r="64" spans="2:237" ht="15" x14ac:dyDescent="0.25">
      <c r="C64" t="s">
        <v>351</v>
      </c>
      <c r="H64" s="54" t="s">
        <v>3</v>
      </c>
      <c r="J64" s="47"/>
      <c r="N64" s="19"/>
      <c r="P64" s="47" t="e">
        <f t="shared" ref="P64:AU64" si="15">P19</f>
        <v>#REF!</v>
      </c>
      <c r="Q64" s="47" t="e">
        <f t="shared" si="15"/>
        <v>#REF!</v>
      </c>
      <c r="R64" s="47" t="e">
        <f t="shared" si="15"/>
        <v>#REF!</v>
      </c>
      <c r="S64" s="47" t="e">
        <f t="shared" si="15"/>
        <v>#REF!</v>
      </c>
      <c r="T64" s="47" t="e">
        <f t="shared" si="15"/>
        <v>#REF!</v>
      </c>
      <c r="U64" s="47" t="e">
        <f t="shared" si="15"/>
        <v>#REF!</v>
      </c>
      <c r="V64" s="47" t="e">
        <f t="shared" si="15"/>
        <v>#REF!</v>
      </c>
      <c r="W64" s="47" t="e">
        <f t="shared" si="15"/>
        <v>#REF!</v>
      </c>
      <c r="X64" s="47" t="e">
        <f t="shared" si="15"/>
        <v>#REF!</v>
      </c>
      <c r="Y64" s="47" t="e">
        <f t="shared" si="15"/>
        <v>#REF!</v>
      </c>
      <c r="Z64" s="47" t="e">
        <f t="shared" si="15"/>
        <v>#REF!</v>
      </c>
      <c r="AA64" s="47" t="e">
        <f t="shared" si="15"/>
        <v>#REF!</v>
      </c>
      <c r="AB64" s="47" t="e">
        <f t="shared" si="15"/>
        <v>#REF!</v>
      </c>
      <c r="AC64" s="47" t="e">
        <f t="shared" si="15"/>
        <v>#REF!</v>
      </c>
      <c r="AD64" s="47" t="e">
        <f t="shared" si="15"/>
        <v>#REF!</v>
      </c>
      <c r="AE64" s="47" t="e">
        <f t="shared" si="15"/>
        <v>#REF!</v>
      </c>
      <c r="AF64" s="47" t="e">
        <f t="shared" si="15"/>
        <v>#REF!</v>
      </c>
      <c r="AG64" s="47" t="e">
        <f t="shared" si="15"/>
        <v>#REF!</v>
      </c>
      <c r="AH64" s="47" t="e">
        <f t="shared" si="15"/>
        <v>#REF!</v>
      </c>
      <c r="AI64" s="47" t="e">
        <f t="shared" si="15"/>
        <v>#REF!</v>
      </c>
      <c r="AJ64" s="47" t="e">
        <f t="shared" si="15"/>
        <v>#REF!</v>
      </c>
      <c r="AK64" s="47" t="e">
        <f t="shared" si="15"/>
        <v>#REF!</v>
      </c>
      <c r="AL64" s="47" t="e">
        <f t="shared" si="15"/>
        <v>#REF!</v>
      </c>
      <c r="AM64" s="47" t="e">
        <f t="shared" si="15"/>
        <v>#REF!</v>
      </c>
      <c r="AN64" s="47" t="e">
        <f t="shared" si="15"/>
        <v>#REF!</v>
      </c>
      <c r="AO64" s="47" t="e">
        <f t="shared" si="15"/>
        <v>#REF!</v>
      </c>
      <c r="AP64" s="47" t="e">
        <f t="shared" si="15"/>
        <v>#REF!</v>
      </c>
      <c r="AQ64" s="47" t="e">
        <f t="shared" si="15"/>
        <v>#REF!</v>
      </c>
      <c r="AR64" s="47" t="e">
        <f t="shared" si="15"/>
        <v>#REF!</v>
      </c>
      <c r="AS64" s="47" t="e">
        <f t="shared" si="15"/>
        <v>#REF!</v>
      </c>
      <c r="AT64" s="47" t="e">
        <f t="shared" si="15"/>
        <v>#REF!</v>
      </c>
      <c r="AU64" s="47" t="e">
        <f t="shared" si="15"/>
        <v>#REF!</v>
      </c>
      <c r="AV64" s="47" t="e">
        <f t="shared" ref="AV64:CA64" si="16">AV19</f>
        <v>#REF!</v>
      </c>
      <c r="AW64" s="47" t="e">
        <f t="shared" si="16"/>
        <v>#REF!</v>
      </c>
      <c r="AX64" s="47" t="e">
        <f t="shared" si="16"/>
        <v>#REF!</v>
      </c>
      <c r="AY64" s="47" t="e">
        <f t="shared" si="16"/>
        <v>#REF!</v>
      </c>
      <c r="AZ64" s="47" t="e">
        <f t="shared" si="16"/>
        <v>#REF!</v>
      </c>
      <c r="BA64" s="47" t="e">
        <f t="shared" si="16"/>
        <v>#REF!</v>
      </c>
      <c r="BB64" s="47" t="e">
        <f t="shared" si="16"/>
        <v>#REF!</v>
      </c>
      <c r="BC64" s="47" t="e">
        <f t="shared" si="16"/>
        <v>#REF!</v>
      </c>
      <c r="BD64" s="47" t="e">
        <f t="shared" si="16"/>
        <v>#REF!</v>
      </c>
      <c r="BE64" s="47" t="e">
        <f t="shared" si="16"/>
        <v>#REF!</v>
      </c>
      <c r="BF64" s="47" t="e">
        <f t="shared" si="16"/>
        <v>#REF!</v>
      </c>
      <c r="BG64" s="47" t="e">
        <f t="shared" si="16"/>
        <v>#REF!</v>
      </c>
      <c r="BH64" s="47" t="e">
        <f t="shared" si="16"/>
        <v>#REF!</v>
      </c>
      <c r="BI64" s="47" t="e">
        <f t="shared" si="16"/>
        <v>#REF!</v>
      </c>
      <c r="BJ64" s="47" t="e">
        <f t="shared" si="16"/>
        <v>#REF!</v>
      </c>
      <c r="BK64" s="47" t="e">
        <f t="shared" si="16"/>
        <v>#REF!</v>
      </c>
      <c r="BL64" s="47" t="e">
        <f t="shared" si="16"/>
        <v>#REF!</v>
      </c>
      <c r="BM64" s="47" t="e">
        <f t="shared" si="16"/>
        <v>#REF!</v>
      </c>
      <c r="BN64" s="47" t="e">
        <f t="shared" si="16"/>
        <v>#REF!</v>
      </c>
      <c r="BO64" s="47" t="e">
        <f t="shared" si="16"/>
        <v>#REF!</v>
      </c>
      <c r="BP64" s="47" t="e">
        <f t="shared" si="16"/>
        <v>#REF!</v>
      </c>
      <c r="BQ64" s="47" t="e">
        <f t="shared" si="16"/>
        <v>#REF!</v>
      </c>
      <c r="BR64" s="47" t="e">
        <f t="shared" si="16"/>
        <v>#REF!</v>
      </c>
      <c r="BS64" s="47" t="e">
        <f t="shared" si="16"/>
        <v>#REF!</v>
      </c>
      <c r="BT64" s="47" t="e">
        <f t="shared" si="16"/>
        <v>#REF!</v>
      </c>
      <c r="BU64" s="47" t="e">
        <f t="shared" si="16"/>
        <v>#REF!</v>
      </c>
      <c r="BV64" s="47" t="e">
        <f t="shared" si="16"/>
        <v>#REF!</v>
      </c>
      <c r="BW64" s="47" t="e">
        <f t="shared" si="16"/>
        <v>#REF!</v>
      </c>
      <c r="BX64" s="47" t="e">
        <f t="shared" si="16"/>
        <v>#REF!</v>
      </c>
      <c r="BY64" s="47" t="e">
        <f t="shared" si="16"/>
        <v>#REF!</v>
      </c>
      <c r="BZ64" s="47" t="e">
        <f t="shared" si="16"/>
        <v>#REF!</v>
      </c>
      <c r="CA64" s="47" t="e">
        <f t="shared" si="16"/>
        <v>#REF!</v>
      </c>
      <c r="CB64" s="47" t="e">
        <f t="shared" ref="CB64:CQ64" si="17">CB19</f>
        <v>#REF!</v>
      </c>
      <c r="CC64" s="47" t="e">
        <f t="shared" si="17"/>
        <v>#REF!</v>
      </c>
      <c r="CD64" s="47" t="e">
        <f t="shared" si="17"/>
        <v>#REF!</v>
      </c>
      <c r="CE64" s="47" t="e">
        <f t="shared" si="17"/>
        <v>#REF!</v>
      </c>
      <c r="CF64" s="47" t="e">
        <f t="shared" si="17"/>
        <v>#REF!</v>
      </c>
      <c r="CG64" s="47" t="e">
        <f t="shared" si="17"/>
        <v>#REF!</v>
      </c>
      <c r="CH64" s="47" t="e">
        <f t="shared" si="17"/>
        <v>#REF!</v>
      </c>
      <c r="CI64" s="47" t="e">
        <f t="shared" si="17"/>
        <v>#REF!</v>
      </c>
      <c r="CJ64" s="47" t="e">
        <f t="shared" si="17"/>
        <v>#REF!</v>
      </c>
      <c r="CK64" s="47" t="e">
        <f t="shared" si="17"/>
        <v>#REF!</v>
      </c>
      <c r="CL64" s="47" t="e">
        <f t="shared" si="17"/>
        <v>#REF!</v>
      </c>
      <c r="CM64" s="47" t="e">
        <f t="shared" si="17"/>
        <v>#REF!</v>
      </c>
      <c r="CN64" s="47" t="e">
        <f t="shared" si="17"/>
        <v>#REF!</v>
      </c>
      <c r="CO64" s="47" t="e">
        <f t="shared" si="17"/>
        <v>#REF!</v>
      </c>
      <c r="CP64" s="47" t="e">
        <f t="shared" si="17"/>
        <v>#REF!</v>
      </c>
      <c r="CQ64" s="47" t="e">
        <f t="shared" si="17"/>
        <v>#REF!</v>
      </c>
    </row>
    <row r="65" spans="1:95" ht="15" x14ac:dyDescent="0.25">
      <c r="C65" t="s">
        <v>352</v>
      </c>
      <c r="H65" s="54" t="s">
        <v>3</v>
      </c>
      <c r="J65" s="220" t="e">
        <f>SUM(P65:CQ65)</f>
        <v>#REF!</v>
      </c>
      <c r="N65" s="19"/>
      <c r="P65" s="10" t="e">
        <f>P62*P64</f>
        <v>#REF!</v>
      </c>
      <c r="Q65" s="10" t="e">
        <f t="shared" ref="Q65:CB65" si="18">Q62*Q64</f>
        <v>#REF!</v>
      </c>
      <c r="R65" s="10" t="e">
        <f t="shared" si="18"/>
        <v>#REF!</v>
      </c>
      <c r="S65" s="10" t="e">
        <f t="shared" si="18"/>
        <v>#REF!</v>
      </c>
      <c r="T65" s="10" t="e">
        <f t="shared" si="18"/>
        <v>#REF!</v>
      </c>
      <c r="U65" s="10" t="e">
        <f t="shared" si="18"/>
        <v>#REF!</v>
      </c>
      <c r="V65" s="10" t="e">
        <f t="shared" si="18"/>
        <v>#REF!</v>
      </c>
      <c r="W65" s="10" t="e">
        <f t="shared" si="18"/>
        <v>#REF!</v>
      </c>
      <c r="X65" s="10" t="e">
        <f t="shared" si="18"/>
        <v>#REF!</v>
      </c>
      <c r="Y65" s="10" t="e">
        <f t="shared" si="18"/>
        <v>#REF!</v>
      </c>
      <c r="Z65" s="10" t="e">
        <f t="shared" si="18"/>
        <v>#REF!</v>
      </c>
      <c r="AA65" s="10" t="e">
        <f t="shared" si="18"/>
        <v>#REF!</v>
      </c>
      <c r="AB65" s="10" t="e">
        <f t="shared" si="18"/>
        <v>#REF!</v>
      </c>
      <c r="AC65" s="10" t="e">
        <f t="shared" si="18"/>
        <v>#REF!</v>
      </c>
      <c r="AD65" s="10" t="e">
        <f t="shared" si="18"/>
        <v>#REF!</v>
      </c>
      <c r="AE65" s="10" t="e">
        <f t="shared" si="18"/>
        <v>#REF!</v>
      </c>
      <c r="AF65" s="10" t="e">
        <f t="shared" si="18"/>
        <v>#REF!</v>
      </c>
      <c r="AG65" s="10" t="e">
        <f t="shared" si="18"/>
        <v>#REF!</v>
      </c>
      <c r="AH65" s="10" t="e">
        <f t="shared" si="18"/>
        <v>#REF!</v>
      </c>
      <c r="AI65" s="10" t="e">
        <f t="shared" si="18"/>
        <v>#REF!</v>
      </c>
      <c r="AJ65" s="10" t="e">
        <f t="shared" si="18"/>
        <v>#REF!</v>
      </c>
      <c r="AK65" s="10" t="e">
        <f t="shared" si="18"/>
        <v>#REF!</v>
      </c>
      <c r="AL65" s="10" t="e">
        <f t="shared" si="18"/>
        <v>#REF!</v>
      </c>
      <c r="AM65" s="10" t="e">
        <f t="shared" si="18"/>
        <v>#REF!</v>
      </c>
      <c r="AN65" s="10" t="e">
        <f t="shared" si="18"/>
        <v>#REF!</v>
      </c>
      <c r="AO65" s="10" t="e">
        <f t="shared" si="18"/>
        <v>#REF!</v>
      </c>
      <c r="AP65" s="10" t="e">
        <f t="shared" si="18"/>
        <v>#REF!</v>
      </c>
      <c r="AQ65" s="10" t="e">
        <f t="shared" si="18"/>
        <v>#REF!</v>
      </c>
      <c r="AR65" s="10" t="e">
        <f t="shared" si="18"/>
        <v>#REF!</v>
      </c>
      <c r="AS65" s="10" t="e">
        <f t="shared" si="18"/>
        <v>#REF!</v>
      </c>
      <c r="AT65" s="10" t="e">
        <f t="shared" si="18"/>
        <v>#REF!</v>
      </c>
      <c r="AU65" s="10" t="e">
        <f t="shared" si="18"/>
        <v>#REF!</v>
      </c>
      <c r="AV65" s="10" t="e">
        <f t="shared" si="18"/>
        <v>#REF!</v>
      </c>
      <c r="AW65" s="10" t="e">
        <f t="shared" si="18"/>
        <v>#REF!</v>
      </c>
      <c r="AX65" s="10" t="e">
        <f t="shared" si="18"/>
        <v>#REF!</v>
      </c>
      <c r="AY65" s="10" t="e">
        <f t="shared" si="18"/>
        <v>#REF!</v>
      </c>
      <c r="AZ65" s="10" t="e">
        <f t="shared" si="18"/>
        <v>#REF!</v>
      </c>
      <c r="BA65" s="10" t="e">
        <f t="shared" si="18"/>
        <v>#REF!</v>
      </c>
      <c r="BB65" s="10" t="e">
        <f t="shared" si="18"/>
        <v>#REF!</v>
      </c>
      <c r="BC65" s="10" t="e">
        <f t="shared" si="18"/>
        <v>#REF!</v>
      </c>
      <c r="BD65" s="10" t="e">
        <f t="shared" si="18"/>
        <v>#REF!</v>
      </c>
      <c r="BE65" s="10" t="e">
        <f t="shared" si="18"/>
        <v>#REF!</v>
      </c>
      <c r="BF65" s="10" t="e">
        <f t="shared" si="18"/>
        <v>#REF!</v>
      </c>
      <c r="BG65" s="10" t="e">
        <f t="shared" si="18"/>
        <v>#REF!</v>
      </c>
      <c r="BH65" s="10" t="e">
        <f t="shared" si="18"/>
        <v>#REF!</v>
      </c>
      <c r="BI65" s="10" t="e">
        <f t="shared" si="18"/>
        <v>#REF!</v>
      </c>
      <c r="BJ65" s="10" t="e">
        <f t="shared" si="18"/>
        <v>#REF!</v>
      </c>
      <c r="BK65" s="10" t="e">
        <f t="shared" si="18"/>
        <v>#REF!</v>
      </c>
      <c r="BL65" s="10" t="e">
        <f t="shared" si="18"/>
        <v>#REF!</v>
      </c>
      <c r="BM65" s="10" t="e">
        <f t="shared" si="18"/>
        <v>#REF!</v>
      </c>
      <c r="BN65" s="10" t="e">
        <f t="shared" si="18"/>
        <v>#REF!</v>
      </c>
      <c r="BO65" s="10" t="e">
        <f t="shared" si="18"/>
        <v>#REF!</v>
      </c>
      <c r="BP65" s="10" t="e">
        <f t="shared" si="18"/>
        <v>#REF!</v>
      </c>
      <c r="BQ65" s="10" t="e">
        <f t="shared" si="18"/>
        <v>#REF!</v>
      </c>
      <c r="BR65" s="10" t="e">
        <f t="shared" si="18"/>
        <v>#REF!</v>
      </c>
      <c r="BS65" s="10" t="e">
        <f t="shared" si="18"/>
        <v>#REF!</v>
      </c>
      <c r="BT65" s="10" t="e">
        <f t="shared" si="18"/>
        <v>#REF!</v>
      </c>
      <c r="BU65" s="10" t="e">
        <f t="shared" si="18"/>
        <v>#REF!</v>
      </c>
      <c r="BV65" s="10" t="e">
        <f t="shared" si="18"/>
        <v>#REF!</v>
      </c>
      <c r="BW65" s="10" t="e">
        <f t="shared" si="18"/>
        <v>#REF!</v>
      </c>
      <c r="BX65" s="10" t="e">
        <f t="shared" si="18"/>
        <v>#REF!</v>
      </c>
      <c r="BY65" s="10" t="e">
        <f t="shared" si="18"/>
        <v>#REF!</v>
      </c>
      <c r="BZ65" s="10" t="e">
        <f t="shared" si="18"/>
        <v>#REF!</v>
      </c>
      <c r="CA65" s="10" t="e">
        <f t="shared" si="18"/>
        <v>#REF!</v>
      </c>
      <c r="CB65" s="10" t="e">
        <f t="shared" si="18"/>
        <v>#REF!</v>
      </c>
      <c r="CC65" s="10" t="e">
        <f t="shared" ref="CC65:CQ65" si="19">CC62*CC64</f>
        <v>#REF!</v>
      </c>
      <c r="CD65" s="10" t="e">
        <f t="shared" si="19"/>
        <v>#REF!</v>
      </c>
      <c r="CE65" s="10" t="e">
        <f t="shared" si="19"/>
        <v>#REF!</v>
      </c>
      <c r="CF65" s="10" t="e">
        <f t="shared" si="19"/>
        <v>#REF!</v>
      </c>
      <c r="CG65" s="10" t="e">
        <f t="shared" si="19"/>
        <v>#REF!</v>
      </c>
      <c r="CH65" s="10" t="e">
        <f t="shared" si="19"/>
        <v>#REF!</v>
      </c>
      <c r="CI65" s="10" t="e">
        <f t="shared" si="19"/>
        <v>#REF!</v>
      </c>
      <c r="CJ65" s="10" t="e">
        <f t="shared" si="19"/>
        <v>#REF!</v>
      </c>
      <c r="CK65" s="10" t="e">
        <f t="shared" si="19"/>
        <v>#REF!</v>
      </c>
      <c r="CL65" s="10" t="e">
        <f t="shared" si="19"/>
        <v>#REF!</v>
      </c>
      <c r="CM65" s="10" t="e">
        <f t="shared" si="19"/>
        <v>#REF!</v>
      </c>
      <c r="CN65" s="10" t="e">
        <f t="shared" si="19"/>
        <v>#REF!</v>
      </c>
      <c r="CO65" s="10" t="e">
        <f t="shared" si="19"/>
        <v>#REF!</v>
      </c>
      <c r="CP65" s="10" t="e">
        <f t="shared" si="19"/>
        <v>#REF!</v>
      </c>
      <c r="CQ65" s="10" t="e">
        <f t="shared" si="19"/>
        <v>#REF!</v>
      </c>
    </row>
    <row r="66" spans="1:95" ht="15" x14ac:dyDescent="0.25">
      <c r="C66"/>
      <c r="H66" s="54"/>
      <c r="N66" s="19"/>
    </row>
    <row r="67" spans="1:95" s="125" customFormat="1" ht="15" x14ac:dyDescent="0.25">
      <c r="A67" s="124" t="s">
        <v>23</v>
      </c>
      <c r="H67" s="126"/>
      <c r="J67" s="127"/>
      <c r="N67" s="128"/>
    </row>
    <row r="68" spans="1:95" ht="15" x14ac:dyDescent="0.25">
      <c r="C68"/>
      <c r="H68" s="54"/>
      <c r="N68" s="19"/>
    </row>
    <row r="69" spans="1:95" ht="15" x14ac:dyDescent="0.25">
      <c r="B69" s="21" t="s">
        <v>26</v>
      </c>
      <c r="C69"/>
      <c r="H69" s="54"/>
      <c r="N69" s="19"/>
    </row>
    <row r="70" spans="1:95" ht="15" x14ac:dyDescent="0.25">
      <c r="C70"/>
      <c r="H70" s="54"/>
      <c r="N70" s="19"/>
    </row>
    <row r="71" spans="1:95" ht="15" x14ac:dyDescent="0.25">
      <c r="C71" t="s">
        <v>117</v>
      </c>
      <c r="H71" s="54" t="s">
        <v>6</v>
      </c>
      <c r="J71" s="218">
        <f>J51</f>
        <v>7.0000000000000007E-2</v>
      </c>
      <c r="N71" s="19"/>
    </row>
    <row r="72" spans="1:95" ht="15" x14ac:dyDescent="0.25">
      <c r="C72"/>
      <c r="H72" s="54"/>
      <c r="N72" s="19"/>
    </row>
    <row r="73" spans="1:95" ht="15" x14ac:dyDescent="0.25">
      <c r="C73" t="s">
        <v>350</v>
      </c>
      <c r="H73" s="54" t="s">
        <v>58</v>
      </c>
      <c r="N73" s="19"/>
      <c r="P73">
        <f>P60</f>
        <v>365</v>
      </c>
      <c r="Q73">
        <f t="shared" ref="Q73:CB73" si="20">Q60</f>
        <v>730</v>
      </c>
      <c r="R73">
        <f t="shared" si="20"/>
        <v>1095</v>
      </c>
      <c r="S73">
        <f t="shared" si="20"/>
        <v>1460</v>
      </c>
      <c r="T73">
        <f t="shared" si="20"/>
        <v>1825</v>
      </c>
      <c r="U73">
        <f t="shared" si="20"/>
        <v>2190</v>
      </c>
      <c r="V73">
        <f t="shared" si="20"/>
        <v>2555</v>
      </c>
      <c r="W73">
        <f t="shared" si="20"/>
        <v>2920</v>
      </c>
      <c r="X73">
        <f t="shared" si="20"/>
        <v>3285</v>
      </c>
      <c r="Y73">
        <f t="shared" si="20"/>
        <v>3650</v>
      </c>
      <c r="Z73">
        <f t="shared" si="20"/>
        <v>4015</v>
      </c>
      <c r="AA73">
        <f t="shared" si="20"/>
        <v>4380</v>
      </c>
      <c r="AB73">
        <f t="shared" si="20"/>
        <v>4745</v>
      </c>
      <c r="AC73">
        <f t="shared" si="20"/>
        <v>5110</v>
      </c>
      <c r="AD73">
        <f t="shared" si="20"/>
        <v>5475</v>
      </c>
      <c r="AE73">
        <f t="shared" si="20"/>
        <v>5840</v>
      </c>
      <c r="AF73">
        <f t="shared" si="20"/>
        <v>6205</v>
      </c>
      <c r="AG73">
        <f t="shared" si="20"/>
        <v>6570</v>
      </c>
      <c r="AH73">
        <f t="shared" si="20"/>
        <v>6935</v>
      </c>
      <c r="AI73">
        <f t="shared" si="20"/>
        <v>7300</v>
      </c>
      <c r="AJ73">
        <f t="shared" si="20"/>
        <v>7665</v>
      </c>
      <c r="AK73">
        <f t="shared" si="20"/>
        <v>8030</v>
      </c>
      <c r="AL73">
        <f t="shared" si="20"/>
        <v>8395</v>
      </c>
      <c r="AM73">
        <f t="shared" si="20"/>
        <v>8760</v>
      </c>
      <c r="AN73">
        <f t="shared" si="20"/>
        <v>9125</v>
      </c>
      <c r="AO73">
        <f t="shared" si="20"/>
        <v>9490</v>
      </c>
      <c r="AP73">
        <f t="shared" si="20"/>
        <v>9855</v>
      </c>
      <c r="AQ73">
        <f t="shared" si="20"/>
        <v>10220</v>
      </c>
      <c r="AR73">
        <f t="shared" si="20"/>
        <v>10585</v>
      </c>
      <c r="AS73">
        <f t="shared" si="20"/>
        <v>10950</v>
      </c>
      <c r="AT73">
        <f t="shared" si="20"/>
        <v>11315</v>
      </c>
      <c r="AU73">
        <f t="shared" si="20"/>
        <v>11680</v>
      </c>
      <c r="AV73">
        <f t="shared" si="20"/>
        <v>12045</v>
      </c>
      <c r="AW73">
        <f t="shared" si="20"/>
        <v>12410</v>
      </c>
      <c r="AX73">
        <f t="shared" si="20"/>
        <v>12775</v>
      </c>
      <c r="AY73">
        <f t="shared" si="20"/>
        <v>13140</v>
      </c>
      <c r="AZ73">
        <f t="shared" si="20"/>
        <v>13505</v>
      </c>
      <c r="BA73">
        <f t="shared" si="20"/>
        <v>13870</v>
      </c>
      <c r="BB73">
        <f t="shared" si="20"/>
        <v>14235</v>
      </c>
      <c r="BC73">
        <f t="shared" si="20"/>
        <v>14600</v>
      </c>
      <c r="BD73">
        <f t="shared" si="20"/>
        <v>14965</v>
      </c>
      <c r="BE73">
        <f t="shared" si="20"/>
        <v>15330</v>
      </c>
      <c r="BF73">
        <f t="shared" si="20"/>
        <v>15695</v>
      </c>
      <c r="BG73">
        <f t="shared" si="20"/>
        <v>16060</v>
      </c>
      <c r="BH73">
        <f t="shared" si="20"/>
        <v>16425</v>
      </c>
      <c r="BI73">
        <f t="shared" si="20"/>
        <v>16790</v>
      </c>
      <c r="BJ73">
        <f t="shared" si="20"/>
        <v>17155</v>
      </c>
      <c r="BK73">
        <f t="shared" si="20"/>
        <v>17520</v>
      </c>
      <c r="BL73">
        <f t="shared" si="20"/>
        <v>17885</v>
      </c>
      <c r="BM73">
        <f t="shared" si="20"/>
        <v>18250</v>
      </c>
      <c r="BN73">
        <f t="shared" si="20"/>
        <v>18615</v>
      </c>
      <c r="BO73">
        <f t="shared" si="20"/>
        <v>18980</v>
      </c>
      <c r="BP73">
        <f t="shared" si="20"/>
        <v>19345</v>
      </c>
      <c r="BQ73">
        <f t="shared" si="20"/>
        <v>19710</v>
      </c>
      <c r="BR73">
        <f t="shared" si="20"/>
        <v>20075</v>
      </c>
      <c r="BS73">
        <f t="shared" si="20"/>
        <v>20440</v>
      </c>
      <c r="BT73">
        <f t="shared" si="20"/>
        <v>20805</v>
      </c>
      <c r="BU73">
        <f t="shared" si="20"/>
        <v>21170</v>
      </c>
      <c r="BV73">
        <f t="shared" si="20"/>
        <v>21535</v>
      </c>
      <c r="BW73">
        <f t="shared" si="20"/>
        <v>21900</v>
      </c>
      <c r="BX73">
        <f t="shared" si="20"/>
        <v>22265</v>
      </c>
      <c r="BY73">
        <f t="shared" si="20"/>
        <v>22630</v>
      </c>
      <c r="BZ73">
        <f t="shared" si="20"/>
        <v>22995</v>
      </c>
      <c r="CA73">
        <f t="shared" si="20"/>
        <v>23360</v>
      </c>
      <c r="CB73">
        <f t="shared" si="20"/>
        <v>23725</v>
      </c>
      <c r="CC73">
        <f t="shared" ref="CC73:CQ73" si="21">CC60</f>
        <v>24090</v>
      </c>
      <c r="CD73">
        <f t="shared" si="21"/>
        <v>24455</v>
      </c>
      <c r="CE73">
        <f t="shared" si="21"/>
        <v>24820</v>
      </c>
      <c r="CF73">
        <f t="shared" si="21"/>
        <v>25185</v>
      </c>
      <c r="CG73">
        <f t="shared" si="21"/>
        <v>25550</v>
      </c>
      <c r="CH73">
        <f t="shared" si="21"/>
        <v>25915</v>
      </c>
      <c r="CI73">
        <f t="shared" si="21"/>
        <v>26280</v>
      </c>
      <c r="CJ73">
        <f t="shared" si="21"/>
        <v>26645</v>
      </c>
      <c r="CK73">
        <f t="shared" si="21"/>
        <v>27010</v>
      </c>
      <c r="CL73">
        <f t="shared" si="21"/>
        <v>27375</v>
      </c>
      <c r="CM73">
        <f t="shared" si="21"/>
        <v>27740</v>
      </c>
      <c r="CN73">
        <f t="shared" si="21"/>
        <v>28105</v>
      </c>
      <c r="CO73">
        <f t="shared" si="21"/>
        <v>28470</v>
      </c>
      <c r="CP73">
        <f t="shared" si="21"/>
        <v>28835</v>
      </c>
      <c r="CQ73">
        <f t="shared" si="21"/>
        <v>29200</v>
      </c>
    </row>
    <row r="74" spans="1:95" ht="15" x14ac:dyDescent="0.25">
      <c r="C74" t="s">
        <v>117</v>
      </c>
      <c r="H74" s="54" t="s">
        <v>6</v>
      </c>
      <c r="N74" s="19"/>
      <c r="P74" s="82">
        <f>$J$71</f>
        <v>7.0000000000000007E-2</v>
      </c>
      <c r="Q74" s="82">
        <f t="shared" ref="Q74:CB74" si="22">$J$71</f>
        <v>7.0000000000000007E-2</v>
      </c>
      <c r="R74" s="82">
        <f t="shared" si="22"/>
        <v>7.0000000000000007E-2</v>
      </c>
      <c r="S74" s="82">
        <f t="shared" si="22"/>
        <v>7.0000000000000007E-2</v>
      </c>
      <c r="T74" s="82">
        <f t="shared" si="22"/>
        <v>7.0000000000000007E-2</v>
      </c>
      <c r="U74" s="82">
        <f t="shared" si="22"/>
        <v>7.0000000000000007E-2</v>
      </c>
      <c r="V74" s="82">
        <f t="shared" si="22"/>
        <v>7.0000000000000007E-2</v>
      </c>
      <c r="W74" s="82">
        <f t="shared" si="22"/>
        <v>7.0000000000000007E-2</v>
      </c>
      <c r="X74" s="82">
        <f t="shared" si="22"/>
        <v>7.0000000000000007E-2</v>
      </c>
      <c r="Y74" s="82">
        <f t="shared" si="22"/>
        <v>7.0000000000000007E-2</v>
      </c>
      <c r="Z74" s="82">
        <f t="shared" si="22"/>
        <v>7.0000000000000007E-2</v>
      </c>
      <c r="AA74" s="82">
        <f t="shared" si="22"/>
        <v>7.0000000000000007E-2</v>
      </c>
      <c r="AB74" s="82">
        <f t="shared" si="22"/>
        <v>7.0000000000000007E-2</v>
      </c>
      <c r="AC74" s="82">
        <f t="shared" si="22"/>
        <v>7.0000000000000007E-2</v>
      </c>
      <c r="AD74" s="82">
        <f t="shared" si="22"/>
        <v>7.0000000000000007E-2</v>
      </c>
      <c r="AE74" s="82">
        <f t="shared" si="22"/>
        <v>7.0000000000000007E-2</v>
      </c>
      <c r="AF74" s="82">
        <f t="shared" si="22"/>
        <v>7.0000000000000007E-2</v>
      </c>
      <c r="AG74" s="82">
        <f t="shared" si="22"/>
        <v>7.0000000000000007E-2</v>
      </c>
      <c r="AH74" s="82">
        <f t="shared" si="22"/>
        <v>7.0000000000000007E-2</v>
      </c>
      <c r="AI74" s="82">
        <f t="shared" si="22"/>
        <v>7.0000000000000007E-2</v>
      </c>
      <c r="AJ74" s="82">
        <f t="shared" si="22"/>
        <v>7.0000000000000007E-2</v>
      </c>
      <c r="AK74" s="82">
        <f t="shared" si="22"/>
        <v>7.0000000000000007E-2</v>
      </c>
      <c r="AL74" s="82">
        <f t="shared" si="22"/>
        <v>7.0000000000000007E-2</v>
      </c>
      <c r="AM74" s="82">
        <f t="shared" si="22"/>
        <v>7.0000000000000007E-2</v>
      </c>
      <c r="AN74" s="82">
        <f t="shared" si="22"/>
        <v>7.0000000000000007E-2</v>
      </c>
      <c r="AO74" s="82">
        <f t="shared" si="22"/>
        <v>7.0000000000000007E-2</v>
      </c>
      <c r="AP74" s="82">
        <f t="shared" si="22"/>
        <v>7.0000000000000007E-2</v>
      </c>
      <c r="AQ74" s="82">
        <f t="shared" si="22"/>
        <v>7.0000000000000007E-2</v>
      </c>
      <c r="AR74" s="82">
        <f t="shared" si="22"/>
        <v>7.0000000000000007E-2</v>
      </c>
      <c r="AS74" s="82">
        <f t="shared" si="22"/>
        <v>7.0000000000000007E-2</v>
      </c>
      <c r="AT74" s="82">
        <f t="shared" si="22"/>
        <v>7.0000000000000007E-2</v>
      </c>
      <c r="AU74" s="82">
        <f t="shared" si="22"/>
        <v>7.0000000000000007E-2</v>
      </c>
      <c r="AV74" s="82">
        <f t="shared" si="22"/>
        <v>7.0000000000000007E-2</v>
      </c>
      <c r="AW74" s="82">
        <f t="shared" si="22"/>
        <v>7.0000000000000007E-2</v>
      </c>
      <c r="AX74" s="82">
        <f t="shared" si="22"/>
        <v>7.0000000000000007E-2</v>
      </c>
      <c r="AY74" s="82">
        <f t="shared" si="22"/>
        <v>7.0000000000000007E-2</v>
      </c>
      <c r="AZ74" s="82">
        <f t="shared" si="22"/>
        <v>7.0000000000000007E-2</v>
      </c>
      <c r="BA74" s="82">
        <f t="shared" si="22"/>
        <v>7.0000000000000007E-2</v>
      </c>
      <c r="BB74" s="82">
        <f t="shared" si="22"/>
        <v>7.0000000000000007E-2</v>
      </c>
      <c r="BC74" s="82">
        <f t="shared" si="22"/>
        <v>7.0000000000000007E-2</v>
      </c>
      <c r="BD74" s="82">
        <f t="shared" si="22"/>
        <v>7.0000000000000007E-2</v>
      </c>
      <c r="BE74" s="82">
        <f t="shared" si="22"/>
        <v>7.0000000000000007E-2</v>
      </c>
      <c r="BF74" s="82">
        <f t="shared" si="22"/>
        <v>7.0000000000000007E-2</v>
      </c>
      <c r="BG74" s="82">
        <f t="shared" si="22"/>
        <v>7.0000000000000007E-2</v>
      </c>
      <c r="BH74" s="82">
        <f t="shared" si="22"/>
        <v>7.0000000000000007E-2</v>
      </c>
      <c r="BI74" s="82">
        <f t="shared" si="22"/>
        <v>7.0000000000000007E-2</v>
      </c>
      <c r="BJ74" s="82">
        <f t="shared" si="22"/>
        <v>7.0000000000000007E-2</v>
      </c>
      <c r="BK74" s="82">
        <f t="shared" si="22"/>
        <v>7.0000000000000007E-2</v>
      </c>
      <c r="BL74" s="82">
        <f t="shared" si="22"/>
        <v>7.0000000000000007E-2</v>
      </c>
      <c r="BM74" s="82">
        <f t="shared" si="22"/>
        <v>7.0000000000000007E-2</v>
      </c>
      <c r="BN74" s="82">
        <f t="shared" si="22"/>
        <v>7.0000000000000007E-2</v>
      </c>
      <c r="BO74" s="82">
        <f t="shared" si="22"/>
        <v>7.0000000000000007E-2</v>
      </c>
      <c r="BP74" s="82">
        <f t="shared" si="22"/>
        <v>7.0000000000000007E-2</v>
      </c>
      <c r="BQ74" s="82">
        <f t="shared" si="22"/>
        <v>7.0000000000000007E-2</v>
      </c>
      <c r="BR74" s="82">
        <f t="shared" si="22"/>
        <v>7.0000000000000007E-2</v>
      </c>
      <c r="BS74" s="82">
        <f t="shared" si="22"/>
        <v>7.0000000000000007E-2</v>
      </c>
      <c r="BT74" s="82">
        <f t="shared" si="22"/>
        <v>7.0000000000000007E-2</v>
      </c>
      <c r="BU74" s="82">
        <f t="shared" si="22"/>
        <v>7.0000000000000007E-2</v>
      </c>
      <c r="BV74" s="82">
        <f t="shared" si="22"/>
        <v>7.0000000000000007E-2</v>
      </c>
      <c r="BW74" s="82">
        <f t="shared" si="22"/>
        <v>7.0000000000000007E-2</v>
      </c>
      <c r="BX74" s="82">
        <f t="shared" si="22"/>
        <v>7.0000000000000007E-2</v>
      </c>
      <c r="BY74" s="82">
        <f t="shared" si="22"/>
        <v>7.0000000000000007E-2</v>
      </c>
      <c r="BZ74" s="82">
        <f t="shared" si="22"/>
        <v>7.0000000000000007E-2</v>
      </c>
      <c r="CA74" s="82">
        <f t="shared" si="22"/>
        <v>7.0000000000000007E-2</v>
      </c>
      <c r="CB74" s="82">
        <f t="shared" si="22"/>
        <v>7.0000000000000007E-2</v>
      </c>
      <c r="CC74" s="82">
        <f t="shared" ref="CC74:CQ74" si="23">$J$71</f>
        <v>7.0000000000000007E-2</v>
      </c>
      <c r="CD74" s="82">
        <f t="shared" si="23"/>
        <v>7.0000000000000007E-2</v>
      </c>
      <c r="CE74" s="82">
        <f t="shared" si="23"/>
        <v>7.0000000000000007E-2</v>
      </c>
      <c r="CF74" s="82">
        <f t="shared" si="23"/>
        <v>7.0000000000000007E-2</v>
      </c>
      <c r="CG74" s="82">
        <f t="shared" si="23"/>
        <v>7.0000000000000007E-2</v>
      </c>
      <c r="CH74" s="82">
        <f t="shared" si="23"/>
        <v>7.0000000000000007E-2</v>
      </c>
      <c r="CI74" s="82">
        <f t="shared" si="23"/>
        <v>7.0000000000000007E-2</v>
      </c>
      <c r="CJ74" s="82">
        <f t="shared" si="23"/>
        <v>7.0000000000000007E-2</v>
      </c>
      <c r="CK74" s="82">
        <f t="shared" si="23"/>
        <v>7.0000000000000007E-2</v>
      </c>
      <c r="CL74" s="82">
        <f t="shared" si="23"/>
        <v>7.0000000000000007E-2</v>
      </c>
      <c r="CM74" s="82">
        <f t="shared" si="23"/>
        <v>7.0000000000000007E-2</v>
      </c>
      <c r="CN74" s="82">
        <f t="shared" si="23"/>
        <v>7.0000000000000007E-2</v>
      </c>
      <c r="CO74" s="82">
        <f t="shared" si="23"/>
        <v>7.0000000000000007E-2</v>
      </c>
      <c r="CP74" s="82">
        <f t="shared" si="23"/>
        <v>7.0000000000000007E-2</v>
      </c>
      <c r="CQ74" s="82">
        <f t="shared" si="23"/>
        <v>7.0000000000000007E-2</v>
      </c>
    </row>
    <row r="75" spans="1:95" ht="15" x14ac:dyDescent="0.25">
      <c r="C75" t="s">
        <v>222</v>
      </c>
      <c r="H75" s="54" t="s">
        <v>50</v>
      </c>
      <c r="N75" s="19"/>
      <c r="P75" s="219">
        <f>(1+P74)^(-P73/365)</f>
        <v>0.93457943925233644</v>
      </c>
      <c r="Q75" s="219">
        <f t="shared" ref="Q75:CB75" si="24">(1+Q74)^(-Q73/365)</f>
        <v>0.87343872827321156</v>
      </c>
      <c r="R75" s="219">
        <f t="shared" si="24"/>
        <v>0.81629787689085187</v>
      </c>
      <c r="S75" s="219">
        <f t="shared" si="24"/>
        <v>0.7628952120475252</v>
      </c>
      <c r="T75" s="219">
        <f t="shared" si="24"/>
        <v>0.71298617948366838</v>
      </c>
      <c r="U75" s="219">
        <f t="shared" si="24"/>
        <v>0.66634222381651254</v>
      </c>
      <c r="V75" s="219">
        <f t="shared" si="24"/>
        <v>0.62274974188459109</v>
      </c>
      <c r="W75" s="219">
        <f t="shared" si="24"/>
        <v>0.5820091045650384</v>
      </c>
      <c r="X75" s="219">
        <f t="shared" si="24"/>
        <v>0.54393374258414806</v>
      </c>
      <c r="Y75" s="219">
        <f t="shared" si="24"/>
        <v>0.5083492921347178</v>
      </c>
      <c r="Z75" s="219">
        <f t="shared" si="24"/>
        <v>0.47509279638758667</v>
      </c>
      <c r="AA75" s="219">
        <f t="shared" si="24"/>
        <v>0.44401195924073528</v>
      </c>
      <c r="AB75" s="219">
        <f t="shared" si="24"/>
        <v>0.41496444788853759</v>
      </c>
      <c r="AC75" s="219">
        <f t="shared" si="24"/>
        <v>0.3878172410173249</v>
      </c>
      <c r="AD75" s="219">
        <f t="shared" si="24"/>
        <v>0.36244601964235967</v>
      </c>
      <c r="AE75" s="219">
        <f t="shared" si="24"/>
        <v>0.33873459779659787</v>
      </c>
      <c r="AF75" s="219">
        <f t="shared" si="24"/>
        <v>0.31657439046411018</v>
      </c>
      <c r="AG75" s="219">
        <f t="shared" si="24"/>
        <v>0.29586391632159825</v>
      </c>
      <c r="AH75" s="219">
        <f t="shared" si="24"/>
        <v>0.27650833301083949</v>
      </c>
      <c r="AI75" s="219">
        <f t="shared" si="24"/>
        <v>0.2584190028138687</v>
      </c>
      <c r="AJ75" s="219">
        <f t="shared" si="24"/>
        <v>0.24151308674193336</v>
      </c>
      <c r="AK75" s="219">
        <f t="shared" si="24"/>
        <v>0.22571316517937698</v>
      </c>
      <c r="AL75" s="219">
        <f t="shared" si="24"/>
        <v>0.21094688334521211</v>
      </c>
      <c r="AM75" s="219">
        <f t="shared" si="24"/>
        <v>0.19714661994879637</v>
      </c>
      <c r="AN75" s="219">
        <f t="shared" si="24"/>
        <v>0.18424917752223957</v>
      </c>
      <c r="AO75" s="219">
        <f t="shared" si="24"/>
        <v>0.17219549301143888</v>
      </c>
      <c r="AP75" s="219">
        <f t="shared" si="24"/>
        <v>0.16093036730041013</v>
      </c>
      <c r="AQ75" s="219">
        <f t="shared" si="24"/>
        <v>0.15040221243028987</v>
      </c>
      <c r="AR75" s="219">
        <f t="shared" si="24"/>
        <v>0.1405628153554111</v>
      </c>
      <c r="AS75" s="219">
        <f t="shared" si="24"/>
        <v>0.13136711715458982</v>
      </c>
      <c r="AT75" s="219">
        <f t="shared" si="24"/>
        <v>0.1227730066865325</v>
      </c>
      <c r="AU75" s="219">
        <f t="shared" si="24"/>
        <v>0.11474112774442291</v>
      </c>
      <c r="AV75" s="219">
        <f t="shared" si="24"/>
        <v>0.10723469882656347</v>
      </c>
      <c r="AW75" s="219">
        <f t="shared" si="24"/>
        <v>0.10021934469772288</v>
      </c>
      <c r="AX75" s="219">
        <f t="shared" si="24"/>
        <v>9.366293896983445E-2</v>
      </c>
      <c r="AY75" s="219">
        <f t="shared" si="24"/>
        <v>8.7535456981153698E-2</v>
      </c>
      <c r="AZ75" s="219">
        <f t="shared" si="24"/>
        <v>8.1808838300143641E-2</v>
      </c>
      <c r="BA75" s="219">
        <f t="shared" si="24"/>
        <v>7.6456858224433308E-2</v>
      </c>
      <c r="BB75" s="219">
        <f t="shared" si="24"/>
        <v>7.1455007686386268E-2</v>
      </c>
      <c r="BC75" s="219">
        <f t="shared" si="24"/>
        <v>6.6780381015314264E-2</v>
      </c>
      <c r="BD75" s="219">
        <f t="shared" si="24"/>
        <v>6.2411571042349782E-2</v>
      </c>
      <c r="BE75" s="219">
        <f t="shared" si="24"/>
        <v>5.8328571067616623E-2</v>
      </c>
      <c r="BF75" s="219">
        <f t="shared" si="24"/>
        <v>5.4512683240763193E-2</v>
      </c>
      <c r="BG75" s="219">
        <f t="shared" si="24"/>
        <v>5.0946432935292711E-2</v>
      </c>
      <c r="BH75" s="219">
        <f t="shared" si="24"/>
        <v>4.761348872457262E-2</v>
      </c>
      <c r="BI75" s="219">
        <f t="shared" si="24"/>
        <v>4.4498587593058525E-2</v>
      </c>
      <c r="BJ75" s="219">
        <f t="shared" si="24"/>
        <v>4.1587465040241613E-2</v>
      </c>
      <c r="BK75" s="219">
        <f t="shared" si="24"/>
        <v>3.8866789757235155E-2</v>
      </c>
      <c r="BL75" s="219">
        <f t="shared" si="24"/>
        <v>3.6324102576855283E-2</v>
      </c>
      <c r="BM75" s="219">
        <f t="shared" si="24"/>
        <v>3.3947759417621758E-2</v>
      </c>
      <c r="BN75" s="219">
        <f t="shared" si="24"/>
        <v>3.1726877960394168E-2</v>
      </c>
      <c r="BO75" s="219">
        <f t="shared" si="24"/>
        <v>2.9651287813452491E-2</v>
      </c>
      <c r="BP75" s="219">
        <f t="shared" si="24"/>
        <v>2.7711483937806064E-2</v>
      </c>
      <c r="BQ75" s="219">
        <f t="shared" si="24"/>
        <v>2.5898583119444922E-2</v>
      </c>
      <c r="BR75" s="219">
        <f t="shared" si="24"/>
        <v>2.4204283289200861E-2</v>
      </c>
      <c r="BS75" s="219">
        <f t="shared" si="24"/>
        <v>2.262082550392604E-2</v>
      </c>
      <c r="BT75" s="219">
        <f t="shared" si="24"/>
        <v>2.1140958414884149E-2</v>
      </c>
      <c r="BU75" s="219">
        <f t="shared" si="24"/>
        <v>1.9757905060639392E-2</v>
      </c>
      <c r="BV75" s="219">
        <f t="shared" si="24"/>
        <v>1.8465331832373259E-2</v>
      </c>
      <c r="BW75" s="219">
        <f t="shared" si="24"/>
        <v>1.7257319469507721E-2</v>
      </c>
      <c r="BX75" s="219">
        <f t="shared" si="24"/>
        <v>1.6128335952810956E-2</v>
      </c>
      <c r="BY75" s="219">
        <f t="shared" si="24"/>
        <v>1.5073211170851362E-2</v>
      </c>
      <c r="BZ75" s="219">
        <f t="shared" si="24"/>
        <v>1.4087113243786316E-2</v>
      </c>
      <c r="CA75" s="219">
        <f t="shared" si="24"/>
        <v>1.3165526396061979E-2</v>
      </c>
      <c r="CB75" s="219">
        <f t="shared" si="24"/>
        <v>1.2304230276693438E-2</v>
      </c>
      <c r="CC75" s="219">
        <f t="shared" ref="CC75:CQ75" si="25">(1+CC74)^(-CC73/365)</f>
        <v>1.1499280632423774E-2</v>
      </c>
      <c r="CD75" s="219">
        <f t="shared" si="25"/>
        <v>1.0746991245255863E-2</v>
      </c>
      <c r="CE75" s="219">
        <f t="shared" si="25"/>
        <v>1.0043917051640995E-2</v>
      </c>
      <c r="CF75" s="219">
        <f t="shared" si="25"/>
        <v>9.3868383660196189E-3</v>
      </c>
      <c r="CG75" s="219">
        <f t="shared" si="25"/>
        <v>8.7727461364669346E-3</v>
      </c>
      <c r="CH75" s="219">
        <f t="shared" si="25"/>
        <v>8.1988281649223692E-3</v>
      </c>
      <c r="CI75" s="219">
        <f t="shared" si="25"/>
        <v>7.6624562288994096E-3</v>
      </c>
      <c r="CJ75" s="219">
        <f t="shared" si="25"/>
        <v>7.161174045700382E-3</v>
      </c>
      <c r="CK75" s="219">
        <f t="shared" si="25"/>
        <v>6.6926860240190495E-3</v>
      </c>
      <c r="CL75" s="219">
        <f t="shared" si="25"/>
        <v>6.2548467514196709E-3</v>
      </c>
      <c r="CM75" s="219">
        <f t="shared" si="25"/>
        <v>5.8456511695510957E-3</v>
      </c>
      <c r="CN75" s="219">
        <f t="shared" si="25"/>
        <v>5.4632253921038272E-3</v>
      </c>
      <c r="CO75" s="219">
        <f t="shared" si="25"/>
        <v>5.1058181234615212E-3</v>
      </c>
      <c r="CP75" s="219">
        <f t="shared" si="25"/>
        <v>4.7717926387490844E-3</v>
      </c>
      <c r="CQ75" s="219">
        <f t="shared" si="25"/>
        <v>4.4596192885505469E-3</v>
      </c>
    </row>
    <row r="76" spans="1:95" ht="15" x14ac:dyDescent="0.25">
      <c r="C76"/>
      <c r="H76" s="54"/>
      <c r="N76" s="19"/>
    </row>
    <row r="77" spans="1:95" ht="15" x14ac:dyDescent="0.25">
      <c r="C77" t="s">
        <v>37</v>
      </c>
      <c r="H77" s="54" t="s">
        <v>3</v>
      </c>
      <c r="N77" s="19"/>
      <c r="P77" s="10" t="e">
        <f>P28</f>
        <v>#REF!</v>
      </c>
      <c r="Q77" s="10" t="e">
        <f t="shared" ref="Q77:CB77" si="26">Q28</f>
        <v>#REF!</v>
      </c>
      <c r="R77" s="10" t="e">
        <f t="shared" si="26"/>
        <v>#REF!</v>
      </c>
      <c r="S77" s="10" t="e">
        <f t="shared" si="26"/>
        <v>#REF!</v>
      </c>
      <c r="T77" s="10" t="e">
        <f t="shared" si="26"/>
        <v>#REF!</v>
      </c>
      <c r="U77" s="10" t="e">
        <f t="shared" si="26"/>
        <v>#REF!</v>
      </c>
      <c r="V77" s="10" t="e">
        <f t="shared" si="26"/>
        <v>#REF!</v>
      </c>
      <c r="W77" s="10" t="e">
        <f t="shared" si="26"/>
        <v>#REF!</v>
      </c>
      <c r="X77" s="10" t="e">
        <f t="shared" si="26"/>
        <v>#REF!</v>
      </c>
      <c r="Y77" s="10" t="e">
        <f t="shared" si="26"/>
        <v>#REF!</v>
      </c>
      <c r="Z77" s="10" t="e">
        <f t="shared" si="26"/>
        <v>#REF!</v>
      </c>
      <c r="AA77" s="10" t="e">
        <f t="shared" si="26"/>
        <v>#REF!</v>
      </c>
      <c r="AB77" s="10" t="e">
        <f t="shared" si="26"/>
        <v>#REF!</v>
      </c>
      <c r="AC77" s="10" t="e">
        <f t="shared" si="26"/>
        <v>#REF!</v>
      </c>
      <c r="AD77" s="10" t="e">
        <f t="shared" si="26"/>
        <v>#REF!</v>
      </c>
      <c r="AE77" s="10" t="e">
        <f t="shared" si="26"/>
        <v>#REF!</v>
      </c>
      <c r="AF77" s="10" t="e">
        <f t="shared" si="26"/>
        <v>#REF!</v>
      </c>
      <c r="AG77" s="10" t="e">
        <f t="shared" si="26"/>
        <v>#REF!</v>
      </c>
      <c r="AH77" s="10" t="e">
        <f t="shared" si="26"/>
        <v>#REF!</v>
      </c>
      <c r="AI77" s="10" t="e">
        <f t="shared" si="26"/>
        <v>#REF!</v>
      </c>
      <c r="AJ77" s="10" t="e">
        <f t="shared" si="26"/>
        <v>#REF!</v>
      </c>
      <c r="AK77" s="10" t="e">
        <f t="shared" si="26"/>
        <v>#REF!</v>
      </c>
      <c r="AL77" s="10" t="e">
        <f t="shared" si="26"/>
        <v>#REF!</v>
      </c>
      <c r="AM77" s="10" t="e">
        <f t="shared" si="26"/>
        <v>#REF!</v>
      </c>
      <c r="AN77" s="10" t="e">
        <f t="shared" si="26"/>
        <v>#REF!</v>
      </c>
      <c r="AO77" s="10" t="e">
        <f t="shared" si="26"/>
        <v>#REF!</v>
      </c>
      <c r="AP77" s="10" t="e">
        <f t="shared" si="26"/>
        <v>#REF!</v>
      </c>
      <c r="AQ77" s="10" t="e">
        <f t="shared" si="26"/>
        <v>#REF!</v>
      </c>
      <c r="AR77" s="10" t="e">
        <f t="shared" si="26"/>
        <v>#REF!</v>
      </c>
      <c r="AS77" s="10" t="e">
        <f t="shared" si="26"/>
        <v>#REF!</v>
      </c>
      <c r="AT77" s="10" t="e">
        <f t="shared" si="26"/>
        <v>#REF!</v>
      </c>
      <c r="AU77" s="10" t="e">
        <f t="shared" si="26"/>
        <v>#REF!</v>
      </c>
      <c r="AV77" s="10" t="e">
        <f t="shared" si="26"/>
        <v>#REF!</v>
      </c>
      <c r="AW77" s="10" t="e">
        <f t="shared" si="26"/>
        <v>#REF!</v>
      </c>
      <c r="AX77" s="10" t="e">
        <f t="shared" si="26"/>
        <v>#REF!</v>
      </c>
      <c r="AY77" s="10" t="e">
        <f t="shared" si="26"/>
        <v>#REF!</v>
      </c>
      <c r="AZ77" s="10" t="e">
        <f t="shared" si="26"/>
        <v>#REF!</v>
      </c>
      <c r="BA77" s="10" t="e">
        <f t="shared" si="26"/>
        <v>#REF!</v>
      </c>
      <c r="BB77" s="10" t="e">
        <f t="shared" si="26"/>
        <v>#REF!</v>
      </c>
      <c r="BC77" s="10" t="e">
        <f t="shared" si="26"/>
        <v>#REF!</v>
      </c>
      <c r="BD77" s="10" t="e">
        <f t="shared" si="26"/>
        <v>#REF!</v>
      </c>
      <c r="BE77" s="10" t="e">
        <f t="shared" si="26"/>
        <v>#REF!</v>
      </c>
      <c r="BF77" s="10" t="e">
        <f t="shared" si="26"/>
        <v>#REF!</v>
      </c>
      <c r="BG77" s="10" t="e">
        <f t="shared" si="26"/>
        <v>#REF!</v>
      </c>
      <c r="BH77" s="10" t="e">
        <f t="shared" si="26"/>
        <v>#REF!</v>
      </c>
      <c r="BI77" s="10" t="e">
        <f t="shared" si="26"/>
        <v>#REF!</v>
      </c>
      <c r="BJ77" s="10" t="e">
        <f t="shared" si="26"/>
        <v>#REF!</v>
      </c>
      <c r="BK77" s="10" t="e">
        <f t="shared" si="26"/>
        <v>#REF!</v>
      </c>
      <c r="BL77" s="10" t="e">
        <f t="shared" si="26"/>
        <v>#REF!</v>
      </c>
      <c r="BM77" s="10" t="e">
        <f t="shared" si="26"/>
        <v>#REF!</v>
      </c>
      <c r="BN77" s="10" t="e">
        <f t="shared" si="26"/>
        <v>#REF!</v>
      </c>
      <c r="BO77" s="10" t="e">
        <f t="shared" si="26"/>
        <v>#REF!</v>
      </c>
      <c r="BP77" s="10" t="e">
        <f t="shared" si="26"/>
        <v>#REF!</v>
      </c>
      <c r="BQ77" s="10" t="e">
        <f t="shared" si="26"/>
        <v>#REF!</v>
      </c>
      <c r="BR77" s="10" t="e">
        <f t="shared" si="26"/>
        <v>#REF!</v>
      </c>
      <c r="BS77" s="10" t="e">
        <f t="shared" si="26"/>
        <v>#REF!</v>
      </c>
      <c r="BT77" s="10" t="e">
        <f t="shared" si="26"/>
        <v>#REF!</v>
      </c>
      <c r="BU77" s="10" t="e">
        <f t="shared" si="26"/>
        <v>#REF!</v>
      </c>
      <c r="BV77" s="10" t="e">
        <f t="shared" si="26"/>
        <v>#REF!</v>
      </c>
      <c r="BW77" s="10" t="e">
        <f t="shared" si="26"/>
        <v>#REF!</v>
      </c>
      <c r="BX77" s="10" t="e">
        <f t="shared" si="26"/>
        <v>#REF!</v>
      </c>
      <c r="BY77" s="10" t="e">
        <f t="shared" si="26"/>
        <v>#REF!</v>
      </c>
      <c r="BZ77" s="10" t="e">
        <f t="shared" si="26"/>
        <v>#REF!</v>
      </c>
      <c r="CA77" s="10" t="e">
        <f t="shared" si="26"/>
        <v>#REF!</v>
      </c>
      <c r="CB77" s="10" t="e">
        <f t="shared" si="26"/>
        <v>#REF!</v>
      </c>
      <c r="CC77" s="10" t="e">
        <f t="shared" ref="CC77:CQ77" si="27">CC28</f>
        <v>#REF!</v>
      </c>
      <c r="CD77" s="10" t="e">
        <f t="shared" si="27"/>
        <v>#REF!</v>
      </c>
      <c r="CE77" s="10" t="e">
        <f t="shared" si="27"/>
        <v>#REF!</v>
      </c>
      <c r="CF77" s="10" t="e">
        <f t="shared" si="27"/>
        <v>#REF!</v>
      </c>
      <c r="CG77" s="10" t="e">
        <f t="shared" si="27"/>
        <v>#REF!</v>
      </c>
      <c r="CH77" s="10" t="e">
        <f t="shared" si="27"/>
        <v>#REF!</v>
      </c>
      <c r="CI77" s="10" t="e">
        <f t="shared" si="27"/>
        <v>#REF!</v>
      </c>
      <c r="CJ77" s="10" t="e">
        <f t="shared" si="27"/>
        <v>#REF!</v>
      </c>
      <c r="CK77" s="10" t="e">
        <f t="shared" si="27"/>
        <v>#REF!</v>
      </c>
      <c r="CL77" s="10" t="e">
        <f t="shared" si="27"/>
        <v>#REF!</v>
      </c>
      <c r="CM77" s="10" t="e">
        <f t="shared" si="27"/>
        <v>#REF!</v>
      </c>
      <c r="CN77" s="10" t="e">
        <f t="shared" si="27"/>
        <v>#REF!</v>
      </c>
      <c r="CO77" s="10" t="e">
        <f t="shared" si="27"/>
        <v>#REF!</v>
      </c>
      <c r="CP77" s="10" t="e">
        <f t="shared" si="27"/>
        <v>#REF!</v>
      </c>
      <c r="CQ77" s="10" t="e">
        <f t="shared" si="27"/>
        <v>#REF!</v>
      </c>
    </row>
    <row r="78" spans="1:95" ht="15" x14ac:dyDescent="0.25">
      <c r="C78" t="s">
        <v>352</v>
      </c>
      <c r="H78" s="54" t="s">
        <v>3</v>
      </c>
      <c r="J78" s="220" t="e">
        <f>SUM(P78:CQ78)</f>
        <v>#REF!</v>
      </c>
      <c r="N78" s="19"/>
      <c r="P78" s="10" t="e">
        <f>P75*P28</f>
        <v>#REF!</v>
      </c>
      <c r="Q78" s="10" t="e">
        <f t="shared" ref="Q78:CB78" si="28">Q75*Q28</f>
        <v>#REF!</v>
      </c>
      <c r="R78" s="10" t="e">
        <f t="shared" si="28"/>
        <v>#REF!</v>
      </c>
      <c r="S78" s="10" t="e">
        <f t="shared" si="28"/>
        <v>#REF!</v>
      </c>
      <c r="T78" s="10" t="e">
        <f t="shared" si="28"/>
        <v>#REF!</v>
      </c>
      <c r="U78" s="10" t="e">
        <f t="shared" si="28"/>
        <v>#REF!</v>
      </c>
      <c r="V78" s="10" t="e">
        <f t="shared" si="28"/>
        <v>#REF!</v>
      </c>
      <c r="W78" s="10" t="e">
        <f t="shared" si="28"/>
        <v>#REF!</v>
      </c>
      <c r="X78" s="10" t="e">
        <f t="shared" si="28"/>
        <v>#REF!</v>
      </c>
      <c r="Y78" s="10" t="e">
        <f t="shared" si="28"/>
        <v>#REF!</v>
      </c>
      <c r="Z78" s="10" t="e">
        <f t="shared" si="28"/>
        <v>#REF!</v>
      </c>
      <c r="AA78" s="10" t="e">
        <f t="shared" si="28"/>
        <v>#REF!</v>
      </c>
      <c r="AB78" s="10" t="e">
        <f t="shared" si="28"/>
        <v>#REF!</v>
      </c>
      <c r="AC78" s="10" t="e">
        <f t="shared" si="28"/>
        <v>#REF!</v>
      </c>
      <c r="AD78" s="10" t="e">
        <f t="shared" si="28"/>
        <v>#REF!</v>
      </c>
      <c r="AE78" s="10" t="e">
        <f t="shared" si="28"/>
        <v>#REF!</v>
      </c>
      <c r="AF78" s="10" t="e">
        <f t="shared" si="28"/>
        <v>#REF!</v>
      </c>
      <c r="AG78" s="10" t="e">
        <f t="shared" si="28"/>
        <v>#REF!</v>
      </c>
      <c r="AH78" s="10" t="e">
        <f t="shared" si="28"/>
        <v>#REF!</v>
      </c>
      <c r="AI78" s="10" t="e">
        <f t="shared" si="28"/>
        <v>#REF!</v>
      </c>
      <c r="AJ78" s="10" t="e">
        <f t="shared" si="28"/>
        <v>#REF!</v>
      </c>
      <c r="AK78" s="10" t="e">
        <f t="shared" si="28"/>
        <v>#REF!</v>
      </c>
      <c r="AL78" s="10" t="e">
        <f t="shared" si="28"/>
        <v>#REF!</v>
      </c>
      <c r="AM78" s="10" t="e">
        <f t="shared" si="28"/>
        <v>#REF!</v>
      </c>
      <c r="AN78" s="10" t="e">
        <f t="shared" si="28"/>
        <v>#REF!</v>
      </c>
      <c r="AO78" s="10" t="e">
        <f t="shared" si="28"/>
        <v>#REF!</v>
      </c>
      <c r="AP78" s="10" t="e">
        <f t="shared" si="28"/>
        <v>#REF!</v>
      </c>
      <c r="AQ78" s="10" t="e">
        <f t="shared" si="28"/>
        <v>#REF!</v>
      </c>
      <c r="AR78" s="10" t="e">
        <f t="shared" si="28"/>
        <v>#REF!</v>
      </c>
      <c r="AS78" s="10" t="e">
        <f t="shared" si="28"/>
        <v>#REF!</v>
      </c>
      <c r="AT78" s="10" t="e">
        <f t="shared" si="28"/>
        <v>#REF!</v>
      </c>
      <c r="AU78" s="10" t="e">
        <f t="shared" si="28"/>
        <v>#REF!</v>
      </c>
      <c r="AV78" s="10" t="e">
        <f t="shared" si="28"/>
        <v>#REF!</v>
      </c>
      <c r="AW78" s="10" t="e">
        <f t="shared" si="28"/>
        <v>#REF!</v>
      </c>
      <c r="AX78" s="10" t="e">
        <f t="shared" si="28"/>
        <v>#REF!</v>
      </c>
      <c r="AY78" s="10" t="e">
        <f t="shared" si="28"/>
        <v>#REF!</v>
      </c>
      <c r="AZ78" s="10" t="e">
        <f t="shared" si="28"/>
        <v>#REF!</v>
      </c>
      <c r="BA78" s="10" t="e">
        <f t="shared" si="28"/>
        <v>#REF!</v>
      </c>
      <c r="BB78" s="10" t="e">
        <f t="shared" si="28"/>
        <v>#REF!</v>
      </c>
      <c r="BC78" s="10" t="e">
        <f t="shared" si="28"/>
        <v>#REF!</v>
      </c>
      <c r="BD78" s="10" t="e">
        <f t="shared" si="28"/>
        <v>#REF!</v>
      </c>
      <c r="BE78" s="10" t="e">
        <f t="shared" si="28"/>
        <v>#REF!</v>
      </c>
      <c r="BF78" s="10" t="e">
        <f t="shared" si="28"/>
        <v>#REF!</v>
      </c>
      <c r="BG78" s="10" t="e">
        <f t="shared" si="28"/>
        <v>#REF!</v>
      </c>
      <c r="BH78" s="10" t="e">
        <f t="shared" si="28"/>
        <v>#REF!</v>
      </c>
      <c r="BI78" s="10" t="e">
        <f t="shared" si="28"/>
        <v>#REF!</v>
      </c>
      <c r="BJ78" s="10" t="e">
        <f t="shared" si="28"/>
        <v>#REF!</v>
      </c>
      <c r="BK78" s="10" t="e">
        <f t="shared" si="28"/>
        <v>#REF!</v>
      </c>
      <c r="BL78" s="10" t="e">
        <f t="shared" si="28"/>
        <v>#REF!</v>
      </c>
      <c r="BM78" s="10" t="e">
        <f t="shared" si="28"/>
        <v>#REF!</v>
      </c>
      <c r="BN78" s="10" t="e">
        <f t="shared" si="28"/>
        <v>#REF!</v>
      </c>
      <c r="BO78" s="10" t="e">
        <f t="shared" si="28"/>
        <v>#REF!</v>
      </c>
      <c r="BP78" s="10" t="e">
        <f t="shared" si="28"/>
        <v>#REF!</v>
      </c>
      <c r="BQ78" s="10" t="e">
        <f t="shared" si="28"/>
        <v>#REF!</v>
      </c>
      <c r="BR78" s="10" t="e">
        <f t="shared" si="28"/>
        <v>#REF!</v>
      </c>
      <c r="BS78" s="10" t="e">
        <f t="shared" si="28"/>
        <v>#REF!</v>
      </c>
      <c r="BT78" s="10" t="e">
        <f t="shared" si="28"/>
        <v>#REF!</v>
      </c>
      <c r="BU78" s="10" t="e">
        <f t="shared" si="28"/>
        <v>#REF!</v>
      </c>
      <c r="BV78" s="10" t="e">
        <f t="shared" si="28"/>
        <v>#REF!</v>
      </c>
      <c r="BW78" s="10" t="e">
        <f t="shared" si="28"/>
        <v>#REF!</v>
      </c>
      <c r="BX78" s="10" t="e">
        <f t="shared" si="28"/>
        <v>#REF!</v>
      </c>
      <c r="BY78" s="10" t="e">
        <f t="shared" si="28"/>
        <v>#REF!</v>
      </c>
      <c r="BZ78" s="10" t="e">
        <f t="shared" si="28"/>
        <v>#REF!</v>
      </c>
      <c r="CA78" s="10" t="e">
        <f t="shared" si="28"/>
        <v>#REF!</v>
      </c>
      <c r="CB78" s="10" t="e">
        <f t="shared" si="28"/>
        <v>#REF!</v>
      </c>
      <c r="CC78" s="10" t="e">
        <f t="shared" ref="CC78:CQ78" si="29">CC75*CC28</f>
        <v>#REF!</v>
      </c>
      <c r="CD78" s="10" t="e">
        <f t="shared" si="29"/>
        <v>#REF!</v>
      </c>
      <c r="CE78" s="10" t="e">
        <f t="shared" si="29"/>
        <v>#REF!</v>
      </c>
      <c r="CF78" s="10" t="e">
        <f t="shared" si="29"/>
        <v>#REF!</v>
      </c>
      <c r="CG78" s="10" t="e">
        <f t="shared" si="29"/>
        <v>#REF!</v>
      </c>
      <c r="CH78" s="10" t="e">
        <f t="shared" si="29"/>
        <v>#REF!</v>
      </c>
      <c r="CI78" s="10" t="e">
        <f t="shared" si="29"/>
        <v>#REF!</v>
      </c>
      <c r="CJ78" s="10" t="e">
        <f t="shared" si="29"/>
        <v>#REF!</v>
      </c>
      <c r="CK78" s="10" t="e">
        <f t="shared" si="29"/>
        <v>#REF!</v>
      </c>
      <c r="CL78" s="10" t="e">
        <f t="shared" si="29"/>
        <v>#REF!</v>
      </c>
      <c r="CM78" s="10" t="e">
        <f t="shared" si="29"/>
        <v>#REF!</v>
      </c>
      <c r="CN78" s="10" t="e">
        <f t="shared" si="29"/>
        <v>#REF!</v>
      </c>
      <c r="CO78" s="10" t="e">
        <f t="shared" si="29"/>
        <v>#REF!</v>
      </c>
      <c r="CP78" s="10" t="e">
        <f t="shared" si="29"/>
        <v>#REF!</v>
      </c>
      <c r="CQ78" s="10" t="e">
        <f t="shared" si="29"/>
        <v>#REF!</v>
      </c>
    </row>
    <row r="79" spans="1:95" ht="15" x14ac:dyDescent="0.25">
      <c r="C79"/>
      <c r="J79" s="54"/>
      <c r="N79" s="19"/>
    </row>
    <row r="80" spans="1:95" ht="15" x14ac:dyDescent="0.25">
      <c r="C80"/>
      <c r="H80" s="54"/>
      <c r="N80" s="19"/>
    </row>
    <row r="81" spans="1:10" s="292" customFormat="1" ht="12.75" customHeight="1" x14ac:dyDescent="0.25">
      <c r="A81" s="299" t="s">
        <v>53</v>
      </c>
      <c r="I81" s="313"/>
      <c r="J81" s="284"/>
    </row>
  </sheetData>
  <conditionalFormatting sqref="CU7:DD7">
    <cfRule type="expression" dxfId="51" priority="27">
      <formula>CU7="Ops"</formula>
    </cfRule>
    <cfRule type="expression" dxfId="50" priority="28">
      <formula>CU7="Const"</formula>
    </cfRule>
  </conditionalFormatting>
  <conditionalFormatting sqref="P7:CT7">
    <cfRule type="expression" dxfId="49" priority="25">
      <formula>P7="Ops"</formula>
    </cfRule>
    <cfRule type="expression" dxfId="48" priority="26">
      <formula>P7="Const"</formula>
    </cfRule>
  </conditionalFormatting>
  <conditionalFormatting sqref="J2:J3">
    <cfRule type="expression" dxfId="47" priority="24">
      <formula>#REF!=TRUE</formula>
    </cfRule>
  </conditionalFormatting>
  <conditionalFormatting sqref="J5:J6">
    <cfRule type="expression" dxfId="46" priority="23">
      <formula>#REF!=TRUE</formula>
    </cfRule>
  </conditionalFormatting>
  <conditionalFormatting sqref="J7">
    <cfRule type="expression" dxfId="45" priority="22">
      <formula>#REF!=TRUE</formula>
    </cfRule>
  </conditionalFormatting>
  <conditionalFormatting sqref="J47">
    <cfRule type="expression" dxfId="44" priority="9">
      <formula>J$12=TRUE</formula>
    </cfRule>
  </conditionalFormatting>
  <conditionalFormatting sqref="J51">
    <cfRule type="expression" dxfId="43" priority="8">
      <formula>J$12=TRUE</formula>
    </cfRule>
  </conditionalFormatting>
  <conditionalFormatting sqref="J55">
    <cfRule type="expression" dxfId="42" priority="7">
      <formula>J$12=TRUE</formula>
    </cfRule>
  </conditionalFormatting>
  <conditionalFormatting sqref="J56">
    <cfRule type="expression" dxfId="41" priority="6">
      <formula>J$12=TRUE</formula>
    </cfRule>
  </conditionalFormatting>
  <conditionalFormatting sqref="P62:IC62">
    <cfRule type="expression" dxfId="40" priority="5">
      <formula>P62=$K61</formula>
    </cfRule>
  </conditionalFormatting>
  <conditionalFormatting sqref="J65">
    <cfRule type="expression" dxfId="39" priority="4">
      <formula>J$12=TRUE</formula>
    </cfRule>
  </conditionalFormatting>
  <conditionalFormatting sqref="J71">
    <cfRule type="expression" dxfId="38" priority="3">
      <formula>J$12=TRUE</formula>
    </cfRule>
  </conditionalFormatting>
  <conditionalFormatting sqref="P75:CQ75">
    <cfRule type="expression" dxfId="37" priority="2">
      <formula>P75=$K74</formula>
    </cfRule>
  </conditionalFormatting>
  <conditionalFormatting sqref="J78">
    <cfRule type="expression" dxfId="36" priority="1">
      <formula>J$12=TRUE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1C9F-C0D2-44AA-AFE0-A9A85DCB8093}">
  <sheetPr codeName="Sheet15">
    <tabColor theme="3" tint="-0.499984740745262"/>
  </sheetPr>
  <dimension ref="A1:DD28"/>
  <sheetViews>
    <sheetView showGridLines="0" zoomScale="50" zoomScaleNormal="50" workbookViewId="0">
      <pane xSplit="14" ySplit="8" topLeftCell="O9" activePane="bottomRight" state="frozen"/>
      <selection activeCell="I6" sqref="I6"/>
      <selection pane="topRight" activeCell="I6" sqref="I6"/>
      <selection pane="bottomLeft" activeCell="I6" sqref="I6"/>
      <selection pane="bottomRight" activeCell="P13" sqref="P13"/>
    </sheetView>
  </sheetViews>
  <sheetFormatPr defaultColWidth="0" defaultRowHeight="12.75" customHeight="1" zeroHeight="1" x14ac:dyDescent="0.25"/>
  <cols>
    <col min="1" max="2" width="3.28515625" customWidth="1"/>
    <col min="3" max="3" width="3.28515625" style="184" customWidth="1"/>
    <col min="4" max="7" width="13.140625" customWidth="1"/>
    <col min="8" max="8" width="12.28515625" customWidth="1"/>
    <col min="9" max="9" width="8" customWidth="1"/>
    <col min="10" max="11" width="16" customWidth="1"/>
    <col min="12" max="13" width="6.57031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1:108" s="282" customFormat="1" ht="12.75" customHeight="1" x14ac:dyDescent="0.2">
      <c r="C1" s="283"/>
      <c r="H1" s="284"/>
    </row>
    <row r="2" spans="1:108" s="282" customFormat="1" ht="12.75" customHeight="1" x14ac:dyDescent="0.2">
      <c r="C2" s="283"/>
      <c r="H2" s="284"/>
      <c r="J2" s="285"/>
    </row>
    <row r="3" spans="1:108" s="282" customFormat="1" ht="12.75" customHeight="1" x14ac:dyDescent="0.2">
      <c r="C3" s="283"/>
      <c r="H3" s="284"/>
      <c r="J3" s="286"/>
    </row>
    <row r="4" spans="1:108" s="282" customFormat="1" ht="12.75" customHeight="1" x14ac:dyDescent="0.2">
      <c r="C4" s="283"/>
      <c r="H4" s="284"/>
    </row>
    <row r="5" spans="1:108" s="282" customFormat="1" ht="12.75" customHeight="1" x14ac:dyDescent="0.2">
      <c r="C5" s="283"/>
      <c r="H5" s="284"/>
      <c r="J5" s="285"/>
      <c r="N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C6" s="283"/>
      <c r="H6" s="284"/>
      <c r="J6" s="286"/>
      <c r="N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C7" s="283"/>
      <c r="H7" s="284"/>
      <c r="J7" s="286"/>
      <c r="N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C8" s="283"/>
      <c r="H8" s="284"/>
    </row>
    <row r="9" spans="1:108" s="5" customFormat="1" x14ac:dyDescent="0.2">
      <c r="A9" s="5" t="s">
        <v>365</v>
      </c>
      <c r="C9" s="6"/>
      <c r="H9" s="137"/>
      <c r="I9" s="8"/>
    </row>
    <row r="10" spans="1:108" ht="15" x14ac:dyDescent="0.25">
      <c r="C10"/>
      <c r="H10" s="54"/>
      <c r="N10" s="19"/>
    </row>
    <row r="11" spans="1:108" ht="15" x14ac:dyDescent="0.25">
      <c r="B11" s="23" t="s">
        <v>366</v>
      </c>
      <c r="C11"/>
      <c r="H11" s="54"/>
      <c r="N11" s="19"/>
    </row>
    <row r="12" spans="1:108" ht="15" x14ac:dyDescent="0.25">
      <c r="C12"/>
      <c r="H12" s="54"/>
      <c r="N12" s="19"/>
    </row>
    <row r="13" spans="1:108" ht="15" x14ac:dyDescent="0.25">
      <c r="B13" t="s">
        <v>254</v>
      </c>
      <c r="C13"/>
      <c r="H13" s="54" t="s">
        <v>3</v>
      </c>
      <c r="N13" s="25" t="e">
        <f t="shared" ref="N13" si="1">SUM(P13:DD13)</f>
        <v>#REF!</v>
      </c>
      <c r="P13" s="10" t="e">
        <f>CF!P26</f>
        <v>#REF!</v>
      </c>
      <c r="Q13" s="10" t="e">
        <f>CF!Q26</f>
        <v>#REF!</v>
      </c>
      <c r="R13" s="10" t="e">
        <f>CF!R26</f>
        <v>#REF!</v>
      </c>
      <c r="S13" s="10" t="e">
        <f>CF!S26</f>
        <v>#REF!</v>
      </c>
      <c r="T13" s="10" t="e">
        <f>CF!T26</f>
        <v>#REF!</v>
      </c>
      <c r="U13" s="10" t="e">
        <f>CF!U26</f>
        <v>#REF!</v>
      </c>
      <c r="V13" s="10" t="e">
        <f>CF!V26</f>
        <v>#REF!</v>
      </c>
      <c r="W13" s="10" t="e">
        <f>CF!W26</f>
        <v>#REF!</v>
      </c>
      <c r="X13" s="10" t="e">
        <f>CF!X26</f>
        <v>#REF!</v>
      </c>
      <c r="Y13" s="10" t="e">
        <f>CF!Y26</f>
        <v>#REF!</v>
      </c>
      <c r="Z13" s="10" t="e">
        <f>CF!Z26</f>
        <v>#REF!</v>
      </c>
      <c r="AA13" s="10" t="e">
        <f>CF!AA26</f>
        <v>#REF!</v>
      </c>
      <c r="AB13" s="10" t="e">
        <f>CF!AB26</f>
        <v>#REF!</v>
      </c>
      <c r="AC13" s="10" t="e">
        <f>CF!AC26</f>
        <v>#REF!</v>
      </c>
      <c r="AD13" s="10" t="e">
        <f>CF!AD26</f>
        <v>#REF!</v>
      </c>
      <c r="AE13" s="10" t="e">
        <f>CF!AE26</f>
        <v>#REF!</v>
      </c>
      <c r="AF13" s="10" t="e">
        <f>CF!AF26</f>
        <v>#REF!</v>
      </c>
      <c r="AG13" s="10" t="e">
        <f>CF!AG26</f>
        <v>#REF!</v>
      </c>
      <c r="AH13" s="10" t="e">
        <f>CF!AH26</f>
        <v>#REF!</v>
      </c>
      <c r="AI13" s="10" t="e">
        <f>CF!AI26</f>
        <v>#REF!</v>
      </c>
      <c r="AJ13" s="10" t="e">
        <f>CF!AJ26</f>
        <v>#REF!</v>
      </c>
      <c r="AK13" s="10" t="e">
        <f>CF!AK26</f>
        <v>#REF!</v>
      </c>
      <c r="AL13" s="10" t="e">
        <f>CF!AL26</f>
        <v>#REF!</v>
      </c>
      <c r="AM13" s="10" t="e">
        <f>CF!AM26</f>
        <v>#REF!</v>
      </c>
      <c r="AN13" s="10" t="e">
        <f>CF!AN26</f>
        <v>#REF!</v>
      </c>
      <c r="AO13" s="10" t="e">
        <f>CF!AO26</f>
        <v>#REF!</v>
      </c>
      <c r="AP13" s="10" t="e">
        <f>CF!AP26</f>
        <v>#REF!</v>
      </c>
      <c r="AQ13" s="10" t="e">
        <f>CF!AQ26</f>
        <v>#REF!</v>
      </c>
      <c r="AR13" s="10" t="e">
        <f>CF!AR26</f>
        <v>#REF!</v>
      </c>
      <c r="AS13" s="10" t="e">
        <f>CF!AS26</f>
        <v>#REF!</v>
      </c>
      <c r="AT13" s="10" t="e">
        <f>CF!AT26</f>
        <v>#REF!</v>
      </c>
      <c r="AU13" s="10" t="e">
        <f>CF!AU26</f>
        <v>#REF!</v>
      </c>
      <c r="AV13" s="10" t="e">
        <f>CF!AV26</f>
        <v>#REF!</v>
      </c>
      <c r="AW13" s="10" t="e">
        <f>CF!AW26</f>
        <v>#REF!</v>
      </c>
      <c r="AX13" s="10" t="e">
        <f>CF!AX26</f>
        <v>#REF!</v>
      </c>
      <c r="AY13" s="10" t="e">
        <f>CF!AY26</f>
        <v>#REF!</v>
      </c>
      <c r="AZ13" s="10" t="e">
        <f>CF!AZ26</f>
        <v>#REF!</v>
      </c>
      <c r="BA13" s="10" t="e">
        <f>CF!BA26</f>
        <v>#REF!</v>
      </c>
      <c r="BB13" s="10" t="e">
        <f>CF!BB26</f>
        <v>#REF!</v>
      </c>
      <c r="BC13" s="10" t="e">
        <f>CF!BC26</f>
        <v>#REF!</v>
      </c>
      <c r="BD13" s="10" t="e">
        <f>CF!BD26</f>
        <v>#REF!</v>
      </c>
      <c r="BE13" s="10" t="e">
        <f>CF!BE26</f>
        <v>#REF!</v>
      </c>
      <c r="BF13" s="10" t="e">
        <f>CF!BF26</f>
        <v>#REF!</v>
      </c>
      <c r="BG13" s="10" t="e">
        <f>CF!BG26</f>
        <v>#REF!</v>
      </c>
      <c r="BH13" s="10" t="e">
        <f>CF!BH26</f>
        <v>#REF!</v>
      </c>
      <c r="BI13" s="10" t="e">
        <f>CF!BI26</f>
        <v>#REF!</v>
      </c>
      <c r="BJ13" s="10" t="e">
        <f>CF!BJ26</f>
        <v>#REF!</v>
      </c>
      <c r="BK13" s="10" t="e">
        <f>CF!BK26</f>
        <v>#REF!</v>
      </c>
      <c r="BL13" s="10" t="e">
        <f>CF!BL26</f>
        <v>#REF!</v>
      </c>
      <c r="BM13" s="10" t="e">
        <f>CF!BM26</f>
        <v>#REF!</v>
      </c>
      <c r="BN13" s="10" t="e">
        <f>CF!BN26</f>
        <v>#REF!</v>
      </c>
      <c r="BO13" s="10" t="e">
        <f>CF!BO26</f>
        <v>#REF!</v>
      </c>
      <c r="BP13" s="10" t="e">
        <f>CF!BP26</f>
        <v>#REF!</v>
      </c>
      <c r="BQ13" s="10" t="e">
        <f>CF!BQ26</f>
        <v>#REF!</v>
      </c>
      <c r="BR13" s="10" t="e">
        <f>CF!BR26</f>
        <v>#REF!</v>
      </c>
      <c r="BS13" s="10" t="e">
        <f>CF!BS26</f>
        <v>#REF!</v>
      </c>
      <c r="BT13" s="10" t="e">
        <f>CF!BT26</f>
        <v>#REF!</v>
      </c>
      <c r="BU13" s="10" t="e">
        <f>CF!BU26</f>
        <v>#REF!</v>
      </c>
      <c r="BV13" s="10" t="e">
        <f>CF!BV26</f>
        <v>#REF!</v>
      </c>
      <c r="BW13" s="10" t="e">
        <f>CF!BW26</f>
        <v>#REF!</v>
      </c>
      <c r="BX13" s="10" t="e">
        <f>CF!BX26</f>
        <v>#REF!</v>
      </c>
      <c r="BY13" s="10" t="e">
        <f>CF!BY26</f>
        <v>#REF!</v>
      </c>
      <c r="BZ13" s="10" t="e">
        <f>CF!BZ26</f>
        <v>#REF!</v>
      </c>
      <c r="CA13" s="10" t="e">
        <f>CF!CA26</f>
        <v>#REF!</v>
      </c>
      <c r="CB13" s="10" t="e">
        <f>CF!CB26</f>
        <v>#REF!</v>
      </c>
      <c r="CC13" s="10" t="e">
        <f>CF!CC26</f>
        <v>#REF!</v>
      </c>
      <c r="CD13" s="10" t="e">
        <f>CF!CD26</f>
        <v>#REF!</v>
      </c>
      <c r="CE13" s="10" t="e">
        <f>CF!CE26</f>
        <v>#REF!</v>
      </c>
      <c r="CF13" s="10" t="e">
        <f>CF!CF26</f>
        <v>#REF!</v>
      </c>
      <c r="CG13" s="10" t="e">
        <f>CF!CG26</f>
        <v>#REF!</v>
      </c>
      <c r="CH13" s="10" t="e">
        <f>CF!CH26</f>
        <v>#REF!</v>
      </c>
      <c r="CI13" s="10" t="e">
        <f>CF!CI26</f>
        <v>#REF!</v>
      </c>
      <c r="CJ13" s="10" t="e">
        <f>CF!CJ26</f>
        <v>#REF!</v>
      </c>
      <c r="CK13" s="10" t="e">
        <f>CF!CK26</f>
        <v>#REF!</v>
      </c>
      <c r="CL13" s="10" t="e">
        <f>CF!CL26</f>
        <v>#REF!</v>
      </c>
      <c r="CM13" s="10" t="e">
        <f>CF!CM26</f>
        <v>#REF!</v>
      </c>
      <c r="CN13" s="10" t="e">
        <f>CF!CN26</f>
        <v>#REF!</v>
      </c>
      <c r="CO13" s="10" t="e">
        <f>CF!CO26</f>
        <v>#REF!</v>
      </c>
      <c r="CP13" s="10" t="e">
        <f>CF!CP26</f>
        <v>#REF!</v>
      </c>
      <c r="CQ13" s="10" t="e">
        <f>CF!CQ26</f>
        <v>#REF!</v>
      </c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</row>
    <row r="14" spans="1:108" ht="15" x14ac:dyDescent="0.25">
      <c r="C14"/>
      <c r="H14" s="54"/>
      <c r="N14" s="19"/>
    </row>
    <row r="15" spans="1:108" ht="15" x14ac:dyDescent="0.25">
      <c r="C15"/>
      <c r="H15" s="54"/>
      <c r="N15" s="19"/>
    </row>
    <row r="16" spans="1:108" ht="15" x14ac:dyDescent="0.25">
      <c r="B16" s="23" t="s">
        <v>367</v>
      </c>
      <c r="C16"/>
      <c r="H16" s="54"/>
      <c r="N16" s="19"/>
    </row>
    <row r="17" spans="1:106" ht="15" x14ac:dyDescent="0.25">
      <c r="C17"/>
      <c r="H17" s="54"/>
      <c r="N17" s="19"/>
    </row>
    <row r="18" spans="1:106" ht="15" x14ac:dyDescent="0.25">
      <c r="B18" s="222" t="s">
        <v>254</v>
      </c>
      <c r="C18" s="222"/>
      <c r="D18" s="222"/>
      <c r="E18" s="222"/>
      <c r="F18" s="222"/>
      <c r="G18" s="222"/>
      <c r="H18" s="223" t="s">
        <v>3</v>
      </c>
      <c r="I18" s="222"/>
      <c r="J18" s="222"/>
      <c r="K18" s="222"/>
      <c r="L18" s="222"/>
      <c r="M18" s="222"/>
      <c r="N18" s="25">
        <f t="shared" ref="N18" si="2">SUM(P18:DD18)</f>
        <v>33308.240118642425</v>
      </c>
      <c r="O18" s="222"/>
      <c r="P18" s="224">
        <v>0</v>
      </c>
      <c r="Q18" s="224">
        <v>0</v>
      </c>
      <c r="R18" s="224">
        <v>0</v>
      </c>
      <c r="S18" s="224">
        <v>689.23646455462131</v>
      </c>
      <c r="T18" s="224">
        <v>726.07617346983329</v>
      </c>
      <c r="U18" s="224">
        <v>724.84726961310537</v>
      </c>
      <c r="V18" s="224">
        <v>721.96016533128272</v>
      </c>
      <c r="W18" s="224">
        <v>695.31556848982996</v>
      </c>
      <c r="X18" s="224">
        <v>715.36459821689311</v>
      </c>
      <c r="Y18" s="224">
        <v>713.20072603653944</v>
      </c>
      <c r="Z18" s="224">
        <v>711.44951405903475</v>
      </c>
      <c r="AA18" s="224">
        <v>708.32579318035619</v>
      </c>
      <c r="AB18" s="224">
        <v>680.98730996863117</v>
      </c>
      <c r="AC18" s="224">
        <v>701.27340845456899</v>
      </c>
      <c r="AD18" s="224">
        <v>698.84138998335129</v>
      </c>
      <c r="AE18" s="224">
        <v>696.51199800159645</v>
      </c>
      <c r="AF18" s="224">
        <v>693.11467781459464</v>
      </c>
      <c r="AG18" s="224">
        <v>665.02373588888156</v>
      </c>
      <c r="AH18" s="224">
        <v>685.5324636195769</v>
      </c>
      <c r="AI18" s="224">
        <v>682.79129418916682</v>
      </c>
      <c r="AJ18" s="224">
        <v>679.81559859515005</v>
      </c>
      <c r="AK18" s="224">
        <v>676.09994621196131</v>
      </c>
      <c r="AL18" s="224">
        <v>647.19019686492595</v>
      </c>
      <c r="AM18" s="224">
        <v>667.90008451344318</v>
      </c>
      <c r="AN18" s="224">
        <v>664.80014662273754</v>
      </c>
      <c r="AO18" s="224">
        <v>661.09514885070848</v>
      </c>
      <c r="AP18" s="224">
        <v>657.00684880437257</v>
      </c>
      <c r="AQ18" s="224">
        <v>627.20327059094939</v>
      </c>
      <c r="AR18" s="224">
        <v>648.08390300336418</v>
      </c>
      <c r="AS18" s="224">
        <v>646.98601261377337</v>
      </c>
      <c r="AT18" s="224">
        <v>645.10118881380924</v>
      </c>
      <c r="AU18" s="224">
        <v>643.19751677584543</v>
      </c>
      <c r="AV18" s="224">
        <v>615.09828022476381</v>
      </c>
      <c r="AW18" s="224">
        <v>638.74858850222404</v>
      </c>
      <c r="AX18" s="224">
        <v>637.53557238905933</v>
      </c>
      <c r="AY18" s="224">
        <v>635.5546036326291</v>
      </c>
      <c r="AZ18" s="224">
        <v>633.55382518863485</v>
      </c>
      <c r="BA18" s="224">
        <v>604.82207200916059</v>
      </c>
      <c r="BB18" s="224">
        <v>628.98779205161054</v>
      </c>
      <c r="BC18" s="224">
        <v>627.65377764594439</v>
      </c>
      <c r="BD18" s="224">
        <v>625.57175957400227</v>
      </c>
      <c r="BE18" s="224">
        <v>623.46892132134087</v>
      </c>
      <c r="BF18" s="224">
        <v>594.11939015924486</v>
      </c>
      <c r="BG18" s="224">
        <v>618.82681314663853</v>
      </c>
      <c r="BH18" s="224">
        <v>617.36562831950846</v>
      </c>
      <c r="BI18" s="224">
        <v>615.17740640140755</v>
      </c>
      <c r="BJ18" s="224">
        <v>612.96730226412569</v>
      </c>
      <c r="BK18" s="224">
        <v>583.120180134968</v>
      </c>
      <c r="BL18" s="224">
        <v>608.3969383616668</v>
      </c>
      <c r="BM18" s="224">
        <v>606.80209614350269</v>
      </c>
      <c r="BN18" s="224">
        <v>604.50225291572963</v>
      </c>
      <c r="BO18" s="224">
        <v>602.17941125567859</v>
      </c>
      <c r="BP18" s="224">
        <v>573.13273322016414</v>
      </c>
      <c r="BQ18" s="224">
        <v>599.00786850524833</v>
      </c>
      <c r="BR18" s="224">
        <v>27.314492142264442</v>
      </c>
      <c r="BS18" s="224">
        <v>0</v>
      </c>
      <c r="BT18" s="224">
        <v>0</v>
      </c>
      <c r="BU18" s="224">
        <v>0</v>
      </c>
      <c r="BV18" s="224">
        <v>0</v>
      </c>
      <c r="BW18" s="224">
        <v>0</v>
      </c>
      <c r="BX18" s="224">
        <v>0</v>
      </c>
      <c r="BY18" s="224">
        <v>0</v>
      </c>
      <c r="BZ18" s="224">
        <v>0</v>
      </c>
      <c r="CA18" s="224">
        <v>0</v>
      </c>
      <c r="CB18" s="224">
        <v>0</v>
      </c>
      <c r="CC18" s="224">
        <v>0</v>
      </c>
      <c r="CD18" s="224">
        <v>0</v>
      </c>
      <c r="CE18" s="224">
        <v>0</v>
      </c>
      <c r="CF18" s="224">
        <v>0</v>
      </c>
      <c r="CG18" s="224">
        <v>0</v>
      </c>
      <c r="CH18" s="224">
        <v>0</v>
      </c>
      <c r="CI18" s="224">
        <v>0</v>
      </c>
      <c r="CJ18" s="224">
        <v>0</v>
      </c>
      <c r="CK18" s="224">
        <v>0</v>
      </c>
      <c r="CL18" s="224">
        <v>0</v>
      </c>
      <c r="CM18" s="224">
        <v>0</v>
      </c>
      <c r="CN18" s="224">
        <v>0</v>
      </c>
      <c r="CO18" s="224">
        <v>0</v>
      </c>
      <c r="CP18" s="224">
        <v>0</v>
      </c>
      <c r="CQ18" s="224">
        <v>0</v>
      </c>
      <c r="CR18" s="224"/>
      <c r="CS18" s="224"/>
      <c r="CT18" s="224"/>
      <c r="CU18" s="224"/>
      <c r="CV18" s="224"/>
      <c r="CW18" s="224"/>
      <c r="CX18" s="224"/>
      <c r="CY18" s="224"/>
      <c r="CZ18" s="224"/>
      <c r="DA18" s="224"/>
      <c r="DB18" s="224"/>
    </row>
    <row r="19" spans="1:106" ht="15" x14ac:dyDescent="0.25">
      <c r="C19"/>
      <c r="H19" s="54"/>
      <c r="N19" s="19"/>
    </row>
    <row r="20" spans="1:106" ht="15" x14ac:dyDescent="0.25">
      <c r="C20"/>
      <c r="H20" s="54"/>
      <c r="N20" s="19"/>
    </row>
    <row r="21" spans="1:106" s="5" customFormat="1" x14ac:dyDescent="0.2">
      <c r="A21" s="5" t="s">
        <v>24</v>
      </c>
      <c r="C21" s="6"/>
      <c r="H21" s="137"/>
      <c r="I21" s="8"/>
    </row>
    <row r="22" spans="1:106" ht="15" x14ac:dyDescent="0.25">
      <c r="C22"/>
      <c r="H22" s="54"/>
      <c r="N22" s="19"/>
    </row>
    <row r="23" spans="1:106" ht="15" x14ac:dyDescent="0.25">
      <c r="B23" t="s">
        <v>254</v>
      </c>
      <c r="C23"/>
      <c r="H23" s="54" t="s">
        <v>25</v>
      </c>
      <c r="J23" s="148" t="e">
        <f>AND(P23:DB23)</f>
        <v>#REF!</v>
      </c>
      <c r="N23" s="19"/>
      <c r="P23" s="148" t="e">
        <f t="shared" ref="P23:CA24" si="3">P13=P18</f>
        <v>#REF!</v>
      </c>
      <c r="Q23" s="148" t="e">
        <f t="shared" si="3"/>
        <v>#REF!</v>
      </c>
      <c r="R23" s="148" t="e">
        <f t="shared" si="3"/>
        <v>#REF!</v>
      </c>
      <c r="S23" s="148" t="e">
        <f t="shared" si="3"/>
        <v>#REF!</v>
      </c>
      <c r="T23" s="148" t="e">
        <f t="shared" si="3"/>
        <v>#REF!</v>
      </c>
      <c r="U23" s="148" t="e">
        <f t="shared" si="3"/>
        <v>#REF!</v>
      </c>
      <c r="V23" s="148" t="e">
        <f t="shared" si="3"/>
        <v>#REF!</v>
      </c>
      <c r="W23" s="148" t="e">
        <f t="shared" si="3"/>
        <v>#REF!</v>
      </c>
      <c r="X23" s="148" t="e">
        <f t="shared" si="3"/>
        <v>#REF!</v>
      </c>
      <c r="Y23" s="148" t="e">
        <f t="shared" si="3"/>
        <v>#REF!</v>
      </c>
      <c r="Z23" s="148" t="e">
        <f t="shared" si="3"/>
        <v>#REF!</v>
      </c>
      <c r="AA23" s="148" t="e">
        <f t="shared" si="3"/>
        <v>#REF!</v>
      </c>
      <c r="AB23" s="148" t="e">
        <f t="shared" si="3"/>
        <v>#REF!</v>
      </c>
      <c r="AC23" s="148" t="e">
        <f t="shared" si="3"/>
        <v>#REF!</v>
      </c>
      <c r="AD23" s="148" t="e">
        <f t="shared" si="3"/>
        <v>#REF!</v>
      </c>
      <c r="AE23" s="148" t="e">
        <f t="shared" si="3"/>
        <v>#REF!</v>
      </c>
      <c r="AF23" s="148" t="e">
        <f t="shared" si="3"/>
        <v>#REF!</v>
      </c>
      <c r="AG23" s="148" t="e">
        <f t="shared" si="3"/>
        <v>#REF!</v>
      </c>
      <c r="AH23" s="148" t="e">
        <f t="shared" si="3"/>
        <v>#REF!</v>
      </c>
      <c r="AI23" s="148" t="e">
        <f t="shared" si="3"/>
        <v>#REF!</v>
      </c>
      <c r="AJ23" s="148" t="e">
        <f t="shared" si="3"/>
        <v>#REF!</v>
      </c>
      <c r="AK23" s="148" t="e">
        <f t="shared" si="3"/>
        <v>#REF!</v>
      </c>
      <c r="AL23" s="148" t="e">
        <f t="shared" si="3"/>
        <v>#REF!</v>
      </c>
      <c r="AM23" s="148" t="e">
        <f t="shared" si="3"/>
        <v>#REF!</v>
      </c>
      <c r="AN23" s="148" t="e">
        <f t="shared" si="3"/>
        <v>#REF!</v>
      </c>
      <c r="AO23" s="148" t="e">
        <f t="shared" si="3"/>
        <v>#REF!</v>
      </c>
      <c r="AP23" s="148" t="e">
        <f t="shared" si="3"/>
        <v>#REF!</v>
      </c>
      <c r="AQ23" s="148" t="e">
        <f t="shared" si="3"/>
        <v>#REF!</v>
      </c>
      <c r="AR23" s="148" t="e">
        <f t="shared" si="3"/>
        <v>#REF!</v>
      </c>
      <c r="AS23" s="148" t="e">
        <f t="shared" si="3"/>
        <v>#REF!</v>
      </c>
      <c r="AT23" s="148" t="e">
        <f t="shared" si="3"/>
        <v>#REF!</v>
      </c>
      <c r="AU23" s="148" t="e">
        <f t="shared" si="3"/>
        <v>#REF!</v>
      </c>
      <c r="AV23" s="148" t="e">
        <f t="shared" si="3"/>
        <v>#REF!</v>
      </c>
      <c r="AW23" s="148" t="e">
        <f t="shared" si="3"/>
        <v>#REF!</v>
      </c>
      <c r="AX23" s="148" t="e">
        <f t="shared" si="3"/>
        <v>#REF!</v>
      </c>
      <c r="AY23" s="148" t="e">
        <f t="shared" si="3"/>
        <v>#REF!</v>
      </c>
      <c r="AZ23" s="148" t="e">
        <f t="shared" si="3"/>
        <v>#REF!</v>
      </c>
      <c r="BA23" s="148" t="e">
        <f t="shared" si="3"/>
        <v>#REF!</v>
      </c>
      <c r="BB23" s="148" t="e">
        <f t="shared" si="3"/>
        <v>#REF!</v>
      </c>
      <c r="BC23" s="148" t="e">
        <f t="shared" si="3"/>
        <v>#REF!</v>
      </c>
      <c r="BD23" s="148" t="e">
        <f t="shared" si="3"/>
        <v>#REF!</v>
      </c>
      <c r="BE23" s="148" t="e">
        <f t="shared" si="3"/>
        <v>#REF!</v>
      </c>
      <c r="BF23" s="148" t="e">
        <f t="shared" si="3"/>
        <v>#REF!</v>
      </c>
      <c r="BG23" s="148" t="e">
        <f t="shared" si="3"/>
        <v>#REF!</v>
      </c>
      <c r="BH23" s="148" t="e">
        <f t="shared" si="3"/>
        <v>#REF!</v>
      </c>
      <c r="BI23" s="148" t="e">
        <f t="shared" si="3"/>
        <v>#REF!</v>
      </c>
      <c r="BJ23" s="148" t="e">
        <f t="shared" si="3"/>
        <v>#REF!</v>
      </c>
      <c r="BK23" s="148" t="e">
        <f t="shared" si="3"/>
        <v>#REF!</v>
      </c>
      <c r="BL23" s="148" t="e">
        <f t="shared" si="3"/>
        <v>#REF!</v>
      </c>
      <c r="BM23" s="148" t="e">
        <f t="shared" si="3"/>
        <v>#REF!</v>
      </c>
      <c r="BN23" s="148" t="e">
        <f t="shared" si="3"/>
        <v>#REF!</v>
      </c>
      <c r="BO23" s="148" t="e">
        <f t="shared" si="3"/>
        <v>#REF!</v>
      </c>
      <c r="BP23" s="148" t="e">
        <f t="shared" si="3"/>
        <v>#REF!</v>
      </c>
      <c r="BQ23" s="148" t="e">
        <f t="shared" si="3"/>
        <v>#REF!</v>
      </c>
      <c r="BR23" s="148" t="e">
        <f t="shared" si="3"/>
        <v>#REF!</v>
      </c>
      <c r="BS23" s="148" t="e">
        <f t="shared" si="3"/>
        <v>#REF!</v>
      </c>
      <c r="BT23" s="148" t="e">
        <f t="shared" si="3"/>
        <v>#REF!</v>
      </c>
      <c r="BU23" s="148" t="e">
        <f t="shared" si="3"/>
        <v>#REF!</v>
      </c>
      <c r="BV23" s="148" t="e">
        <f t="shared" si="3"/>
        <v>#REF!</v>
      </c>
      <c r="BW23" s="148" t="e">
        <f t="shared" si="3"/>
        <v>#REF!</v>
      </c>
      <c r="BX23" s="148" t="e">
        <f t="shared" si="3"/>
        <v>#REF!</v>
      </c>
      <c r="BY23" s="148" t="e">
        <f t="shared" si="3"/>
        <v>#REF!</v>
      </c>
      <c r="BZ23" s="148" t="e">
        <f t="shared" si="3"/>
        <v>#REF!</v>
      </c>
      <c r="CA23" s="148" t="e">
        <f t="shared" si="3"/>
        <v>#REF!</v>
      </c>
      <c r="CB23" s="148" t="e">
        <f t="shared" ref="CB23:CQ24" si="4">CB13=CB18</f>
        <v>#REF!</v>
      </c>
      <c r="CC23" s="148" t="e">
        <f t="shared" si="4"/>
        <v>#REF!</v>
      </c>
      <c r="CD23" s="148" t="e">
        <f t="shared" si="4"/>
        <v>#REF!</v>
      </c>
      <c r="CE23" s="148" t="e">
        <f t="shared" si="4"/>
        <v>#REF!</v>
      </c>
      <c r="CF23" s="148" t="e">
        <f t="shared" si="4"/>
        <v>#REF!</v>
      </c>
      <c r="CG23" s="148" t="e">
        <f t="shared" si="4"/>
        <v>#REF!</v>
      </c>
      <c r="CH23" s="148" t="e">
        <f t="shared" si="4"/>
        <v>#REF!</v>
      </c>
      <c r="CI23" s="148" t="e">
        <f t="shared" si="4"/>
        <v>#REF!</v>
      </c>
      <c r="CJ23" s="148" t="e">
        <f t="shared" si="4"/>
        <v>#REF!</v>
      </c>
      <c r="CK23" s="148" t="e">
        <f t="shared" si="4"/>
        <v>#REF!</v>
      </c>
      <c r="CL23" s="148" t="e">
        <f t="shared" si="4"/>
        <v>#REF!</v>
      </c>
      <c r="CM23" s="148" t="e">
        <f t="shared" si="4"/>
        <v>#REF!</v>
      </c>
      <c r="CN23" s="148" t="e">
        <f t="shared" si="4"/>
        <v>#REF!</v>
      </c>
      <c r="CO23" s="148" t="e">
        <f t="shared" si="4"/>
        <v>#REF!</v>
      </c>
      <c r="CP23" s="148" t="e">
        <f t="shared" si="4"/>
        <v>#REF!</v>
      </c>
      <c r="CQ23" s="148" t="e">
        <f t="shared" si="4"/>
        <v>#REF!</v>
      </c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</row>
    <row r="24" spans="1:106" ht="15" x14ac:dyDescent="0.25">
      <c r="B24" s="27" t="s">
        <v>18</v>
      </c>
      <c r="C24" s="27"/>
      <c r="D24" s="27"/>
      <c r="E24" s="27"/>
      <c r="F24" s="27"/>
      <c r="G24" s="27"/>
      <c r="H24" s="160" t="s">
        <v>25</v>
      </c>
      <c r="I24" s="27"/>
      <c r="J24" s="225" t="b">
        <f>AND(P24:DB24)</f>
        <v>1</v>
      </c>
      <c r="K24" s="27"/>
      <c r="L24" s="27"/>
      <c r="M24" s="27"/>
      <c r="N24" s="175"/>
      <c r="O24" s="27"/>
      <c r="P24" s="225" t="b">
        <f t="shared" si="3"/>
        <v>1</v>
      </c>
      <c r="Q24" s="225" t="b">
        <f t="shared" si="3"/>
        <v>1</v>
      </c>
      <c r="R24" s="225" t="b">
        <f t="shared" si="3"/>
        <v>1</v>
      </c>
      <c r="S24" s="225" t="b">
        <f t="shared" si="3"/>
        <v>1</v>
      </c>
      <c r="T24" s="225" t="b">
        <f t="shared" si="3"/>
        <v>1</v>
      </c>
      <c r="U24" s="225" t="b">
        <f t="shared" si="3"/>
        <v>1</v>
      </c>
      <c r="V24" s="225" t="b">
        <f t="shared" si="3"/>
        <v>1</v>
      </c>
      <c r="W24" s="225" t="b">
        <f t="shared" si="3"/>
        <v>1</v>
      </c>
      <c r="X24" s="225" t="b">
        <f t="shared" si="3"/>
        <v>1</v>
      </c>
      <c r="Y24" s="225" t="b">
        <f t="shared" si="3"/>
        <v>1</v>
      </c>
      <c r="Z24" s="225" t="b">
        <f t="shared" si="3"/>
        <v>1</v>
      </c>
      <c r="AA24" s="225" t="b">
        <f t="shared" si="3"/>
        <v>1</v>
      </c>
      <c r="AB24" s="225" t="b">
        <f t="shared" si="3"/>
        <v>1</v>
      </c>
      <c r="AC24" s="225" t="b">
        <f t="shared" si="3"/>
        <v>1</v>
      </c>
      <c r="AD24" s="225" t="b">
        <f t="shared" si="3"/>
        <v>1</v>
      </c>
      <c r="AE24" s="225" t="b">
        <f t="shared" si="3"/>
        <v>1</v>
      </c>
      <c r="AF24" s="225" t="b">
        <f t="shared" si="3"/>
        <v>1</v>
      </c>
      <c r="AG24" s="225" t="b">
        <f t="shared" si="3"/>
        <v>1</v>
      </c>
      <c r="AH24" s="225" t="b">
        <f t="shared" si="3"/>
        <v>1</v>
      </c>
      <c r="AI24" s="225" t="b">
        <f t="shared" si="3"/>
        <v>1</v>
      </c>
      <c r="AJ24" s="225" t="b">
        <f t="shared" si="3"/>
        <v>1</v>
      </c>
      <c r="AK24" s="225" t="b">
        <f t="shared" si="3"/>
        <v>1</v>
      </c>
      <c r="AL24" s="225" t="b">
        <f t="shared" si="3"/>
        <v>1</v>
      </c>
      <c r="AM24" s="225" t="b">
        <f t="shared" si="3"/>
        <v>1</v>
      </c>
      <c r="AN24" s="225" t="b">
        <f t="shared" si="3"/>
        <v>1</v>
      </c>
      <c r="AO24" s="225" t="b">
        <f t="shared" si="3"/>
        <v>1</v>
      </c>
      <c r="AP24" s="225" t="b">
        <f t="shared" si="3"/>
        <v>1</v>
      </c>
      <c r="AQ24" s="225" t="b">
        <f t="shared" si="3"/>
        <v>1</v>
      </c>
      <c r="AR24" s="225" t="b">
        <f t="shared" si="3"/>
        <v>1</v>
      </c>
      <c r="AS24" s="225" t="b">
        <f t="shared" si="3"/>
        <v>1</v>
      </c>
      <c r="AT24" s="225" t="b">
        <f t="shared" si="3"/>
        <v>1</v>
      </c>
      <c r="AU24" s="225" t="b">
        <f t="shared" si="3"/>
        <v>1</v>
      </c>
      <c r="AV24" s="225" t="b">
        <f t="shared" si="3"/>
        <v>1</v>
      </c>
      <c r="AW24" s="225" t="b">
        <f t="shared" si="3"/>
        <v>1</v>
      </c>
      <c r="AX24" s="225" t="b">
        <f t="shared" si="3"/>
        <v>1</v>
      </c>
      <c r="AY24" s="225" t="b">
        <f t="shared" si="3"/>
        <v>1</v>
      </c>
      <c r="AZ24" s="225" t="b">
        <f t="shared" si="3"/>
        <v>1</v>
      </c>
      <c r="BA24" s="225" t="b">
        <f t="shared" si="3"/>
        <v>1</v>
      </c>
      <c r="BB24" s="225" t="b">
        <f t="shared" si="3"/>
        <v>1</v>
      </c>
      <c r="BC24" s="225" t="b">
        <f t="shared" si="3"/>
        <v>1</v>
      </c>
      <c r="BD24" s="225" t="b">
        <f t="shared" si="3"/>
        <v>1</v>
      </c>
      <c r="BE24" s="225" t="b">
        <f t="shared" si="3"/>
        <v>1</v>
      </c>
      <c r="BF24" s="225" t="b">
        <f t="shared" si="3"/>
        <v>1</v>
      </c>
      <c r="BG24" s="225" t="b">
        <f t="shared" si="3"/>
        <v>1</v>
      </c>
      <c r="BH24" s="225" t="b">
        <f t="shared" si="3"/>
        <v>1</v>
      </c>
      <c r="BI24" s="225" t="b">
        <f t="shared" si="3"/>
        <v>1</v>
      </c>
      <c r="BJ24" s="225" t="b">
        <f t="shared" si="3"/>
        <v>1</v>
      </c>
      <c r="BK24" s="225" t="b">
        <f t="shared" si="3"/>
        <v>1</v>
      </c>
      <c r="BL24" s="225" t="b">
        <f t="shared" si="3"/>
        <v>1</v>
      </c>
      <c r="BM24" s="225" t="b">
        <f t="shared" si="3"/>
        <v>1</v>
      </c>
      <c r="BN24" s="225" t="b">
        <f t="shared" si="3"/>
        <v>1</v>
      </c>
      <c r="BO24" s="225" t="b">
        <f t="shared" si="3"/>
        <v>1</v>
      </c>
      <c r="BP24" s="225" t="b">
        <f t="shared" si="3"/>
        <v>1</v>
      </c>
      <c r="BQ24" s="225" t="b">
        <f t="shared" si="3"/>
        <v>1</v>
      </c>
      <c r="BR24" s="225" t="b">
        <f t="shared" si="3"/>
        <v>1</v>
      </c>
      <c r="BS24" s="225" t="b">
        <f t="shared" si="3"/>
        <v>1</v>
      </c>
      <c r="BT24" s="225" t="b">
        <f t="shared" si="3"/>
        <v>1</v>
      </c>
      <c r="BU24" s="225" t="b">
        <f t="shared" si="3"/>
        <v>1</v>
      </c>
      <c r="BV24" s="225" t="b">
        <f t="shared" si="3"/>
        <v>1</v>
      </c>
      <c r="BW24" s="225" t="b">
        <f t="shared" si="3"/>
        <v>1</v>
      </c>
      <c r="BX24" s="225" t="b">
        <f t="shared" si="3"/>
        <v>1</v>
      </c>
      <c r="BY24" s="225" t="b">
        <f t="shared" si="3"/>
        <v>1</v>
      </c>
      <c r="BZ24" s="225" t="b">
        <f t="shared" si="3"/>
        <v>1</v>
      </c>
      <c r="CA24" s="225" t="b">
        <f t="shared" si="3"/>
        <v>1</v>
      </c>
      <c r="CB24" s="225" t="b">
        <f t="shared" si="4"/>
        <v>1</v>
      </c>
      <c r="CC24" s="225" t="b">
        <f t="shared" si="4"/>
        <v>1</v>
      </c>
      <c r="CD24" s="225" t="b">
        <f t="shared" si="4"/>
        <v>1</v>
      </c>
      <c r="CE24" s="225" t="b">
        <f t="shared" si="4"/>
        <v>1</v>
      </c>
      <c r="CF24" s="225" t="b">
        <f t="shared" si="4"/>
        <v>1</v>
      </c>
      <c r="CG24" s="225" t="b">
        <f t="shared" si="4"/>
        <v>1</v>
      </c>
      <c r="CH24" s="225" t="b">
        <f t="shared" si="4"/>
        <v>1</v>
      </c>
      <c r="CI24" s="225" t="b">
        <f t="shared" si="4"/>
        <v>1</v>
      </c>
      <c r="CJ24" s="225" t="b">
        <f t="shared" si="4"/>
        <v>1</v>
      </c>
      <c r="CK24" s="225" t="b">
        <f t="shared" si="4"/>
        <v>1</v>
      </c>
      <c r="CL24" s="225" t="b">
        <f t="shared" si="4"/>
        <v>1</v>
      </c>
      <c r="CM24" s="225" t="b">
        <f t="shared" si="4"/>
        <v>1</v>
      </c>
      <c r="CN24" s="225" t="b">
        <f t="shared" si="4"/>
        <v>1</v>
      </c>
      <c r="CO24" s="225" t="b">
        <f t="shared" si="4"/>
        <v>1</v>
      </c>
      <c r="CP24" s="225" t="b">
        <f t="shared" si="4"/>
        <v>1</v>
      </c>
      <c r="CQ24" s="225" t="b">
        <f t="shared" si="4"/>
        <v>1</v>
      </c>
      <c r="CR24" s="225"/>
      <c r="CS24" s="225"/>
      <c r="CT24" s="225"/>
      <c r="CU24" s="225"/>
      <c r="CV24" s="225"/>
      <c r="CW24" s="225"/>
      <c r="CX24" s="225"/>
      <c r="CY24" s="225"/>
      <c r="CZ24" s="225"/>
      <c r="DA24" s="225"/>
      <c r="DB24" s="225"/>
    </row>
    <row r="25" spans="1:106" ht="15" x14ac:dyDescent="0.25">
      <c r="B25" s="65" t="s">
        <v>368</v>
      </c>
      <c r="C25"/>
      <c r="H25" s="54" t="s">
        <v>25</v>
      </c>
      <c r="J25" s="40" t="e">
        <f>AND(P25:DB25)</f>
        <v>#REF!</v>
      </c>
      <c r="N25" s="19"/>
      <c r="P25" s="40" t="e">
        <f>AND(P23:P24)</f>
        <v>#REF!</v>
      </c>
      <c r="Q25" s="40" t="e">
        <f t="shared" ref="Q25:CB25" si="5">AND(Q23:Q24)</f>
        <v>#REF!</v>
      </c>
      <c r="R25" s="40" t="e">
        <f t="shared" si="5"/>
        <v>#REF!</v>
      </c>
      <c r="S25" s="40" t="e">
        <f t="shared" si="5"/>
        <v>#REF!</v>
      </c>
      <c r="T25" s="40" t="e">
        <f t="shared" si="5"/>
        <v>#REF!</v>
      </c>
      <c r="U25" s="40" t="e">
        <f t="shared" si="5"/>
        <v>#REF!</v>
      </c>
      <c r="V25" s="40" t="e">
        <f t="shared" si="5"/>
        <v>#REF!</v>
      </c>
      <c r="W25" s="40" t="e">
        <f t="shared" si="5"/>
        <v>#REF!</v>
      </c>
      <c r="X25" s="40" t="e">
        <f t="shared" si="5"/>
        <v>#REF!</v>
      </c>
      <c r="Y25" s="40" t="e">
        <f t="shared" si="5"/>
        <v>#REF!</v>
      </c>
      <c r="Z25" s="40" t="e">
        <f t="shared" si="5"/>
        <v>#REF!</v>
      </c>
      <c r="AA25" s="40" t="e">
        <f t="shared" si="5"/>
        <v>#REF!</v>
      </c>
      <c r="AB25" s="40" t="e">
        <f t="shared" si="5"/>
        <v>#REF!</v>
      </c>
      <c r="AC25" s="40" t="e">
        <f t="shared" si="5"/>
        <v>#REF!</v>
      </c>
      <c r="AD25" s="40" t="e">
        <f t="shared" si="5"/>
        <v>#REF!</v>
      </c>
      <c r="AE25" s="40" t="e">
        <f t="shared" si="5"/>
        <v>#REF!</v>
      </c>
      <c r="AF25" s="40" t="e">
        <f t="shared" si="5"/>
        <v>#REF!</v>
      </c>
      <c r="AG25" s="40" t="e">
        <f t="shared" si="5"/>
        <v>#REF!</v>
      </c>
      <c r="AH25" s="40" t="e">
        <f t="shared" si="5"/>
        <v>#REF!</v>
      </c>
      <c r="AI25" s="40" t="e">
        <f t="shared" si="5"/>
        <v>#REF!</v>
      </c>
      <c r="AJ25" s="40" t="e">
        <f t="shared" si="5"/>
        <v>#REF!</v>
      </c>
      <c r="AK25" s="40" t="e">
        <f t="shared" si="5"/>
        <v>#REF!</v>
      </c>
      <c r="AL25" s="40" t="e">
        <f t="shared" si="5"/>
        <v>#REF!</v>
      </c>
      <c r="AM25" s="40" t="e">
        <f t="shared" si="5"/>
        <v>#REF!</v>
      </c>
      <c r="AN25" s="40" t="e">
        <f t="shared" si="5"/>
        <v>#REF!</v>
      </c>
      <c r="AO25" s="40" t="e">
        <f t="shared" si="5"/>
        <v>#REF!</v>
      </c>
      <c r="AP25" s="40" t="e">
        <f t="shared" si="5"/>
        <v>#REF!</v>
      </c>
      <c r="AQ25" s="40" t="e">
        <f t="shared" si="5"/>
        <v>#REF!</v>
      </c>
      <c r="AR25" s="40" t="e">
        <f t="shared" si="5"/>
        <v>#REF!</v>
      </c>
      <c r="AS25" s="40" t="e">
        <f t="shared" si="5"/>
        <v>#REF!</v>
      </c>
      <c r="AT25" s="40" t="e">
        <f t="shared" si="5"/>
        <v>#REF!</v>
      </c>
      <c r="AU25" s="40" t="e">
        <f t="shared" si="5"/>
        <v>#REF!</v>
      </c>
      <c r="AV25" s="40" t="e">
        <f t="shared" si="5"/>
        <v>#REF!</v>
      </c>
      <c r="AW25" s="40" t="e">
        <f t="shared" si="5"/>
        <v>#REF!</v>
      </c>
      <c r="AX25" s="40" t="e">
        <f t="shared" si="5"/>
        <v>#REF!</v>
      </c>
      <c r="AY25" s="40" t="e">
        <f t="shared" si="5"/>
        <v>#REF!</v>
      </c>
      <c r="AZ25" s="40" t="e">
        <f t="shared" si="5"/>
        <v>#REF!</v>
      </c>
      <c r="BA25" s="40" t="e">
        <f t="shared" si="5"/>
        <v>#REF!</v>
      </c>
      <c r="BB25" s="40" t="e">
        <f t="shared" si="5"/>
        <v>#REF!</v>
      </c>
      <c r="BC25" s="40" t="e">
        <f t="shared" si="5"/>
        <v>#REF!</v>
      </c>
      <c r="BD25" s="40" t="e">
        <f t="shared" si="5"/>
        <v>#REF!</v>
      </c>
      <c r="BE25" s="40" t="e">
        <f t="shared" si="5"/>
        <v>#REF!</v>
      </c>
      <c r="BF25" s="40" t="e">
        <f t="shared" si="5"/>
        <v>#REF!</v>
      </c>
      <c r="BG25" s="40" t="e">
        <f t="shared" si="5"/>
        <v>#REF!</v>
      </c>
      <c r="BH25" s="40" t="e">
        <f t="shared" si="5"/>
        <v>#REF!</v>
      </c>
      <c r="BI25" s="40" t="e">
        <f t="shared" si="5"/>
        <v>#REF!</v>
      </c>
      <c r="BJ25" s="40" t="e">
        <f t="shared" si="5"/>
        <v>#REF!</v>
      </c>
      <c r="BK25" s="40" t="e">
        <f t="shared" si="5"/>
        <v>#REF!</v>
      </c>
      <c r="BL25" s="40" t="e">
        <f t="shared" si="5"/>
        <v>#REF!</v>
      </c>
      <c r="BM25" s="40" t="e">
        <f t="shared" si="5"/>
        <v>#REF!</v>
      </c>
      <c r="BN25" s="40" t="e">
        <f t="shared" si="5"/>
        <v>#REF!</v>
      </c>
      <c r="BO25" s="40" t="e">
        <f t="shared" si="5"/>
        <v>#REF!</v>
      </c>
      <c r="BP25" s="40" t="e">
        <f t="shared" si="5"/>
        <v>#REF!</v>
      </c>
      <c r="BQ25" s="40" t="e">
        <f t="shared" si="5"/>
        <v>#REF!</v>
      </c>
      <c r="BR25" s="40" t="e">
        <f t="shared" si="5"/>
        <v>#REF!</v>
      </c>
      <c r="BS25" s="40" t="e">
        <f t="shared" si="5"/>
        <v>#REF!</v>
      </c>
      <c r="BT25" s="40" t="e">
        <f t="shared" si="5"/>
        <v>#REF!</v>
      </c>
      <c r="BU25" s="40" t="e">
        <f t="shared" si="5"/>
        <v>#REF!</v>
      </c>
      <c r="BV25" s="40" t="e">
        <f t="shared" si="5"/>
        <v>#REF!</v>
      </c>
      <c r="BW25" s="40" t="e">
        <f t="shared" si="5"/>
        <v>#REF!</v>
      </c>
      <c r="BX25" s="40" t="e">
        <f t="shared" si="5"/>
        <v>#REF!</v>
      </c>
      <c r="BY25" s="40" t="e">
        <f t="shared" si="5"/>
        <v>#REF!</v>
      </c>
      <c r="BZ25" s="40" t="e">
        <f t="shared" si="5"/>
        <v>#REF!</v>
      </c>
      <c r="CA25" s="40" t="e">
        <f t="shared" si="5"/>
        <v>#REF!</v>
      </c>
      <c r="CB25" s="40" t="e">
        <f t="shared" si="5"/>
        <v>#REF!</v>
      </c>
      <c r="CC25" s="40" t="e">
        <f t="shared" ref="CC25:CQ25" si="6">AND(CC23:CC24)</f>
        <v>#REF!</v>
      </c>
      <c r="CD25" s="40" t="e">
        <f t="shared" si="6"/>
        <v>#REF!</v>
      </c>
      <c r="CE25" s="40" t="e">
        <f t="shared" si="6"/>
        <v>#REF!</v>
      </c>
      <c r="CF25" s="40" t="e">
        <f t="shared" si="6"/>
        <v>#REF!</v>
      </c>
      <c r="CG25" s="40" t="e">
        <f t="shared" si="6"/>
        <v>#REF!</v>
      </c>
      <c r="CH25" s="40" t="e">
        <f t="shared" si="6"/>
        <v>#REF!</v>
      </c>
      <c r="CI25" s="40" t="e">
        <f t="shared" si="6"/>
        <v>#REF!</v>
      </c>
      <c r="CJ25" s="40" t="e">
        <f t="shared" si="6"/>
        <v>#REF!</v>
      </c>
      <c r="CK25" s="40" t="e">
        <f t="shared" si="6"/>
        <v>#REF!</v>
      </c>
      <c r="CL25" s="40" t="e">
        <f t="shared" si="6"/>
        <v>#REF!</v>
      </c>
      <c r="CM25" s="40" t="e">
        <f t="shared" si="6"/>
        <v>#REF!</v>
      </c>
      <c r="CN25" s="40" t="e">
        <f t="shared" si="6"/>
        <v>#REF!</v>
      </c>
      <c r="CO25" s="40" t="e">
        <f t="shared" si="6"/>
        <v>#REF!</v>
      </c>
      <c r="CP25" s="40" t="e">
        <f t="shared" si="6"/>
        <v>#REF!</v>
      </c>
      <c r="CQ25" s="40" t="e">
        <f t="shared" si="6"/>
        <v>#REF!</v>
      </c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</row>
    <row r="26" spans="1:106" ht="15" x14ac:dyDescent="0.25">
      <c r="C26"/>
      <c r="H26" s="54"/>
      <c r="N26" s="19"/>
    </row>
    <row r="27" spans="1:106" ht="15" x14ac:dyDescent="0.25">
      <c r="C27"/>
      <c r="H27" s="54"/>
      <c r="N27" s="19"/>
    </row>
    <row r="28" spans="1:106" s="282" customFormat="1" x14ac:dyDescent="0.2">
      <c r="A28" s="299" t="s">
        <v>53</v>
      </c>
      <c r="H28" s="284"/>
      <c r="N28" s="314"/>
    </row>
  </sheetData>
  <conditionalFormatting sqref="CU7:DD7">
    <cfRule type="expression" dxfId="35" priority="23">
      <formula>CU7="Ops"</formula>
    </cfRule>
    <cfRule type="expression" dxfId="34" priority="24">
      <formula>CU7="Const"</formula>
    </cfRule>
  </conditionalFormatting>
  <conditionalFormatting sqref="P7:CT7">
    <cfRule type="expression" dxfId="33" priority="21">
      <formula>P7="Ops"</formula>
    </cfRule>
    <cfRule type="expression" dxfId="32" priority="22">
      <formula>P7="Const"</formula>
    </cfRule>
  </conditionalFormatting>
  <conditionalFormatting sqref="J2:J3">
    <cfRule type="expression" dxfId="31" priority="20">
      <formula>#REF!=TRUE</formula>
    </cfRule>
  </conditionalFormatting>
  <conditionalFormatting sqref="J5:J6">
    <cfRule type="expression" dxfId="30" priority="19">
      <formula>#REF!=TRUE</formula>
    </cfRule>
  </conditionalFormatting>
  <conditionalFormatting sqref="J7">
    <cfRule type="expression" dxfId="29" priority="18">
      <formula>#REF!=TRUE</formula>
    </cfRule>
  </conditionalFormatting>
  <conditionalFormatting sqref="P23:DB24">
    <cfRule type="containsText" dxfId="28" priority="7" operator="containsText" text="TRUE">
      <formula>NOT(ISERROR(SEARCH("TRUE",P23)))</formula>
    </cfRule>
    <cfRule type="containsText" dxfId="27" priority="8" operator="containsText" text="FALSE">
      <formula>NOT(ISERROR(SEARCH("FALSE",P23)))</formula>
    </cfRule>
  </conditionalFormatting>
  <conditionalFormatting sqref="J23:J24">
    <cfRule type="containsText" dxfId="26" priority="5" operator="containsText" text="TRUE">
      <formula>NOT(ISERROR(SEARCH("TRUE",J23)))</formula>
    </cfRule>
    <cfRule type="containsText" dxfId="25" priority="6" operator="containsText" text="FALSE">
      <formula>NOT(ISERROR(SEARCH("FALSE",J23)))</formula>
    </cfRule>
  </conditionalFormatting>
  <conditionalFormatting sqref="P25:DB25">
    <cfRule type="containsText" dxfId="24" priority="3" operator="containsText" text="TRUE">
      <formula>NOT(ISERROR(SEARCH("TRUE",P25)))</formula>
    </cfRule>
    <cfRule type="containsText" dxfId="23" priority="4" operator="containsText" text="FALSE">
      <formula>NOT(ISERROR(SEARCH("FALSE",P25)))</formula>
    </cfRule>
  </conditionalFormatting>
  <conditionalFormatting sqref="J25">
    <cfRule type="containsText" dxfId="22" priority="1" operator="containsText" text="TRUE">
      <formula>NOT(ISERROR(SEARCH("TRUE",J25)))</formula>
    </cfRule>
    <cfRule type="containsText" dxfId="21" priority="2" operator="containsText" text="FALSE">
      <formula>NOT(ISERROR(SEARCH("FALSE",J25)))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FADSFix">
                <anchor moveWithCells="1">
                  <from>
                    <xdr:col>1</xdr:col>
                    <xdr:colOff>19050</xdr:colOff>
                    <xdr:row>3</xdr:row>
                    <xdr:rowOff>114300</xdr:rowOff>
                  </from>
                  <to>
                    <xdr:col>4</xdr:col>
                    <xdr:colOff>247650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AAA8-776C-4025-940B-9056E4470941}">
  <sheetPr codeName="Sheet16">
    <tabColor theme="3" tint="-0.499984740745262"/>
  </sheetPr>
  <dimension ref="A1:DD52"/>
  <sheetViews>
    <sheetView showGridLines="0" zoomScale="50" zoomScaleNormal="50" workbookViewId="0">
      <selection activeCell="A6" sqref="A6"/>
    </sheetView>
  </sheetViews>
  <sheetFormatPr defaultColWidth="0" defaultRowHeight="12.75" customHeight="1" zeroHeight="1" x14ac:dyDescent="0.25"/>
  <cols>
    <col min="1" max="1" width="3.28515625" customWidth="1"/>
    <col min="2" max="2" width="17.85546875" customWidth="1"/>
    <col min="3" max="3" width="17.85546875" style="184" customWidth="1"/>
    <col min="4" max="8" width="17.85546875" customWidth="1"/>
    <col min="9" max="9" width="8" customWidth="1"/>
    <col min="10" max="11" width="16" hidden="1" customWidth="1"/>
    <col min="12" max="13" width="6.5703125" hidden="1" customWidth="1"/>
    <col min="14" max="14" width="14" hidden="1" customWidth="1"/>
    <col min="15" max="15" width="12.5703125" hidden="1" customWidth="1"/>
    <col min="16" max="98" width="14.28515625" hidden="1" customWidth="1"/>
    <col min="99" max="16384" width="9.140625" hidden="1"/>
  </cols>
  <sheetData>
    <row r="1" spans="2:108" s="282" customFormat="1" ht="12.75" customHeight="1" x14ac:dyDescent="0.2">
      <c r="C1" s="283"/>
      <c r="H1" s="284"/>
    </row>
    <row r="2" spans="2:108" s="282" customFormat="1" ht="12.75" customHeight="1" x14ac:dyDescent="0.2">
      <c r="C2" s="283"/>
      <c r="H2" s="284"/>
      <c r="J2" s="285"/>
    </row>
    <row r="3" spans="2:108" s="282" customFormat="1" ht="12.75" customHeight="1" x14ac:dyDescent="0.2">
      <c r="C3" s="283"/>
      <c r="H3" s="284"/>
      <c r="J3" s="286"/>
    </row>
    <row r="4" spans="2:108" s="282" customFormat="1" ht="12.75" customHeight="1" x14ac:dyDescent="0.2">
      <c r="C4" s="283"/>
      <c r="H4" s="284"/>
    </row>
    <row r="5" spans="2:108" s="282" customFormat="1" ht="12.75" customHeight="1" x14ac:dyDescent="0.2">
      <c r="C5" s="283"/>
      <c r="H5" s="284"/>
      <c r="J5" s="285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  <c r="AB5" s="287"/>
      <c r="AC5" s="287"/>
      <c r="AD5" s="287"/>
      <c r="AE5" s="287"/>
      <c r="AF5" s="287"/>
      <c r="AG5" s="287"/>
      <c r="AH5" s="287"/>
      <c r="AI5" s="287"/>
      <c r="AJ5" s="287"/>
      <c r="AK5" s="287"/>
      <c r="AL5" s="287"/>
      <c r="AM5" s="287"/>
      <c r="AN5" s="287"/>
      <c r="AO5" s="287"/>
      <c r="AP5" s="287"/>
      <c r="AQ5" s="287"/>
      <c r="AR5" s="287"/>
      <c r="AS5" s="287"/>
      <c r="AT5" s="287"/>
      <c r="AU5" s="287"/>
      <c r="AV5" s="287"/>
      <c r="AW5" s="287"/>
      <c r="AX5" s="287"/>
      <c r="AY5" s="287"/>
      <c r="AZ5" s="287"/>
      <c r="BA5" s="287"/>
      <c r="BB5" s="287"/>
      <c r="BC5" s="287"/>
      <c r="BD5" s="287"/>
      <c r="BE5" s="287"/>
      <c r="BF5" s="287"/>
      <c r="BG5" s="287"/>
      <c r="BH5" s="287"/>
      <c r="BI5" s="287"/>
      <c r="BJ5" s="287"/>
      <c r="BK5" s="287"/>
      <c r="BL5" s="287"/>
      <c r="BM5" s="287"/>
      <c r="BN5" s="287"/>
      <c r="BO5" s="287"/>
      <c r="BP5" s="287"/>
      <c r="BQ5" s="287"/>
      <c r="BR5" s="287"/>
      <c r="BS5" s="287"/>
      <c r="BT5" s="287"/>
      <c r="BU5" s="287"/>
      <c r="BV5" s="287"/>
      <c r="BW5" s="287"/>
      <c r="BX5" s="287"/>
      <c r="BY5" s="287"/>
      <c r="BZ5" s="287"/>
      <c r="CA5" s="287"/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  <c r="CP5" s="287"/>
      <c r="CQ5" s="287"/>
      <c r="CR5" s="287"/>
      <c r="CS5" s="287"/>
      <c r="CT5" s="287"/>
      <c r="CU5" s="287"/>
      <c r="CV5" s="287"/>
      <c r="CW5" s="287"/>
      <c r="CX5" s="287"/>
      <c r="CY5" s="287"/>
      <c r="CZ5" s="287"/>
      <c r="DA5" s="287"/>
      <c r="DB5" s="287"/>
      <c r="DC5" s="287"/>
      <c r="DD5" s="287"/>
    </row>
    <row r="6" spans="2:108" s="282" customFormat="1" ht="12.75" customHeight="1" x14ac:dyDescent="0.2">
      <c r="C6" s="283"/>
      <c r="H6" s="284"/>
      <c r="J6" s="286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  <c r="AB6" s="288"/>
      <c r="AC6" s="288"/>
      <c r="AD6" s="288"/>
      <c r="AE6" s="288"/>
      <c r="AF6" s="288"/>
      <c r="AG6" s="288"/>
      <c r="AH6" s="288"/>
      <c r="AI6" s="288"/>
      <c r="AJ6" s="288"/>
      <c r="AK6" s="288"/>
      <c r="AL6" s="288"/>
      <c r="AM6" s="288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  <c r="CQ6" s="288"/>
      <c r="CR6" s="288"/>
      <c r="CS6" s="288"/>
      <c r="CT6" s="288"/>
      <c r="CU6" s="288"/>
      <c r="CV6" s="288"/>
      <c r="CW6" s="288"/>
      <c r="CX6" s="288"/>
      <c r="CY6" s="288"/>
      <c r="CZ6" s="288"/>
      <c r="DA6" s="288"/>
      <c r="DB6" s="288"/>
      <c r="DC6" s="288"/>
      <c r="DD6" s="288"/>
    </row>
    <row r="7" spans="2:108" s="282" customFormat="1" ht="12.75" customHeight="1" x14ac:dyDescent="0.2">
      <c r="C7" s="283"/>
      <c r="H7" s="284"/>
      <c r="J7" s="286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P7" s="289"/>
      <c r="AQ7" s="289"/>
      <c r="AR7" s="289"/>
      <c r="AS7" s="289"/>
      <c r="AT7" s="289"/>
      <c r="AU7" s="289"/>
      <c r="AV7" s="289"/>
      <c r="AW7" s="289"/>
      <c r="AX7" s="289"/>
      <c r="AY7" s="289"/>
      <c r="AZ7" s="289"/>
      <c r="BA7" s="289"/>
      <c r="BB7" s="289"/>
      <c r="BC7" s="289"/>
      <c r="BD7" s="289"/>
      <c r="BE7" s="289"/>
      <c r="BF7" s="289"/>
      <c r="BG7" s="289"/>
      <c r="BH7" s="289"/>
      <c r="BI7" s="289"/>
      <c r="BJ7" s="289"/>
      <c r="BK7" s="289"/>
      <c r="BL7" s="289"/>
      <c r="BM7" s="289"/>
      <c r="BN7" s="289"/>
      <c r="BO7" s="289"/>
      <c r="BP7" s="289"/>
      <c r="BQ7" s="289"/>
      <c r="BR7" s="289"/>
      <c r="BS7" s="289"/>
      <c r="BT7" s="289"/>
      <c r="BU7" s="289"/>
      <c r="BV7" s="289"/>
      <c r="BW7" s="289"/>
      <c r="BX7" s="289"/>
      <c r="BY7" s="289"/>
      <c r="BZ7" s="289"/>
      <c r="CA7" s="289"/>
      <c r="CB7" s="289"/>
      <c r="CC7" s="289"/>
      <c r="CD7" s="289"/>
      <c r="CE7" s="289"/>
      <c r="CF7" s="289"/>
      <c r="CG7" s="289"/>
      <c r="CH7" s="289"/>
      <c r="CI7" s="289"/>
      <c r="CJ7" s="289"/>
      <c r="CK7" s="289"/>
      <c r="CL7" s="289"/>
      <c r="CM7" s="289"/>
      <c r="CN7" s="289"/>
      <c r="CO7" s="289"/>
      <c r="CP7" s="289"/>
      <c r="CQ7" s="289"/>
      <c r="CR7" s="289"/>
      <c r="CS7" s="289"/>
      <c r="CT7" s="289"/>
      <c r="CU7" s="289"/>
      <c r="CV7" s="289"/>
      <c r="CW7" s="289"/>
      <c r="CX7" s="289"/>
      <c r="CY7" s="289"/>
      <c r="CZ7" s="289"/>
      <c r="DA7" s="289"/>
      <c r="DB7" s="289"/>
      <c r="DC7" s="289"/>
      <c r="DD7" s="289"/>
    </row>
    <row r="8" spans="2:108" s="282" customFormat="1" ht="12.75" customHeight="1" x14ac:dyDescent="0.2">
      <c r="C8" s="283"/>
      <c r="H8" s="284"/>
    </row>
    <row r="9" spans="2:108" ht="12.75" customHeight="1" x14ac:dyDescent="0.25"/>
    <row r="10" spans="2:108" ht="12.75" customHeight="1" x14ac:dyDescent="0.25">
      <c r="B10" s="329" t="s">
        <v>372</v>
      </c>
      <c r="C10" s="329" t="s">
        <v>373</v>
      </c>
      <c r="D10" s="329" t="s">
        <v>369</v>
      </c>
      <c r="E10" s="329" t="s">
        <v>249</v>
      </c>
      <c r="F10" s="329" t="s">
        <v>370</v>
      </c>
      <c r="G10" s="329" t="s">
        <v>247</v>
      </c>
      <c r="H10" s="329" t="s">
        <v>371</v>
      </c>
    </row>
    <row r="11" spans="2:108" ht="12.75" customHeight="1" x14ac:dyDescent="0.25">
      <c r="B11" s="329"/>
      <c r="C11" s="329"/>
      <c r="D11" s="329"/>
      <c r="E11" s="329"/>
      <c r="F11" s="329"/>
      <c r="G11" s="329"/>
      <c r="H11" s="329"/>
    </row>
    <row r="12" spans="2:108" ht="12.75" customHeight="1" x14ac:dyDescent="0.25">
      <c r="B12" s="329"/>
      <c r="C12" s="329"/>
      <c r="D12" s="329"/>
      <c r="E12" s="329"/>
      <c r="F12" s="329"/>
      <c r="G12" s="329"/>
      <c r="H12" s="329"/>
    </row>
    <row r="13" spans="2:108" ht="12.75" customHeight="1" x14ac:dyDescent="0.25">
      <c r="B13" s="226" t="s">
        <v>58</v>
      </c>
      <c r="C13" s="226" t="s">
        <v>132</v>
      </c>
      <c r="D13" s="226" t="s">
        <v>3</v>
      </c>
      <c r="E13" s="226" t="s">
        <v>3</v>
      </c>
      <c r="F13" s="226" t="s">
        <v>6</v>
      </c>
      <c r="G13" s="226" t="s">
        <v>3</v>
      </c>
      <c r="H13" s="226" t="s">
        <v>3</v>
      </c>
    </row>
    <row r="14" spans="2:108" ht="12.75" customHeight="1" x14ac:dyDescent="0.25">
      <c r="B14" s="227">
        <v>1</v>
      </c>
      <c r="C14" s="228">
        <f>InputC!K14</f>
        <v>2021</v>
      </c>
      <c r="D14" s="229" t="e">
        <f>INDEX(Financing!$P$86:$CT$86,MATCH(Amortisation!C14,Financing!$P$5:$CT$5,0))</f>
        <v>#REF!</v>
      </c>
      <c r="E14" s="229">
        <f>INDEX(Financing!$P$87:$CT$87,MATCH(Amortisation!$C14,Financing!$P$5:$CT$5,0))</f>
        <v>0</v>
      </c>
      <c r="F14" s="234" t="e">
        <f>E14/$E$51</f>
        <v>#REF!</v>
      </c>
      <c r="G14" s="229" t="e">
        <f>INDEX(Financing!$P$88:$CT$88,MATCH(Amortisation!$C14,Financing!$P$5:$CT$5,0))</f>
        <v>#REF!</v>
      </c>
      <c r="H14" s="229">
        <f>INDEX(Financing!$P$108:$CT$108,MATCH(Amortisation!$C14,Financing!$P$5:$CT$5,0))</f>
        <v>0</v>
      </c>
    </row>
    <row r="15" spans="2:108" ht="12.75" customHeight="1" x14ac:dyDescent="0.25">
      <c r="B15" s="18">
        <f>B14+1</f>
        <v>2</v>
      </c>
      <c r="C15" s="16">
        <f>C14+1</f>
        <v>2022</v>
      </c>
      <c r="D15" s="97" t="e">
        <f>INDEX(Financing!$P$86:$CT$86,MATCH(Amortisation!C15,Financing!$P$5:$CT$5,0))</f>
        <v>#REF!</v>
      </c>
      <c r="E15" s="97" t="e">
        <f>INDEX(Financing!$P$87:$CT$87,MATCH(Amortisation!$C15,Financing!$P$5:$CT$5,0))</f>
        <v>#REF!</v>
      </c>
      <c r="F15" s="235" t="e">
        <f t="shared" ref="F15:F50" si="0">E15/$E$51</f>
        <v>#REF!</v>
      </c>
      <c r="G15" s="97" t="e">
        <f>INDEX(Financing!$P$88:$CT$88,MATCH(Amortisation!$C15,Financing!$P$5:$CT$5,0))</f>
        <v>#REF!</v>
      </c>
      <c r="H15" s="97" t="e">
        <f>INDEX(Financing!$P$108:$CT$108,MATCH(Amortisation!$C15,Financing!$P$5:$CT$5,0))</f>
        <v>#REF!</v>
      </c>
    </row>
    <row r="16" spans="2:108" ht="12.75" customHeight="1" x14ac:dyDescent="0.25">
      <c r="B16" s="227">
        <f t="shared" ref="B16:C31" si="1">B15+1</f>
        <v>3</v>
      </c>
      <c r="C16" s="228">
        <f t="shared" si="1"/>
        <v>2023</v>
      </c>
      <c r="D16" s="229" t="e">
        <f>INDEX(Financing!$P$86:$CT$86,MATCH(Amortisation!C16,Financing!$P$5:$CT$5,0))</f>
        <v>#REF!</v>
      </c>
      <c r="E16" s="229" t="e">
        <f>INDEX(Financing!$P$87:$CT$87,MATCH(Amortisation!$C16,Financing!$P$5:$CT$5,0))</f>
        <v>#REF!</v>
      </c>
      <c r="F16" s="234" t="e">
        <f t="shared" si="0"/>
        <v>#REF!</v>
      </c>
      <c r="G16" s="229" t="e">
        <f>INDEX(Financing!$P$88:$CT$88,MATCH(Amortisation!$C16,Financing!$P$5:$CT$5,0))</f>
        <v>#REF!</v>
      </c>
      <c r="H16" s="229" t="e">
        <f>INDEX(Financing!$P$108:$CT$108,MATCH(Amortisation!$C16,Financing!$P$5:$CT$5,0))</f>
        <v>#REF!</v>
      </c>
    </row>
    <row r="17" spans="2:8" ht="12.75" customHeight="1" x14ac:dyDescent="0.25">
      <c r="B17" s="18">
        <f t="shared" si="1"/>
        <v>4</v>
      </c>
      <c r="C17" s="16">
        <f t="shared" si="1"/>
        <v>2024</v>
      </c>
      <c r="D17" s="97" t="e">
        <f>INDEX(Financing!$P$86:$CT$86,MATCH(Amortisation!C17,Financing!$P$5:$CT$5,0))</f>
        <v>#REF!</v>
      </c>
      <c r="E17" s="97" t="e">
        <f>INDEX(Financing!$P$87:$CT$87,MATCH(Amortisation!$C17,Financing!$P$5:$CT$5,0))</f>
        <v>#REF!</v>
      </c>
      <c r="F17" s="235" t="e">
        <f t="shared" si="0"/>
        <v>#REF!</v>
      </c>
      <c r="G17" s="97" t="e">
        <f>INDEX(Financing!$P$88:$CT$88,MATCH(Amortisation!$C17,Financing!$P$5:$CT$5,0))</f>
        <v>#REF!</v>
      </c>
      <c r="H17" s="97" t="e">
        <f>INDEX(Financing!$P$108:$CT$108,MATCH(Amortisation!$C17,Financing!$P$5:$CT$5,0))</f>
        <v>#REF!</v>
      </c>
    </row>
    <row r="18" spans="2:8" ht="12.75" customHeight="1" x14ac:dyDescent="0.25">
      <c r="B18" s="227">
        <f t="shared" si="1"/>
        <v>5</v>
      </c>
      <c r="C18" s="228">
        <f t="shared" si="1"/>
        <v>2025</v>
      </c>
      <c r="D18" s="229" t="e">
        <f>INDEX(Financing!$P$86:$CT$86,MATCH(Amortisation!C18,Financing!$P$5:$CT$5,0))</f>
        <v>#REF!</v>
      </c>
      <c r="E18" s="229" t="e">
        <f>INDEX(Financing!$P$87:$CT$87,MATCH(Amortisation!$C18,Financing!$P$5:$CT$5,0))</f>
        <v>#REF!</v>
      </c>
      <c r="F18" s="234" t="e">
        <f t="shared" si="0"/>
        <v>#REF!</v>
      </c>
      <c r="G18" s="229" t="e">
        <f>INDEX(Financing!$P$88:$CT$88,MATCH(Amortisation!$C18,Financing!$P$5:$CT$5,0))</f>
        <v>#REF!</v>
      </c>
      <c r="H18" s="229" t="e">
        <f>INDEX(Financing!$P$108:$CT$108,MATCH(Amortisation!$C18,Financing!$P$5:$CT$5,0))</f>
        <v>#REF!</v>
      </c>
    </row>
    <row r="19" spans="2:8" ht="12.75" customHeight="1" x14ac:dyDescent="0.25">
      <c r="B19" s="18">
        <f t="shared" si="1"/>
        <v>6</v>
      </c>
      <c r="C19" s="16">
        <f t="shared" si="1"/>
        <v>2026</v>
      </c>
      <c r="D19" s="97" t="e">
        <f>INDEX(Financing!$P$86:$CT$86,MATCH(Amortisation!C19,Financing!$P$5:$CT$5,0))</f>
        <v>#REF!</v>
      </c>
      <c r="E19" s="97" t="e">
        <f>INDEX(Financing!$P$87:$CT$87,MATCH(Amortisation!$C19,Financing!$P$5:$CT$5,0))</f>
        <v>#REF!</v>
      </c>
      <c r="F19" s="235" t="e">
        <f t="shared" si="0"/>
        <v>#REF!</v>
      </c>
      <c r="G19" s="97" t="e">
        <f>INDEX(Financing!$P$88:$CT$88,MATCH(Amortisation!$C19,Financing!$P$5:$CT$5,0))</f>
        <v>#REF!</v>
      </c>
      <c r="H19" s="97" t="e">
        <f>INDEX(Financing!$P$108:$CT$108,MATCH(Amortisation!$C19,Financing!$P$5:$CT$5,0))</f>
        <v>#REF!</v>
      </c>
    </row>
    <row r="20" spans="2:8" ht="12.75" customHeight="1" x14ac:dyDescent="0.25">
      <c r="B20" s="227">
        <f t="shared" si="1"/>
        <v>7</v>
      </c>
      <c r="C20" s="228">
        <f t="shared" si="1"/>
        <v>2027</v>
      </c>
      <c r="D20" s="229" t="e">
        <f>INDEX(Financing!$P$86:$CT$86,MATCH(Amortisation!C20,Financing!$P$5:$CT$5,0))</f>
        <v>#REF!</v>
      </c>
      <c r="E20" s="229" t="e">
        <f>INDEX(Financing!$P$87:$CT$87,MATCH(Amortisation!$C20,Financing!$P$5:$CT$5,0))</f>
        <v>#REF!</v>
      </c>
      <c r="F20" s="234" t="e">
        <f t="shared" si="0"/>
        <v>#REF!</v>
      </c>
      <c r="G20" s="229" t="e">
        <f>INDEX(Financing!$P$88:$CT$88,MATCH(Amortisation!$C20,Financing!$P$5:$CT$5,0))</f>
        <v>#REF!</v>
      </c>
      <c r="H20" s="229" t="e">
        <f>INDEX(Financing!$P$108:$CT$108,MATCH(Amortisation!$C20,Financing!$P$5:$CT$5,0))</f>
        <v>#REF!</v>
      </c>
    </row>
    <row r="21" spans="2:8" ht="12.75" customHeight="1" x14ac:dyDescent="0.25">
      <c r="B21" s="18">
        <f t="shared" si="1"/>
        <v>8</v>
      </c>
      <c r="C21" s="16">
        <f t="shared" si="1"/>
        <v>2028</v>
      </c>
      <c r="D21" s="97" t="e">
        <f>INDEX(Financing!$P$86:$CT$86,MATCH(Amortisation!C21,Financing!$P$5:$CT$5,0))</f>
        <v>#REF!</v>
      </c>
      <c r="E21" s="97" t="e">
        <f>INDEX(Financing!$P$87:$CT$87,MATCH(Amortisation!$C21,Financing!$P$5:$CT$5,0))</f>
        <v>#REF!</v>
      </c>
      <c r="F21" s="235" t="e">
        <f t="shared" si="0"/>
        <v>#REF!</v>
      </c>
      <c r="G21" s="97" t="e">
        <f>INDEX(Financing!$P$88:$CT$88,MATCH(Amortisation!$C21,Financing!$P$5:$CT$5,0))</f>
        <v>#REF!</v>
      </c>
      <c r="H21" s="97" t="e">
        <f>INDEX(Financing!$P$108:$CT$108,MATCH(Amortisation!$C21,Financing!$P$5:$CT$5,0))</f>
        <v>#REF!</v>
      </c>
    </row>
    <row r="22" spans="2:8" ht="12.75" customHeight="1" x14ac:dyDescent="0.25">
      <c r="B22" s="227">
        <f t="shared" si="1"/>
        <v>9</v>
      </c>
      <c r="C22" s="228">
        <f t="shared" si="1"/>
        <v>2029</v>
      </c>
      <c r="D22" s="229" t="e">
        <f>INDEX(Financing!$P$86:$CT$86,MATCH(Amortisation!C22,Financing!$P$5:$CT$5,0))</f>
        <v>#REF!</v>
      </c>
      <c r="E22" s="229" t="e">
        <f>INDEX(Financing!$P$87:$CT$87,MATCH(Amortisation!$C22,Financing!$P$5:$CT$5,0))</f>
        <v>#REF!</v>
      </c>
      <c r="F22" s="234" t="e">
        <f t="shared" si="0"/>
        <v>#REF!</v>
      </c>
      <c r="G22" s="229" t="e">
        <f>INDEX(Financing!$P$88:$CT$88,MATCH(Amortisation!$C22,Financing!$P$5:$CT$5,0))</f>
        <v>#REF!</v>
      </c>
      <c r="H22" s="229" t="e">
        <f>INDEX(Financing!$P$108:$CT$108,MATCH(Amortisation!$C22,Financing!$P$5:$CT$5,0))</f>
        <v>#REF!</v>
      </c>
    </row>
    <row r="23" spans="2:8" ht="12.75" customHeight="1" x14ac:dyDescent="0.25">
      <c r="B23" s="18">
        <f t="shared" si="1"/>
        <v>10</v>
      </c>
      <c r="C23" s="16">
        <f t="shared" si="1"/>
        <v>2030</v>
      </c>
      <c r="D23" s="97" t="e">
        <f>INDEX(Financing!$P$86:$CT$86,MATCH(Amortisation!C23,Financing!$P$5:$CT$5,0))</f>
        <v>#REF!</v>
      </c>
      <c r="E23" s="97" t="e">
        <f>INDEX(Financing!$P$87:$CT$87,MATCH(Amortisation!$C23,Financing!$P$5:$CT$5,0))</f>
        <v>#REF!</v>
      </c>
      <c r="F23" s="235" t="e">
        <f t="shared" si="0"/>
        <v>#REF!</v>
      </c>
      <c r="G23" s="97" t="e">
        <f>INDEX(Financing!$P$88:$CT$88,MATCH(Amortisation!$C23,Financing!$P$5:$CT$5,0))</f>
        <v>#REF!</v>
      </c>
      <c r="H23" s="97" t="e">
        <f>INDEX(Financing!$P$108:$CT$108,MATCH(Amortisation!$C23,Financing!$P$5:$CT$5,0))</f>
        <v>#REF!</v>
      </c>
    </row>
    <row r="24" spans="2:8" ht="12.75" customHeight="1" x14ac:dyDescent="0.25">
      <c r="B24" s="227">
        <f t="shared" si="1"/>
        <v>11</v>
      </c>
      <c r="C24" s="228">
        <f t="shared" si="1"/>
        <v>2031</v>
      </c>
      <c r="D24" s="229" t="e">
        <f>INDEX(Financing!$P$86:$CT$86,MATCH(Amortisation!C24,Financing!$P$5:$CT$5,0))</f>
        <v>#REF!</v>
      </c>
      <c r="E24" s="229" t="e">
        <f>INDEX(Financing!$P$87:$CT$87,MATCH(Amortisation!$C24,Financing!$P$5:$CT$5,0))</f>
        <v>#REF!</v>
      </c>
      <c r="F24" s="234" t="e">
        <f t="shared" si="0"/>
        <v>#REF!</v>
      </c>
      <c r="G24" s="229" t="e">
        <f>INDEX(Financing!$P$88:$CT$88,MATCH(Amortisation!$C24,Financing!$P$5:$CT$5,0))</f>
        <v>#REF!</v>
      </c>
      <c r="H24" s="229" t="e">
        <f>INDEX(Financing!$P$108:$CT$108,MATCH(Amortisation!$C24,Financing!$P$5:$CT$5,0))</f>
        <v>#REF!</v>
      </c>
    </row>
    <row r="25" spans="2:8" ht="12.75" customHeight="1" x14ac:dyDescent="0.25">
      <c r="B25" s="18">
        <f t="shared" si="1"/>
        <v>12</v>
      </c>
      <c r="C25" s="16">
        <f t="shared" si="1"/>
        <v>2032</v>
      </c>
      <c r="D25" s="97" t="e">
        <f>INDEX(Financing!$P$86:$CT$86,MATCH(Amortisation!C25,Financing!$P$5:$CT$5,0))</f>
        <v>#REF!</v>
      </c>
      <c r="E25" s="97" t="e">
        <f>INDEX(Financing!$P$87:$CT$87,MATCH(Amortisation!$C25,Financing!$P$5:$CT$5,0))</f>
        <v>#REF!</v>
      </c>
      <c r="F25" s="235" t="e">
        <f t="shared" si="0"/>
        <v>#REF!</v>
      </c>
      <c r="G25" s="97" t="e">
        <f>INDEX(Financing!$P$88:$CT$88,MATCH(Amortisation!$C25,Financing!$P$5:$CT$5,0))</f>
        <v>#REF!</v>
      </c>
      <c r="H25" s="97" t="e">
        <f>INDEX(Financing!$P$108:$CT$108,MATCH(Amortisation!$C25,Financing!$P$5:$CT$5,0))</f>
        <v>#REF!</v>
      </c>
    </row>
    <row r="26" spans="2:8" ht="12.75" customHeight="1" x14ac:dyDescent="0.25">
      <c r="B26" s="227">
        <f t="shared" si="1"/>
        <v>13</v>
      </c>
      <c r="C26" s="228">
        <f t="shared" si="1"/>
        <v>2033</v>
      </c>
      <c r="D26" s="229" t="e">
        <f>INDEX(Financing!$P$86:$CT$86,MATCH(Amortisation!C26,Financing!$P$5:$CT$5,0))</f>
        <v>#REF!</v>
      </c>
      <c r="E26" s="229" t="e">
        <f>INDEX(Financing!$P$87:$CT$87,MATCH(Amortisation!$C26,Financing!$P$5:$CT$5,0))</f>
        <v>#REF!</v>
      </c>
      <c r="F26" s="234" t="e">
        <f t="shared" si="0"/>
        <v>#REF!</v>
      </c>
      <c r="G26" s="229" t="e">
        <f>INDEX(Financing!$P$88:$CT$88,MATCH(Amortisation!$C26,Financing!$P$5:$CT$5,0))</f>
        <v>#REF!</v>
      </c>
      <c r="H26" s="229" t="e">
        <f>INDEX(Financing!$P$108:$CT$108,MATCH(Amortisation!$C26,Financing!$P$5:$CT$5,0))</f>
        <v>#REF!</v>
      </c>
    </row>
    <row r="27" spans="2:8" ht="12.75" customHeight="1" x14ac:dyDescent="0.25">
      <c r="B27" s="18">
        <f t="shared" si="1"/>
        <v>14</v>
      </c>
      <c r="C27" s="16">
        <f t="shared" si="1"/>
        <v>2034</v>
      </c>
      <c r="D27" s="97" t="e">
        <f>INDEX(Financing!$P$86:$CT$86,MATCH(Amortisation!C27,Financing!$P$5:$CT$5,0))</f>
        <v>#REF!</v>
      </c>
      <c r="E27" s="97" t="e">
        <f>INDEX(Financing!$P$87:$CT$87,MATCH(Amortisation!$C27,Financing!$P$5:$CT$5,0))</f>
        <v>#REF!</v>
      </c>
      <c r="F27" s="235" t="e">
        <f t="shared" si="0"/>
        <v>#REF!</v>
      </c>
      <c r="G27" s="97" t="e">
        <f>INDEX(Financing!$P$88:$CT$88,MATCH(Amortisation!$C27,Financing!$P$5:$CT$5,0))</f>
        <v>#REF!</v>
      </c>
      <c r="H27" s="97" t="e">
        <f>INDEX(Financing!$P$108:$CT$108,MATCH(Amortisation!$C27,Financing!$P$5:$CT$5,0))</f>
        <v>#REF!</v>
      </c>
    </row>
    <row r="28" spans="2:8" ht="12.75" customHeight="1" x14ac:dyDescent="0.25">
      <c r="B28" s="227">
        <f t="shared" si="1"/>
        <v>15</v>
      </c>
      <c r="C28" s="228">
        <f t="shared" si="1"/>
        <v>2035</v>
      </c>
      <c r="D28" s="229" t="e">
        <f>INDEX(Financing!$P$86:$CT$86,MATCH(Amortisation!C28,Financing!$P$5:$CT$5,0))</f>
        <v>#REF!</v>
      </c>
      <c r="E28" s="229" t="e">
        <f>INDEX(Financing!$P$87:$CT$87,MATCH(Amortisation!$C28,Financing!$P$5:$CT$5,0))</f>
        <v>#REF!</v>
      </c>
      <c r="F28" s="234" t="e">
        <f t="shared" si="0"/>
        <v>#REF!</v>
      </c>
      <c r="G28" s="229" t="e">
        <f>INDEX(Financing!$P$88:$CT$88,MATCH(Amortisation!$C28,Financing!$P$5:$CT$5,0))</f>
        <v>#REF!</v>
      </c>
      <c r="H28" s="229" t="e">
        <f>INDEX(Financing!$P$108:$CT$108,MATCH(Amortisation!$C28,Financing!$P$5:$CT$5,0))</f>
        <v>#REF!</v>
      </c>
    </row>
    <row r="29" spans="2:8" ht="12.75" customHeight="1" x14ac:dyDescent="0.25">
      <c r="B29" s="18">
        <f t="shared" si="1"/>
        <v>16</v>
      </c>
      <c r="C29" s="16">
        <f t="shared" si="1"/>
        <v>2036</v>
      </c>
      <c r="D29" s="97" t="e">
        <f>INDEX(Financing!$P$86:$CT$86,MATCH(Amortisation!C29,Financing!$P$5:$CT$5,0))</f>
        <v>#REF!</v>
      </c>
      <c r="E29" s="97" t="e">
        <f>INDEX(Financing!$P$87:$CT$87,MATCH(Amortisation!$C29,Financing!$P$5:$CT$5,0))</f>
        <v>#REF!</v>
      </c>
      <c r="F29" s="235" t="e">
        <f t="shared" si="0"/>
        <v>#REF!</v>
      </c>
      <c r="G29" s="97" t="e">
        <f>INDEX(Financing!$P$88:$CT$88,MATCH(Amortisation!$C29,Financing!$P$5:$CT$5,0))</f>
        <v>#REF!</v>
      </c>
      <c r="H29" s="97" t="e">
        <f>INDEX(Financing!$P$108:$CT$108,MATCH(Amortisation!$C29,Financing!$P$5:$CT$5,0))</f>
        <v>#REF!</v>
      </c>
    </row>
    <row r="30" spans="2:8" ht="12.75" customHeight="1" x14ac:dyDescent="0.25">
      <c r="B30" s="227">
        <f t="shared" si="1"/>
        <v>17</v>
      </c>
      <c r="C30" s="228">
        <f t="shared" si="1"/>
        <v>2037</v>
      </c>
      <c r="D30" s="229" t="e">
        <f>INDEX(Financing!$P$86:$CT$86,MATCH(Amortisation!C30,Financing!$P$5:$CT$5,0))</f>
        <v>#REF!</v>
      </c>
      <c r="E30" s="229" t="e">
        <f>INDEX(Financing!$P$87:$CT$87,MATCH(Amortisation!$C30,Financing!$P$5:$CT$5,0))</f>
        <v>#REF!</v>
      </c>
      <c r="F30" s="234" t="e">
        <f t="shared" si="0"/>
        <v>#REF!</v>
      </c>
      <c r="G30" s="229" t="e">
        <f>INDEX(Financing!$P$88:$CT$88,MATCH(Amortisation!$C30,Financing!$P$5:$CT$5,0))</f>
        <v>#REF!</v>
      </c>
      <c r="H30" s="229" t="e">
        <f>INDEX(Financing!$P$108:$CT$108,MATCH(Amortisation!$C30,Financing!$P$5:$CT$5,0))</f>
        <v>#REF!</v>
      </c>
    </row>
    <row r="31" spans="2:8" ht="12.75" customHeight="1" x14ac:dyDescent="0.25">
      <c r="B31" s="18">
        <f t="shared" si="1"/>
        <v>18</v>
      </c>
      <c r="C31" s="16">
        <f t="shared" si="1"/>
        <v>2038</v>
      </c>
      <c r="D31" s="97" t="e">
        <f>INDEX(Financing!$P$86:$CT$86,MATCH(Amortisation!C31,Financing!$P$5:$CT$5,0))</f>
        <v>#REF!</v>
      </c>
      <c r="E31" s="97" t="e">
        <f>INDEX(Financing!$P$87:$CT$87,MATCH(Amortisation!$C31,Financing!$P$5:$CT$5,0))</f>
        <v>#REF!</v>
      </c>
      <c r="F31" s="235" t="e">
        <f t="shared" si="0"/>
        <v>#REF!</v>
      </c>
      <c r="G31" s="97" t="e">
        <f>INDEX(Financing!$P$88:$CT$88,MATCH(Amortisation!$C31,Financing!$P$5:$CT$5,0))</f>
        <v>#REF!</v>
      </c>
      <c r="H31" s="97" t="e">
        <f>INDEX(Financing!$P$108:$CT$108,MATCH(Amortisation!$C31,Financing!$P$5:$CT$5,0))</f>
        <v>#REF!</v>
      </c>
    </row>
    <row r="32" spans="2:8" ht="12.75" customHeight="1" x14ac:dyDescent="0.25">
      <c r="B32" s="227">
        <f t="shared" ref="B32:C47" si="2">B31+1</f>
        <v>19</v>
      </c>
      <c r="C32" s="228">
        <f t="shared" si="2"/>
        <v>2039</v>
      </c>
      <c r="D32" s="229" t="e">
        <f>INDEX(Financing!$P$86:$CT$86,MATCH(Amortisation!C32,Financing!$P$5:$CT$5,0))</f>
        <v>#REF!</v>
      </c>
      <c r="E32" s="229" t="e">
        <f>INDEX(Financing!$P$87:$CT$87,MATCH(Amortisation!$C32,Financing!$P$5:$CT$5,0))</f>
        <v>#REF!</v>
      </c>
      <c r="F32" s="234" t="e">
        <f t="shared" si="0"/>
        <v>#REF!</v>
      </c>
      <c r="G32" s="229" t="e">
        <f>INDEX(Financing!$P$88:$CT$88,MATCH(Amortisation!$C32,Financing!$P$5:$CT$5,0))</f>
        <v>#REF!</v>
      </c>
      <c r="H32" s="229" t="e">
        <f>INDEX(Financing!$P$108:$CT$108,MATCH(Amortisation!$C32,Financing!$P$5:$CT$5,0))</f>
        <v>#REF!</v>
      </c>
    </row>
    <row r="33" spans="2:8" ht="12.75" customHeight="1" x14ac:dyDescent="0.25">
      <c r="B33" s="18">
        <f t="shared" si="2"/>
        <v>20</v>
      </c>
      <c r="C33" s="16">
        <f t="shared" si="2"/>
        <v>2040</v>
      </c>
      <c r="D33" s="97" t="e">
        <f>INDEX(Financing!$P$86:$CT$86,MATCH(Amortisation!C33,Financing!$P$5:$CT$5,0))</f>
        <v>#REF!</v>
      </c>
      <c r="E33" s="97" t="e">
        <f>INDEX(Financing!$P$87:$CT$87,MATCH(Amortisation!$C33,Financing!$P$5:$CT$5,0))</f>
        <v>#REF!</v>
      </c>
      <c r="F33" s="235" t="e">
        <f t="shared" si="0"/>
        <v>#REF!</v>
      </c>
      <c r="G33" s="97" t="e">
        <f>INDEX(Financing!$P$88:$CT$88,MATCH(Amortisation!$C33,Financing!$P$5:$CT$5,0))</f>
        <v>#REF!</v>
      </c>
      <c r="H33" s="97" t="e">
        <f>INDEX(Financing!$P$108:$CT$108,MATCH(Amortisation!$C33,Financing!$P$5:$CT$5,0))</f>
        <v>#REF!</v>
      </c>
    </row>
    <row r="34" spans="2:8" ht="12.75" customHeight="1" x14ac:dyDescent="0.25">
      <c r="B34" s="227">
        <f t="shared" si="2"/>
        <v>21</v>
      </c>
      <c r="C34" s="228">
        <f t="shared" si="2"/>
        <v>2041</v>
      </c>
      <c r="D34" s="229" t="e">
        <f>INDEX(Financing!$P$86:$CT$86,MATCH(Amortisation!C34,Financing!$P$5:$CT$5,0))</f>
        <v>#REF!</v>
      </c>
      <c r="E34" s="229" t="e">
        <f>INDEX(Financing!$P$87:$CT$87,MATCH(Amortisation!$C34,Financing!$P$5:$CT$5,0))</f>
        <v>#REF!</v>
      </c>
      <c r="F34" s="234" t="e">
        <f t="shared" si="0"/>
        <v>#REF!</v>
      </c>
      <c r="G34" s="229" t="e">
        <f>INDEX(Financing!$P$88:$CT$88,MATCH(Amortisation!$C34,Financing!$P$5:$CT$5,0))</f>
        <v>#REF!</v>
      </c>
      <c r="H34" s="229" t="e">
        <f>INDEX(Financing!$P$108:$CT$108,MATCH(Amortisation!$C34,Financing!$P$5:$CT$5,0))</f>
        <v>#REF!</v>
      </c>
    </row>
    <row r="35" spans="2:8" ht="12.75" customHeight="1" x14ac:dyDescent="0.25">
      <c r="B35" s="18">
        <f t="shared" si="2"/>
        <v>22</v>
      </c>
      <c r="C35" s="16">
        <f t="shared" si="2"/>
        <v>2042</v>
      </c>
      <c r="D35" s="97" t="e">
        <f>INDEX(Financing!$P$86:$CT$86,MATCH(Amortisation!C35,Financing!$P$5:$CT$5,0))</f>
        <v>#REF!</v>
      </c>
      <c r="E35" s="97" t="e">
        <f>INDEX(Financing!$P$87:$CT$87,MATCH(Amortisation!$C35,Financing!$P$5:$CT$5,0))</f>
        <v>#REF!</v>
      </c>
      <c r="F35" s="235" t="e">
        <f t="shared" si="0"/>
        <v>#REF!</v>
      </c>
      <c r="G35" s="97" t="e">
        <f>INDEX(Financing!$P$88:$CT$88,MATCH(Amortisation!$C35,Financing!$P$5:$CT$5,0))</f>
        <v>#REF!</v>
      </c>
      <c r="H35" s="97" t="e">
        <f>INDEX(Financing!$P$108:$CT$108,MATCH(Amortisation!$C35,Financing!$P$5:$CT$5,0))</f>
        <v>#REF!</v>
      </c>
    </row>
    <row r="36" spans="2:8" ht="12.75" customHeight="1" x14ac:dyDescent="0.25">
      <c r="B36" s="227">
        <f t="shared" si="2"/>
        <v>23</v>
      </c>
      <c r="C36" s="228">
        <f t="shared" si="2"/>
        <v>2043</v>
      </c>
      <c r="D36" s="229" t="e">
        <f>INDEX(Financing!$P$86:$CT$86,MATCH(Amortisation!C36,Financing!$P$5:$CT$5,0))</f>
        <v>#REF!</v>
      </c>
      <c r="E36" s="229" t="e">
        <f>INDEX(Financing!$P$87:$CT$87,MATCH(Amortisation!$C36,Financing!$P$5:$CT$5,0))</f>
        <v>#REF!</v>
      </c>
      <c r="F36" s="234" t="e">
        <f t="shared" si="0"/>
        <v>#REF!</v>
      </c>
      <c r="G36" s="229" t="e">
        <f>INDEX(Financing!$P$88:$CT$88,MATCH(Amortisation!$C36,Financing!$P$5:$CT$5,0))</f>
        <v>#REF!</v>
      </c>
      <c r="H36" s="229" t="e">
        <f>INDEX(Financing!$P$108:$CT$108,MATCH(Amortisation!$C36,Financing!$P$5:$CT$5,0))</f>
        <v>#REF!</v>
      </c>
    </row>
    <row r="37" spans="2:8" ht="12.75" customHeight="1" x14ac:dyDescent="0.25">
      <c r="B37" s="18">
        <f t="shared" si="2"/>
        <v>24</v>
      </c>
      <c r="C37" s="16">
        <f t="shared" si="2"/>
        <v>2044</v>
      </c>
      <c r="D37" s="97" t="e">
        <f>INDEX(Financing!$P$86:$CT$86,MATCH(Amortisation!C37,Financing!$P$5:$CT$5,0))</f>
        <v>#REF!</v>
      </c>
      <c r="E37" s="97" t="e">
        <f>INDEX(Financing!$P$87:$CT$87,MATCH(Amortisation!$C37,Financing!$P$5:$CT$5,0))</f>
        <v>#REF!</v>
      </c>
      <c r="F37" s="235" t="e">
        <f t="shared" si="0"/>
        <v>#REF!</v>
      </c>
      <c r="G37" s="97" t="e">
        <f>INDEX(Financing!$P$88:$CT$88,MATCH(Amortisation!$C37,Financing!$P$5:$CT$5,0))</f>
        <v>#REF!</v>
      </c>
      <c r="H37" s="97" t="e">
        <f>INDEX(Financing!$P$108:$CT$108,MATCH(Amortisation!$C37,Financing!$P$5:$CT$5,0))</f>
        <v>#REF!</v>
      </c>
    </row>
    <row r="38" spans="2:8" ht="12.75" customHeight="1" x14ac:dyDescent="0.25">
      <c r="B38" s="227">
        <f t="shared" si="2"/>
        <v>25</v>
      </c>
      <c r="C38" s="228">
        <f t="shared" si="2"/>
        <v>2045</v>
      </c>
      <c r="D38" s="229" t="e">
        <f>INDEX(Financing!$P$86:$CT$86,MATCH(Amortisation!C38,Financing!$P$5:$CT$5,0))</f>
        <v>#REF!</v>
      </c>
      <c r="E38" s="229" t="e">
        <f>INDEX(Financing!$P$87:$CT$87,MATCH(Amortisation!$C38,Financing!$P$5:$CT$5,0))</f>
        <v>#REF!</v>
      </c>
      <c r="F38" s="234" t="e">
        <f t="shared" si="0"/>
        <v>#REF!</v>
      </c>
      <c r="G38" s="229" t="e">
        <f>INDEX(Financing!$P$88:$CT$88,MATCH(Amortisation!$C38,Financing!$P$5:$CT$5,0))</f>
        <v>#REF!</v>
      </c>
      <c r="H38" s="229" t="e">
        <f>INDEX(Financing!$P$108:$CT$108,MATCH(Amortisation!$C38,Financing!$P$5:$CT$5,0))</f>
        <v>#REF!</v>
      </c>
    </row>
    <row r="39" spans="2:8" ht="12.75" customHeight="1" x14ac:dyDescent="0.25">
      <c r="B39" s="18">
        <f t="shared" si="2"/>
        <v>26</v>
      </c>
      <c r="C39" s="16">
        <f t="shared" si="2"/>
        <v>2046</v>
      </c>
      <c r="D39" s="97" t="e">
        <f>INDEX(Financing!$P$86:$CT$86,MATCH(Amortisation!C39,Financing!$P$5:$CT$5,0))</f>
        <v>#REF!</v>
      </c>
      <c r="E39" s="97" t="e">
        <f>INDEX(Financing!$P$87:$CT$87,MATCH(Amortisation!$C39,Financing!$P$5:$CT$5,0))</f>
        <v>#REF!</v>
      </c>
      <c r="F39" s="235" t="e">
        <f t="shared" si="0"/>
        <v>#REF!</v>
      </c>
      <c r="G39" s="97" t="e">
        <f>INDEX(Financing!$P$88:$CT$88,MATCH(Amortisation!$C39,Financing!$P$5:$CT$5,0))</f>
        <v>#REF!</v>
      </c>
      <c r="H39" s="97" t="e">
        <f>INDEX(Financing!$P$108:$CT$108,MATCH(Amortisation!$C39,Financing!$P$5:$CT$5,0))</f>
        <v>#REF!</v>
      </c>
    </row>
    <row r="40" spans="2:8" ht="12.75" customHeight="1" x14ac:dyDescent="0.25">
      <c r="B40" s="227">
        <f t="shared" si="2"/>
        <v>27</v>
      </c>
      <c r="C40" s="228">
        <f t="shared" si="2"/>
        <v>2047</v>
      </c>
      <c r="D40" s="229" t="e">
        <f>INDEX(Financing!$P$86:$CT$86,MATCH(Amortisation!C40,Financing!$P$5:$CT$5,0))</f>
        <v>#REF!</v>
      </c>
      <c r="E40" s="229" t="e">
        <f>INDEX(Financing!$P$87:$CT$87,MATCH(Amortisation!$C40,Financing!$P$5:$CT$5,0))</f>
        <v>#REF!</v>
      </c>
      <c r="F40" s="234" t="e">
        <f t="shared" si="0"/>
        <v>#REF!</v>
      </c>
      <c r="G40" s="229" t="e">
        <f>INDEX(Financing!$P$88:$CT$88,MATCH(Amortisation!$C40,Financing!$P$5:$CT$5,0))</f>
        <v>#REF!</v>
      </c>
      <c r="H40" s="229" t="e">
        <f>INDEX(Financing!$P$108:$CT$108,MATCH(Amortisation!$C40,Financing!$P$5:$CT$5,0))</f>
        <v>#REF!</v>
      </c>
    </row>
    <row r="41" spans="2:8" ht="12.75" customHeight="1" x14ac:dyDescent="0.25">
      <c r="B41" s="18">
        <f t="shared" si="2"/>
        <v>28</v>
      </c>
      <c r="C41" s="16">
        <f t="shared" si="2"/>
        <v>2048</v>
      </c>
      <c r="D41" s="97" t="e">
        <f>INDEX(Financing!$P$86:$CT$86,MATCH(Amortisation!C41,Financing!$P$5:$CT$5,0))</f>
        <v>#REF!</v>
      </c>
      <c r="E41" s="97" t="e">
        <f>INDEX(Financing!$P$87:$CT$87,MATCH(Amortisation!$C41,Financing!$P$5:$CT$5,0))</f>
        <v>#REF!</v>
      </c>
      <c r="F41" s="235" t="e">
        <f t="shared" si="0"/>
        <v>#REF!</v>
      </c>
      <c r="G41" s="97" t="e">
        <f>INDEX(Financing!$P$88:$CT$88,MATCH(Amortisation!$C41,Financing!$P$5:$CT$5,0))</f>
        <v>#REF!</v>
      </c>
      <c r="H41" s="97" t="e">
        <f>INDEX(Financing!$P$108:$CT$108,MATCH(Amortisation!$C41,Financing!$P$5:$CT$5,0))</f>
        <v>#REF!</v>
      </c>
    </row>
    <row r="42" spans="2:8" ht="12.75" customHeight="1" x14ac:dyDescent="0.25">
      <c r="B42" s="227">
        <f t="shared" si="2"/>
        <v>29</v>
      </c>
      <c r="C42" s="228">
        <f t="shared" si="2"/>
        <v>2049</v>
      </c>
      <c r="D42" s="229" t="e">
        <f>INDEX(Financing!$P$86:$CT$86,MATCH(Amortisation!C42,Financing!$P$5:$CT$5,0))</f>
        <v>#REF!</v>
      </c>
      <c r="E42" s="229" t="e">
        <f>INDEX(Financing!$P$87:$CT$87,MATCH(Amortisation!$C42,Financing!$P$5:$CT$5,0))</f>
        <v>#REF!</v>
      </c>
      <c r="F42" s="234" t="e">
        <f t="shared" si="0"/>
        <v>#REF!</v>
      </c>
      <c r="G42" s="229" t="e">
        <f>INDEX(Financing!$P$88:$CT$88,MATCH(Amortisation!$C42,Financing!$P$5:$CT$5,0))</f>
        <v>#REF!</v>
      </c>
      <c r="H42" s="229" t="e">
        <f>INDEX(Financing!$P$108:$CT$108,MATCH(Amortisation!$C42,Financing!$P$5:$CT$5,0))</f>
        <v>#REF!</v>
      </c>
    </row>
    <row r="43" spans="2:8" ht="12.75" customHeight="1" x14ac:dyDescent="0.25">
      <c r="B43" s="18">
        <f t="shared" si="2"/>
        <v>30</v>
      </c>
      <c r="C43" s="16">
        <f t="shared" si="2"/>
        <v>2050</v>
      </c>
      <c r="D43" s="97" t="e">
        <f>INDEX(Financing!$P$86:$CT$86,MATCH(Amortisation!C43,Financing!$P$5:$CT$5,0))</f>
        <v>#REF!</v>
      </c>
      <c r="E43" s="97" t="e">
        <f>INDEX(Financing!$P$87:$CT$87,MATCH(Amortisation!$C43,Financing!$P$5:$CT$5,0))</f>
        <v>#REF!</v>
      </c>
      <c r="F43" s="235" t="e">
        <f t="shared" si="0"/>
        <v>#REF!</v>
      </c>
      <c r="G43" s="97" t="e">
        <f>INDEX(Financing!$P$88:$CT$88,MATCH(Amortisation!$C43,Financing!$P$5:$CT$5,0))</f>
        <v>#REF!</v>
      </c>
      <c r="H43" s="97" t="e">
        <f>INDEX(Financing!$P$108:$CT$108,MATCH(Amortisation!$C43,Financing!$P$5:$CT$5,0))</f>
        <v>#REF!</v>
      </c>
    </row>
    <row r="44" spans="2:8" ht="12.75" customHeight="1" x14ac:dyDescent="0.25">
      <c r="B44" s="227">
        <f t="shared" si="2"/>
        <v>31</v>
      </c>
      <c r="C44" s="228">
        <f t="shared" si="2"/>
        <v>2051</v>
      </c>
      <c r="D44" s="229" t="e">
        <f>INDEX(Financing!$P$86:$CT$86,MATCH(Amortisation!C44,Financing!$P$5:$CT$5,0))</f>
        <v>#REF!</v>
      </c>
      <c r="E44" s="229" t="e">
        <f>INDEX(Financing!$P$87:$CT$87,MATCH(Amortisation!$C44,Financing!$P$5:$CT$5,0))</f>
        <v>#REF!</v>
      </c>
      <c r="F44" s="234" t="e">
        <f t="shared" si="0"/>
        <v>#REF!</v>
      </c>
      <c r="G44" s="229" t="e">
        <f>INDEX(Financing!$P$88:$CT$88,MATCH(Amortisation!$C44,Financing!$P$5:$CT$5,0))</f>
        <v>#REF!</v>
      </c>
      <c r="H44" s="229" t="e">
        <f>INDEX(Financing!$P$108:$CT$108,MATCH(Amortisation!$C44,Financing!$P$5:$CT$5,0))</f>
        <v>#REF!</v>
      </c>
    </row>
    <row r="45" spans="2:8" ht="12.75" customHeight="1" x14ac:dyDescent="0.25">
      <c r="B45" s="18">
        <f t="shared" si="2"/>
        <v>32</v>
      </c>
      <c r="C45" s="16">
        <f t="shared" si="2"/>
        <v>2052</v>
      </c>
      <c r="D45" s="97" t="e">
        <f>INDEX(Financing!$P$86:$CT$86,MATCH(Amortisation!C45,Financing!$P$5:$CT$5,0))</f>
        <v>#REF!</v>
      </c>
      <c r="E45" s="97" t="e">
        <f>INDEX(Financing!$P$87:$CT$87,MATCH(Amortisation!$C45,Financing!$P$5:$CT$5,0))</f>
        <v>#REF!</v>
      </c>
      <c r="F45" s="235" t="e">
        <f t="shared" si="0"/>
        <v>#REF!</v>
      </c>
      <c r="G45" s="97" t="e">
        <f>INDEX(Financing!$P$88:$CT$88,MATCH(Amortisation!$C45,Financing!$P$5:$CT$5,0))</f>
        <v>#REF!</v>
      </c>
      <c r="H45" s="97" t="e">
        <f>INDEX(Financing!$P$108:$CT$108,MATCH(Amortisation!$C45,Financing!$P$5:$CT$5,0))</f>
        <v>#REF!</v>
      </c>
    </row>
    <row r="46" spans="2:8" ht="12.75" customHeight="1" x14ac:dyDescent="0.25">
      <c r="B46" s="227">
        <f t="shared" si="2"/>
        <v>33</v>
      </c>
      <c r="C46" s="228">
        <f t="shared" si="2"/>
        <v>2053</v>
      </c>
      <c r="D46" s="229" t="e">
        <f>INDEX(Financing!$P$86:$CT$86,MATCH(Amortisation!C46,Financing!$P$5:$CT$5,0))</f>
        <v>#REF!</v>
      </c>
      <c r="E46" s="229" t="e">
        <f>INDEX(Financing!$P$87:$CT$87,MATCH(Amortisation!$C46,Financing!$P$5:$CT$5,0))</f>
        <v>#REF!</v>
      </c>
      <c r="F46" s="234" t="e">
        <f t="shared" si="0"/>
        <v>#REF!</v>
      </c>
      <c r="G46" s="229" t="e">
        <f>INDEX(Financing!$P$88:$CT$88,MATCH(Amortisation!$C46,Financing!$P$5:$CT$5,0))</f>
        <v>#REF!</v>
      </c>
      <c r="H46" s="229" t="e">
        <f>INDEX(Financing!$P$108:$CT$108,MATCH(Amortisation!$C46,Financing!$P$5:$CT$5,0))</f>
        <v>#REF!</v>
      </c>
    </row>
    <row r="47" spans="2:8" ht="12.75" customHeight="1" x14ac:dyDescent="0.25">
      <c r="B47" s="18">
        <f t="shared" si="2"/>
        <v>34</v>
      </c>
      <c r="C47" s="16">
        <f t="shared" si="2"/>
        <v>2054</v>
      </c>
      <c r="D47" s="97" t="e">
        <f>INDEX(Financing!$P$86:$CT$86,MATCH(Amortisation!C47,Financing!$P$5:$CT$5,0))</f>
        <v>#REF!</v>
      </c>
      <c r="E47" s="97" t="e">
        <f>INDEX(Financing!$P$87:$CT$87,MATCH(Amortisation!$C47,Financing!$P$5:$CT$5,0))</f>
        <v>#REF!</v>
      </c>
      <c r="F47" s="235" t="e">
        <f t="shared" si="0"/>
        <v>#REF!</v>
      </c>
      <c r="G47" s="97" t="e">
        <f>INDEX(Financing!$P$88:$CT$88,MATCH(Amortisation!$C47,Financing!$P$5:$CT$5,0))</f>
        <v>#REF!</v>
      </c>
      <c r="H47" s="97" t="e">
        <f>INDEX(Financing!$P$108:$CT$108,MATCH(Amortisation!$C47,Financing!$P$5:$CT$5,0))</f>
        <v>#REF!</v>
      </c>
    </row>
    <row r="48" spans="2:8" ht="12.75" customHeight="1" x14ac:dyDescent="0.25">
      <c r="B48" s="227">
        <f t="shared" ref="B48:C50" si="3">B47+1</f>
        <v>35</v>
      </c>
      <c r="C48" s="228">
        <f t="shared" si="3"/>
        <v>2055</v>
      </c>
      <c r="D48" s="229" t="e">
        <f>INDEX(Financing!$P$86:$CT$86,MATCH(Amortisation!C48,Financing!$P$5:$CT$5,0))</f>
        <v>#REF!</v>
      </c>
      <c r="E48" s="229" t="e">
        <f>INDEX(Financing!$P$87:$CT$87,MATCH(Amortisation!$C48,Financing!$P$5:$CT$5,0))</f>
        <v>#REF!</v>
      </c>
      <c r="F48" s="234" t="e">
        <f t="shared" si="0"/>
        <v>#REF!</v>
      </c>
      <c r="G48" s="229" t="e">
        <f>INDEX(Financing!$P$88:$CT$88,MATCH(Amortisation!$C48,Financing!$P$5:$CT$5,0))</f>
        <v>#REF!</v>
      </c>
      <c r="H48" s="229" t="e">
        <f>INDEX(Financing!$P$108:$CT$108,MATCH(Amortisation!$C48,Financing!$P$5:$CT$5,0))</f>
        <v>#REF!</v>
      </c>
    </row>
    <row r="49" spans="2:8" ht="12.75" customHeight="1" x14ac:dyDescent="0.25">
      <c r="B49" s="18">
        <f t="shared" si="3"/>
        <v>36</v>
      </c>
      <c r="C49" s="16">
        <f t="shared" si="3"/>
        <v>2056</v>
      </c>
      <c r="D49" s="97" t="e">
        <f>INDEX(Financing!$P$86:$CT$86,MATCH(Amortisation!C49,Financing!$P$5:$CT$5,0))</f>
        <v>#REF!</v>
      </c>
      <c r="E49" s="97" t="e">
        <f>INDEX(Financing!$P$87:$CT$87,MATCH(Amortisation!$C49,Financing!$P$5:$CT$5,0))</f>
        <v>#REF!</v>
      </c>
      <c r="F49" s="235" t="e">
        <f t="shared" si="0"/>
        <v>#REF!</v>
      </c>
      <c r="G49" s="97" t="e">
        <f>INDEX(Financing!$P$88:$CT$88,MATCH(Amortisation!$C49,Financing!$P$5:$CT$5,0))</f>
        <v>#REF!</v>
      </c>
      <c r="H49" s="97" t="e">
        <f>INDEX(Financing!$P$108:$CT$108,MATCH(Amortisation!$C49,Financing!$P$5:$CT$5,0))</f>
        <v>#REF!</v>
      </c>
    </row>
    <row r="50" spans="2:8" ht="12.75" customHeight="1" thickBot="1" x14ac:dyDescent="0.3">
      <c r="B50" s="231">
        <f t="shared" si="3"/>
        <v>37</v>
      </c>
      <c r="C50" s="232">
        <f t="shared" si="3"/>
        <v>2057</v>
      </c>
      <c r="D50" s="230" t="e">
        <f>INDEX(Financing!$P$86:$CT$86,MATCH(Amortisation!C50,Financing!$P$5:$CT$5,0))</f>
        <v>#REF!</v>
      </c>
      <c r="E50" s="230" t="e">
        <f>INDEX(Financing!$P$87:$CT$87,MATCH(Amortisation!$C50,Financing!$P$5:$CT$5,0))</f>
        <v>#REF!</v>
      </c>
      <c r="F50" s="236" t="e">
        <f t="shared" si="0"/>
        <v>#REF!</v>
      </c>
      <c r="G50" s="230" t="e">
        <f>INDEX(Financing!$P$88:$CT$88,MATCH(Amortisation!$C50,Financing!$P$5:$CT$5,0))</f>
        <v>#REF!</v>
      </c>
      <c r="H50" s="230" t="e">
        <f>INDEX(Financing!$P$108:$CT$108,MATCH(Amortisation!$C50,Financing!$P$5:$CT$5,0))</f>
        <v>#REF!</v>
      </c>
    </row>
    <row r="51" spans="2:8" ht="12.75" customHeight="1" thickTop="1" x14ac:dyDescent="0.25">
      <c r="B51" s="233"/>
      <c r="C51" s="43"/>
      <c r="D51" s="99" t="e">
        <f>SUM(D14:D50)</f>
        <v>#REF!</v>
      </c>
      <c r="E51" s="99" t="e">
        <f>SUM(E14:E50)</f>
        <v>#REF!</v>
      </c>
      <c r="F51" s="237" t="e">
        <f>SUM(F14:F50)</f>
        <v>#REF!</v>
      </c>
      <c r="G51" s="99" t="e">
        <f t="shared" ref="G51:H51" si="4">SUM(G14:G50)</f>
        <v>#REF!</v>
      </c>
      <c r="H51" s="99" t="e">
        <f t="shared" si="4"/>
        <v>#REF!</v>
      </c>
    </row>
    <row r="52" spans="2:8" ht="12.75" customHeight="1" x14ac:dyDescent="0.25"/>
  </sheetData>
  <mergeCells count="7">
    <mergeCell ref="H10:H12"/>
    <mergeCell ref="B10:B12"/>
    <mergeCell ref="C10:C12"/>
    <mergeCell ref="D10:D12"/>
    <mergeCell ref="E10:E12"/>
    <mergeCell ref="F10:F12"/>
    <mergeCell ref="G10:G12"/>
  </mergeCells>
  <conditionalFormatting sqref="J2:J3">
    <cfRule type="expression" dxfId="20" priority="11">
      <formula>#REF!=TRUE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D93D2-54BC-4226-8552-E4D88D14ADD0}">
  <sheetPr codeName="Sheet18">
    <tabColor theme="3" tint="-0.499984740745262"/>
  </sheetPr>
  <dimension ref="A1:DD85"/>
  <sheetViews>
    <sheetView showGridLines="0" zoomScale="50" zoomScaleNormal="50" workbookViewId="0">
      <pane xSplit="14" ySplit="8" topLeftCell="O9" activePane="bottomRight" state="frozen"/>
      <selection activeCell="I6" sqref="I6"/>
      <selection pane="topRight" activeCell="I6" sqref="I6"/>
      <selection pane="bottomLeft" activeCell="I6" sqref="I6"/>
      <selection pane="bottomRight" activeCell="D58" sqref="D58:D62"/>
    </sheetView>
  </sheetViews>
  <sheetFormatPr defaultColWidth="0" defaultRowHeight="12.75" customHeight="1" zeroHeight="1" x14ac:dyDescent="0.25"/>
  <cols>
    <col min="1" max="2" width="3.28515625" customWidth="1"/>
    <col min="3" max="3" width="3.28515625" style="184" customWidth="1"/>
    <col min="4" max="7" width="14" customWidth="1"/>
    <col min="8" max="9" width="12.28515625" customWidth="1"/>
    <col min="10" max="11" width="16" customWidth="1"/>
    <col min="12" max="13" width="9.140625" customWidth="1"/>
    <col min="14" max="14" width="14" customWidth="1"/>
    <col min="15" max="15" width="12.5703125" customWidth="1"/>
    <col min="16" max="98" width="14.28515625" customWidth="1"/>
    <col min="99" max="16384" width="9.140625" hidden="1"/>
  </cols>
  <sheetData>
    <row r="1" spans="1:108" s="282" customFormat="1" ht="12.75" customHeight="1" x14ac:dyDescent="0.2">
      <c r="C1" s="283"/>
      <c r="H1" s="284"/>
    </row>
    <row r="2" spans="1:108" s="282" customFormat="1" ht="12.75" customHeight="1" x14ac:dyDescent="0.2">
      <c r="C2" s="283"/>
      <c r="H2" s="284"/>
      <c r="J2" s="285"/>
    </row>
    <row r="3" spans="1:108" s="282" customFormat="1" ht="12.75" customHeight="1" x14ac:dyDescent="0.2">
      <c r="C3" s="283"/>
      <c r="H3" s="284"/>
      <c r="J3" s="286"/>
    </row>
    <row r="4" spans="1:108" s="282" customFormat="1" ht="12.75" customHeight="1" x14ac:dyDescent="0.2">
      <c r="C4" s="283"/>
      <c r="H4" s="284"/>
    </row>
    <row r="5" spans="1:108" s="282" customFormat="1" ht="12.75" customHeight="1" x14ac:dyDescent="0.2">
      <c r="C5" s="283"/>
      <c r="H5" s="284"/>
      <c r="J5" s="285"/>
      <c r="N5" s="282" t="s">
        <v>0</v>
      </c>
      <c r="P5" s="287">
        <f>Timing!R5</f>
        <v>2021</v>
      </c>
      <c r="Q5" s="287">
        <f>Timing!S5</f>
        <v>2022</v>
      </c>
      <c r="R5" s="287">
        <f>Timing!T5</f>
        <v>2023</v>
      </c>
      <c r="S5" s="287">
        <f>Timing!U5</f>
        <v>2024</v>
      </c>
      <c r="T5" s="287">
        <f>Timing!V5</f>
        <v>2025</v>
      </c>
      <c r="U5" s="287">
        <f>Timing!W5</f>
        <v>2026</v>
      </c>
      <c r="V5" s="287">
        <f>Timing!X5</f>
        <v>2027</v>
      </c>
      <c r="W5" s="287">
        <f>Timing!Y5</f>
        <v>2028</v>
      </c>
      <c r="X5" s="287">
        <f>Timing!Z5</f>
        <v>2029</v>
      </c>
      <c r="Y5" s="287">
        <f>Timing!AA5</f>
        <v>2030</v>
      </c>
      <c r="Z5" s="287">
        <f>Timing!AB5</f>
        <v>2031</v>
      </c>
      <c r="AA5" s="287">
        <f>Timing!AC5</f>
        <v>2032</v>
      </c>
      <c r="AB5" s="287">
        <f>Timing!AD5</f>
        <v>2033</v>
      </c>
      <c r="AC5" s="287">
        <f>Timing!AE5</f>
        <v>2034</v>
      </c>
      <c r="AD5" s="287">
        <f>Timing!AF5</f>
        <v>2035</v>
      </c>
      <c r="AE5" s="287">
        <f>Timing!AG5</f>
        <v>2036</v>
      </c>
      <c r="AF5" s="287">
        <f>Timing!AH5</f>
        <v>2037</v>
      </c>
      <c r="AG5" s="287">
        <f>Timing!AI5</f>
        <v>2038</v>
      </c>
      <c r="AH5" s="287">
        <f>Timing!AJ5</f>
        <v>2039</v>
      </c>
      <c r="AI5" s="287">
        <f>Timing!AK5</f>
        <v>2040</v>
      </c>
      <c r="AJ5" s="287">
        <f>Timing!AL5</f>
        <v>2041</v>
      </c>
      <c r="AK5" s="287">
        <f>Timing!AM5</f>
        <v>2042</v>
      </c>
      <c r="AL5" s="287">
        <f>Timing!AN5</f>
        <v>2043</v>
      </c>
      <c r="AM5" s="287">
        <f>Timing!AO5</f>
        <v>2044</v>
      </c>
      <c r="AN5" s="287">
        <f>Timing!AP5</f>
        <v>2045</v>
      </c>
      <c r="AO5" s="287">
        <f>Timing!AQ5</f>
        <v>2046</v>
      </c>
      <c r="AP5" s="287">
        <f>Timing!AR5</f>
        <v>2047</v>
      </c>
      <c r="AQ5" s="287">
        <f>Timing!AS5</f>
        <v>2048</v>
      </c>
      <c r="AR5" s="287">
        <f>Timing!AT5</f>
        <v>2049</v>
      </c>
      <c r="AS5" s="287">
        <f>Timing!AU5</f>
        <v>2050</v>
      </c>
      <c r="AT5" s="287">
        <f>Timing!AV5</f>
        <v>2051</v>
      </c>
      <c r="AU5" s="287">
        <f>Timing!AW5</f>
        <v>2052</v>
      </c>
      <c r="AV5" s="287">
        <f>Timing!AX5</f>
        <v>2053</v>
      </c>
      <c r="AW5" s="287">
        <f>Timing!AY5</f>
        <v>2054</v>
      </c>
      <c r="AX5" s="287">
        <f>Timing!AZ5</f>
        <v>2055</v>
      </c>
      <c r="AY5" s="287">
        <f>Timing!BA5</f>
        <v>2056</v>
      </c>
      <c r="AZ5" s="287">
        <f>Timing!BB5</f>
        <v>2057</v>
      </c>
      <c r="BA5" s="287">
        <f>Timing!BC5</f>
        <v>2058</v>
      </c>
      <c r="BB5" s="287">
        <f>Timing!BD5</f>
        <v>2059</v>
      </c>
      <c r="BC5" s="287">
        <f>Timing!BE5</f>
        <v>2060</v>
      </c>
      <c r="BD5" s="287">
        <f>Timing!BF5</f>
        <v>2061</v>
      </c>
      <c r="BE5" s="287">
        <f>Timing!BG5</f>
        <v>2062</v>
      </c>
      <c r="BF5" s="287">
        <f>Timing!BH5</f>
        <v>2063</v>
      </c>
      <c r="BG5" s="287">
        <f>Timing!BI5</f>
        <v>2064</v>
      </c>
      <c r="BH5" s="287">
        <f>Timing!BJ5</f>
        <v>2065</v>
      </c>
      <c r="BI5" s="287">
        <f>Timing!BK5</f>
        <v>2066</v>
      </c>
      <c r="BJ5" s="287">
        <f>Timing!BL5</f>
        <v>2067</v>
      </c>
      <c r="BK5" s="287">
        <f>Timing!BM5</f>
        <v>2068</v>
      </c>
      <c r="BL5" s="287">
        <f>Timing!BN5</f>
        <v>2069</v>
      </c>
      <c r="BM5" s="287">
        <f>Timing!BO5</f>
        <v>2070</v>
      </c>
      <c r="BN5" s="287">
        <f>Timing!BP5</f>
        <v>2071</v>
      </c>
      <c r="BO5" s="287">
        <f>Timing!BQ5</f>
        <v>2072</v>
      </c>
      <c r="BP5" s="287">
        <f>Timing!BR5</f>
        <v>2073</v>
      </c>
      <c r="BQ5" s="287">
        <f>Timing!BS5</f>
        <v>2074</v>
      </c>
      <c r="BR5" s="287">
        <f>Timing!BT5</f>
        <v>2075</v>
      </c>
      <c r="BS5" s="287">
        <f>Timing!BU5</f>
        <v>2076</v>
      </c>
      <c r="BT5" s="287">
        <f>Timing!BV5</f>
        <v>2077</v>
      </c>
      <c r="BU5" s="287">
        <f>Timing!BW5</f>
        <v>2078</v>
      </c>
      <c r="BV5" s="287">
        <f>Timing!BX5</f>
        <v>2079</v>
      </c>
      <c r="BW5" s="287">
        <f>Timing!BY5</f>
        <v>2080</v>
      </c>
      <c r="BX5" s="287">
        <f>Timing!BZ5</f>
        <v>2081</v>
      </c>
      <c r="BY5" s="287">
        <f>Timing!CA5</f>
        <v>2082</v>
      </c>
      <c r="BZ5" s="287">
        <f>Timing!CB5</f>
        <v>2083</v>
      </c>
      <c r="CA5" s="287">
        <f>Timing!CC5</f>
        <v>2084</v>
      </c>
      <c r="CB5" s="287">
        <f>Timing!CD5</f>
        <v>2085</v>
      </c>
      <c r="CC5" s="287">
        <f>Timing!CE5</f>
        <v>2086</v>
      </c>
      <c r="CD5" s="287">
        <f>Timing!CF5</f>
        <v>2087</v>
      </c>
      <c r="CE5" s="287">
        <f>Timing!CG5</f>
        <v>2088</v>
      </c>
      <c r="CF5" s="287">
        <f>Timing!CH5</f>
        <v>2089</v>
      </c>
      <c r="CG5" s="287">
        <f>Timing!CI5</f>
        <v>2090</v>
      </c>
      <c r="CH5" s="287">
        <f>Timing!CJ5</f>
        <v>2091</v>
      </c>
      <c r="CI5" s="287">
        <f>Timing!CK5</f>
        <v>2092</v>
      </c>
      <c r="CJ5" s="287">
        <f>Timing!CL5</f>
        <v>2093</v>
      </c>
      <c r="CK5" s="287">
        <f>Timing!CM5</f>
        <v>2094</v>
      </c>
      <c r="CL5" s="287">
        <f>Timing!CN5</f>
        <v>2095</v>
      </c>
      <c r="CM5" s="287">
        <f>Timing!CO5</f>
        <v>2096</v>
      </c>
      <c r="CN5" s="287">
        <f>Timing!CP5</f>
        <v>2097</v>
      </c>
      <c r="CO5" s="287">
        <f>Timing!CQ5</f>
        <v>2098</v>
      </c>
      <c r="CP5" s="287">
        <f>Timing!CR5</f>
        <v>2099</v>
      </c>
      <c r="CQ5" s="287">
        <f>Timing!CS5</f>
        <v>2100</v>
      </c>
      <c r="CR5" s="287">
        <f>Timing!CT5</f>
        <v>2101</v>
      </c>
      <c r="CS5" s="287">
        <f>Timing!CU5</f>
        <v>2102</v>
      </c>
      <c r="CT5" s="287">
        <f>Timing!CV5</f>
        <v>2103</v>
      </c>
      <c r="CU5" s="287">
        <f t="shared" ref="CU5:DD5" si="0">CT5+1</f>
        <v>2104</v>
      </c>
      <c r="CV5" s="287">
        <f t="shared" si="0"/>
        <v>2105</v>
      </c>
      <c r="CW5" s="287">
        <f t="shared" si="0"/>
        <v>2106</v>
      </c>
      <c r="CX5" s="287">
        <f t="shared" si="0"/>
        <v>2107</v>
      </c>
      <c r="CY5" s="287">
        <f t="shared" si="0"/>
        <v>2108</v>
      </c>
      <c r="CZ5" s="287">
        <f t="shared" si="0"/>
        <v>2109</v>
      </c>
      <c r="DA5" s="287">
        <f t="shared" si="0"/>
        <v>2110</v>
      </c>
      <c r="DB5" s="287">
        <f t="shared" si="0"/>
        <v>2111</v>
      </c>
      <c r="DC5" s="287">
        <f t="shared" si="0"/>
        <v>2112</v>
      </c>
      <c r="DD5" s="287">
        <f t="shared" si="0"/>
        <v>2113</v>
      </c>
    </row>
    <row r="6" spans="1:108" s="282" customFormat="1" ht="12.75" customHeight="1" x14ac:dyDescent="0.2">
      <c r="C6" s="283"/>
      <c r="H6" s="284"/>
      <c r="J6" s="286"/>
      <c r="N6" s="282" t="s">
        <v>1</v>
      </c>
      <c r="P6" s="288">
        <f>Timing!R6</f>
        <v>1</v>
      </c>
      <c r="Q6" s="288">
        <f>Timing!S6</f>
        <v>2</v>
      </c>
      <c r="R6" s="288">
        <f>Timing!T6</f>
        <v>3</v>
      </c>
      <c r="S6" s="288">
        <f>Timing!U6</f>
        <v>4</v>
      </c>
      <c r="T6" s="288">
        <f>Timing!V6</f>
        <v>5</v>
      </c>
      <c r="U6" s="288">
        <f>Timing!W6</f>
        <v>6</v>
      </c>
      <c r="V6" s="288">
        <f>Timing!X6</f>
        <v>7</v>
      </c>
      <c r="W6" s="288">
        <f>Timing!Y6</f>
        <v>8</v>
      </c>
      <c r="X6" s="288">
        <f>Timing!Z6</f>
        <v>9</v>
      </c>
      <c r="Y6" s="288">
        <f>Timing!AA6</f>
        <v>10</v>
      </c>
      <c r="Z6" s="288">
        <f>Timing!AB6</f>
        <v>11</v>
      </c>
      <c r="AA6" s="288">
        <f>Timing!AC6</f>
        <v>12</v>
      </c>
      <c r="AB6" s="288">
        <f>Timing!AD6</f>
        <v>13</v>
      </c>
      <c r="AC6" s="288">
        <f>Timing!AE6</f>
        <v>14</v>
      </c>
      <c r="AD6" s="288">
        <f>Timing!AF6</f>
        <v>15</v>
      </c>
      <c r="AE6" s="288">
        <f>Timing!AG6</f>
        <v>16</v>
      </c>
      <c r="AF6" s="288">
        <f>Timing!AH6</f>
        <v>17</v>
      </c>
      <c r="AG6" s="288">
        <f>Timing!AI6</f>
        <v>18</v>
      </c>
      <c r="AH6" s="288">
        <f>Timing!AJ6</f>
        <v>19</v>
      </c>
      <c r="AI6" s="288">
        <f>Timing!AK6</f>
        <v>20</v>
      </c>
      <c r="AJ6" s="288">
        <f>Timing!AL6</f>
        <v>21</v>
      </c>
      <c r="AK6" s="288">
        <f>Timing!AM6</f>
        <v>22</v>
      </c>
      <c r="AL6" s="288">
        <f>Timing!AN6</f>
        <v>23</v>
      </c>
      <c r="AM6" s="288">
        <f>Timing!AO6</f>
        <v>24</v>
      </c>
      <c r="AN6" s="288">
        <f>Timing!AP6</f>
        <v>25</v>
      </c>
      <c r="AO6" s="288">
        <f>Timing!AQ6</f>
        <v>26</v>
      </c>
      <c r="AP6" s="288">
        <f>Timing!AR6</f>
        <v>27</v>
      </c>
      <c r="AQ6" s="288">
        <f>Timing!AS6</f>
        <v>28</v>
      </c>
      <c r="AR6" s="288">
        <f>Timing!AT6</f>
        <v>29</v>
      </c>
      <c r="AS6" s="288">
        <f>Timing!AU6</f>
        <v>30</v>
      </c>
      <c r="AT6" s="288">
        <f>Timing!AV6</f>
        <v>31</v>
      </c>
      <c r="AU6" s="288">
        <f>Timing!AW6</f>
        <v>32</v>
      </c>
      <c r="AV6" s="288">
        <f>Timing!AX6</f>
        <v>33</v>
      </c>
      <c r="AW6" s="288">
        <f>Timing!AY6</f>
        <v>34</v>
      </c>
      <c r="AX6" s="288">
        <f>Timing!AZ6</f>
        <v>35</v>
      </c>
      <c r="AY6" s="288">
        <f>Timing!BA6</f>
        <v>36</v>
      </c>
      <c r="AZ6" s="288">
        <f>Timing!BB6</f>
        <v>37</v>
      </c>
      <c r="BA6" s="288">
        <f>Timing!BC6</f>
        <v>38</v>
      </c>
      <c r="BB6" s="288">
        <f>Timing!BD6</f>
        <v>39</v>
      </c>
      <c r="BC6" s="288">
        <f>Timing!BE6</f>
        <v>40</v>
      </c>
      <c r="BD6" s="288">
        <f>Timing!BF6</f>
        <v>41</v>
      </c>
      <c r="BE6" s="288">
        <f>Timing!BG6</f>
        <v>42</v>
      </c>
      <c r="BF6" s="288">
        <f>Timing!BH6</f>
        <v>43</v>
      </c>
      <c r="BG6" s="288">
        <f>Timing!BI6</f>
        <v>44</v>
      </c>
      <c r="BH6" s="288">
        <f>Timing!BJ6</f>
        <v>45</v>
      </c>
      <c r="BI6" s="288">
        <f>Timing!BK6</f>
        <v>46</v>
      </c>
      <c r="BJ6" s="288">
        <f>Timing!BL6</f>
        <v>47</v>
      </c>
      <c r="BK6" s="288">
        <f>Timing!BM6</f>
        <v>48</v>
      </c>
      <c r="BL6" s="288">
        <f>Timing!BN6</f>
        <v>49</v>
      </c>
      <c r="BM6" s="288">
        <f>Timing!BO6</f>
        <v>50</v>
      </c>
      <c r="BN6" s="288">
        <f>Timing!BP6</f>
        <v>51</v>
      </c>
      <c r="BO6" s="288">
        <f>Timing!BQ6</f>
        <v>52</v>
      </c>
      <c r="BP6" s="288">
        <f>Timing!BR6</f>
        <v>53</v>
      </c>
      <c r="BQ6" s="288">
        <f>Timing!BS6</f>
        <v>54</v>
      </c>
      <c r="BR6" s="288">
        <f>Timing!BT6</f>
        <v>55</v>
      </c>
      <c r="BS6" s="288">
        <f>Timing!BU6</f>
        <v>56</v>
      </c>
      <c r="BT6" s="288">
        <f>Timing!BV6</f>
        <v>57</v>
      </c>
      <c r="BU6" s="288">
        <f>Timing!BW6</f>
        <v>58</v>
      </c>
      <c r="BV6" s="288">
        <f>Timing!BX6</f>
        <v>59</v>
      </c>
      <c r="BW6" s="288">
        <f>Timing!BY6</f>
        <v>60</v>
      </c>
      <c r="BX6" s="288">
        <f>Timing!BZ6</f>
        <v>61</v>
      </c>
      <c r="BY6" s="288">
        <f>Timing!CA6</f>
        <v>62</v>
      </c>
      <c r="BZ6" s="288">
        <f>Timing!CB6</f>
        <v>63</v>
      </c>
      <c r="CA6" s="288">
        <f>Timing!CC6</f>
        <v>64</v>
      </c>
      <c r="CB6" s="288">
        <f>Timing!CD6</f>
        <v>65</v>
      </c>
      <c r="CC6" s="288">
        <f>Timing!CE6</f>
        <v>66</v>
      </c>
      <c r="CD6" s="288">
        <f>Timing!CF6</f>
        <v>67</v>
      </c>
      <c r="CE6" s="288">
        <f>Timing!CG6</f>
        <v>68</v>
      </c>
      <c r="CF6" s="288">
        <f>Timing!CH6</f>
        <v>69</v>
      </c>
      <c r="CG6" s="288">
        <f>Timing!CI6</f>
        <v>70</v>
      </c>
      <c r="CH6" s="288">
        <f>Timing!CJ6</f>
        <v>71</v>
      </c>
      <c r="CI6" s="288">
        <f>Timing!CK6</f>
        <v>72</v>
      </c>
      <c r="CJ6" s="288">
        <f>Timing!CL6</f>
        <v>73</v>
      </c>
      <c r="CK6" s="288">
        <f>Timing!CM6</f>
        <v>74</v>
      </c>
      <c r="CL6" s="288">
        <f>Timing!CN6</f>
        <v>75</v>
      </c>
      <c r="CM6" s="288">
        <f>Timing!CO6</f>
        <v>76</v>
      </c>
      <c r="CN6" s="288">
        <f>Timing!CP6</f>
        <v>77</v>
      </c>
      <c r="CO6" s="288">
        <f>Timing!CQ6</f>
        <v>78</v>
      </c>
      <c r="CP6" s="288">
        <f>Timing!CR6</f>
        <v>79</v>
      </c>
      <c r="CQ6" s="288">
        <f>Timing!CS6</f>
        <v>80</v>
      </c>
      <c r="CR6" s="288">
        <f>Timing!CT6</f>
        <v>81</v>
      </c>
      <c r="CS6" s="288">
        <f>Timing!CU6</f>
        <v>82</v>
      </c>
      <c r="CT6" s="288">
        <f>Timing!CV6</f>
        <v>83</v>
      </c>
      <c r="CU6" s="288" t="e">
        <f>#REF!</f>
        <v>#REF!</v>
      </c>
      <c r="CV6" s="288" t="e">
        <f>#REF!</f>
        <v>#REF!</v>
      </c>
      <c r="CW6" s="288" t="e">
        <f>#REF!</f>
        <v>#REF!</v>
      </c>
      <c r="CX6" s="288" t="e">
        <f>#REF!</f>
        <v>#REF!</v>
      </c>
      <c r="CY6" s="288" t="e">
        <f>#REF!</f>
        <v>#REF!</v>
      </c>
      <c r="CZ6" s="288" t="e">
        <f>#REF!</f>
        <v>#REF!</v>
      </c>
      <c r="DA6" s="288" t="e">
        <f>#REF!</f>
        <v>#REF!</v>
      </c>
      <c r="DB6" s="288" t="e">
        <f>#REF!</f>
        <v>#REF!</v>
      </c>
      <c r="DC6" s="288" t="e">
        <f>#REF!</f>
        <v>#REF!</v>
      </c>
      <c r="DD6" s="288" t="e">
        <f>#REF!</f>
        <v>#REF!</v>
      </c>
    </row>
    <row r="7" spans="1:108" s="282" customFormat="1" ht="12.75" customHeight="1" x14ac:dyDescent="0.2">
      <c r="C7" s="283"/>
      <c r="H7" s="284"/>
      <c r="J7" s="286"/>
      <c r="N7" s="282" t="s">
        <v>54</v>
      </c>
      <c r="P7" s="289" t="str">
        <f>Timing!R7</f>
        <v>Const</v>
      </c>
      <c r="Q7" s="289" t="str">
        <f>Timing!S7</f>
        <v>Const</v>
      </c>
      <c r="R7" s="289" t="str">
        <f>Timing!T7</f>
        <v>Const</v>
      </c>
      <c r="S7" s="289" t="str">
        <f>Timing!U7</f>
        <v>Ops</v>
      </c>
      <c r="T7" s="289" t="str">
        <f>Timing!V7</f>
        <v>Ops</v>
      </c>
      <c r="U7" s="289" t="str">
        <f>Timing!W7</f>
        <v>Ops</v>
      </c>
      <c r="V7" s="289" t="str">
        <f>Timing!X7</f>
        <v>Ops</v>
      </c>
      <c r="W7" s="289" t="str">
        <f>Timing!Y7</f>
        <v>Ops</v>
      </c>
      <c r="X7" s="289" t="str">
        <f>Timing!Z7</f>
        <v>Ops</v>
      </c>
      <c r="Y7" s="289" t="str">
        <f>Timing!AA7</f>
        <v>Ops</v>
      </c>
      <c r="Z7" s="289" t="str">
        <f>Timing!AB7</f>
        <v>Ops</v>
      </c>
      <c r="AA7" s="289" t="str">
        <f>Timing!AC7</f>
        <v>Ops</v>
      </c>
      <c r="AB7" s="289" t="str">
        <f>Timing!AD7</f>
        <v>Ops</v>
      </c>
      <c r="AC7" s="289" t="str">
        <f>Timing!AE7</f>
        <v>Ops</v>
      </c>
      <c r="AD7" s="289" t="str">
        <f>Timing!AF7</f>
        <v>Ops</v>
      </c>
      <c r="AE7" s="289" t="str">
        <f>Timing!AG7</f>
        <v>Ops</v>
      </c>
      <c r="AF7" s="289" t="str">
        <f>Timing!AH7</f>
        <v>Ops</v>
      </c>
      <c r="AG7" s="289" t="str">
        <f>Timing!AI7</f>
        <v>Ops</v>
      </c>
      <c r="AH7" s="289" t="str">
        <f>Timing!AJ7</f>
        <v>Ops</v>
      </c>
      <c r="AI7" s="289" t="str">
        <f>Timing!AK7</f>
        <v>Ops</v>
      </c>
      <c r="AJ7" s="289" t="str">
        <f>Timing!AL7</f>
        <v>Ops</v>
      </c>
      <c r="AK7" s="289" t="str">
        <f>Timing!AM7</f>
        <v>Ops</v>
      </c>
      <c r="AL7" s="289" t="str">
        <f>Timing!AN7</f>
        <v>Ops</v>
      </c>
      <c r="AM7" s="289" t="str">
        <f>Timing!AO7</f>
        <v>Ops</v>
      </c>
      <c r="AN7" s="289" t="str">
        <f>Timing!AP7</f>
        <v>Ops</v>
      </c>
      <c r="AO7" s="289" t="str">
        <f>Timing!AQ7</f>
        <v>Ops</v>
      </c>
      <c r="AP7" s="289" t="str">
        <f>Timing!AR7</f>
        <v>Ops</v>
      </c>
      <c r="AQ7" s="289" t="str">
        <f>Timing!AS7</f>
        <v>Ops</v>
      </c>
      <c r="AR7" s="289" t="str">
        <f>Timing!AT7</f>
        <v>Ops</v>
      </c>
      <c r="AS7" s="289" t="str">
        <f>Timing!AU7</f>
        <v>Ops</v>
      </c>
      <c r="AT7" s="289" t="str">
        <f>Timing!AV7</f>
        <v>Ops</v>
      </c>
      <c r="AU7" s="289" t="str">
        <f>Timing!AW7</f>
        <v>Ops</v>
      </c>
      <c r="AV7" s="289" t="str">
        <f>Timing!AX7</f>
        <v>Ops</v>
      </c>
      <c r="AW7" s="289" t="str">
        <f>Timing!AY7</f>
        <v>Ops</v>
      </c>
      <c r="AX7" s="289" t="str">
        <f>Timing!AZ7</f>
        <v>Ops</v>
      </c>
      <c r="AY7" s="289" t="str">
        <f>Timing!BA7</f>
        <v>Ops</v>
      </c>
      <c r="AZ7" s="289" t="str">
        <f>Timing!BB7</f>
        <v>Ops</v>
      </c>
      <c r="BA7" s="289" t="str">
        <f>Timing!BC7</f>
        <v>Ops</v>
      </c>
      <c r="BB7" s="289" t="str">
        <f>Timing!BD7</f>
        <v>Ops</v>
      </c>
      <c r="BC7" s="289" t="str">
        <f>Timing!BE7</f>
        <v>Ops</v>
      </c>
      <c r="BD7" s="289" t="str">
        <f>Timing!BF7</f>
        <v>Ops</v>
      </c>
      <c r="BE7" s="289" t="str">
        <f>Timing!BG7</f>
        <v>Ops</v>
      </c>
      <c r="BF7" s="289" t="str">
        <f>Timing!BH7</f>
        <v>Ops</v>
      </c>
      <c r="BG7" s="289" t="str">
        <f>Timing!BI7</f>
        <v>Ops</v>
      </c>
      <c r="BH7" s="289" t="str">
        <f>Timing!BJ7</f>
        <v>Ops</v>
      </c>
      <c r="BI7" s="289" t="str">
        <f>Timing!BK7</f>
        <v>Ops</v>
      </c>
      <c r="BJ7" s="289" t="str">
        <f>Timing!BL7</f>
        <v>Ops</v>
      </c>
      <c r="BK7" s="289" t="str">
        <f>Timing!BM7</f>
        <v>Ops</v>
      </c>
      <c r="BL7" s="289" t="str">
        <f>Timing!BN7</f>
        <v>Ops</v>
      </c>
      <c r="BM7" s="289" t="str">
        <f>Timing!BO7</f>
        <v>Ops</v>
      </c>
      <c r="BN7" s="289" t="str">
        <f>Timing!BP7</f>
        <v>Ops</v>
      </c>
      <c r="BO7" s="289" t="str">
        <f>Timing!BQ7</f>
        <v>Ops</v>
      </c>
      <c r="BP7" s="289" t="str">
        <f>Timing!BR7</f>
        <v>Ops</v>
      </c>
      <c r="BQ7" s="289" t="str">
        <f>Timing!BS7</f>
        <v>Ops</v>
      </c>
      <c r="BR7" s="289" t="str">
        <f>Timing!BT7</f>
        <v/>
      </c>
      <c r="BS7" s="289" t="str">
        <f>Timing!BU7</f>
        <v/>
      </c>
      <c r="BT7" s="289" t="str">
        <f>Timing!BV7</f>
        <v/>
      </c>
      <c r="BU7" s="289" t="str">
        <f>Timing!BW7</f>
        <v/>
      </c>
      <c r="BV7" s="289" t="str">
        <f>Timing!BX7</f>
        <v/>
      </c>
      <c r="BW7" s="289" t="str">
        <f>Timing!BY7</f>
        <v/>
      </c>
      <c r="BX7" s="289" t="str">
        <f>Timing!BZ7</f>
        <v/>
      </c>
      <c r="BY7" s="289" t="str">
        <f>Timing!CA7</f>
        <v/>
      </c>
      <c r="BZ7" s="289" t="str">
        <f>Timing!CB7</f>
        <v/>
      </c>
      <c r="CA7" s="289" t="str">
        <f>Timing!CC7</f>
        <v/>
      </c>
      <c r="CB7" s="289" t="str">
        <f>Timing!CD7</f>
        <v/>
      </c>
      <c r="CC7" s="289" t="str">
        <f>Timing!CE7</f>
        <v/>
      </c>
      <c r="CD7" s="289" t="str">
        <f>Timing!CF7</f>
        <v/>
      </c>
      <c r="CE7" s="289" t="str">
        <f>Timing!CG7</f>
        <v/>
      </c>
      <c r="CF7" s="289" t="str">
        <f>Timing!CH7</f>
        <v/>
      </c>
      <c r="CG7" s="289" t="str">
        <f>Timing!CI7</f>
        <v/>
      </c>
      <c r="CH7" s="289" t="str">
        <f>Timing!CJ7</f>
        <v/>
      </c>
      <c r="CI7" s="289" t="str">
        <f>Timing!CK7</f>
        <v/>
      </c>
      <c r="CJ7" s="289" t="str">
        <f>Timing!CL7</f>
        <v/>
      </c>
      <c r="CK7" s="289" t="str">
        <f>Timing!CM7</f>
        <v/>
      </c>
      <c r="CL7" s="289" t="str">
        <f>Timing!CN7</f>
        <v/>
      </c>
      <c r="CM7" s="289" t="str">
        <f>Timing!CO7</f>
        <v/>
      </c>
      <c r="CN7" s="289" t="str">
        <f>Timing!CP7</f>
        <v/>
      </c>
      <c r="CO7" s="289" t="str">
        <f>Timing!CQ7</f>
        <v/>
      </c>
      <c r="CP7" s="289" t="str">
        <f>Timing!CR7</f>
        <v/>
      </c>
      <c r="CQ7" s="289" t="str">
        <f>Timing!CS7</f>
        <v/>
      </c>
      <c r="CR7" s="289" t="str">
        <f>Timing!CT7</f>
        <v/>
      </c>
      <c r="CS7" s="289" t="str">
        <f>Timing!CU7</f>
        <v/>
      </c>
      <c r="CT7" s="289" t="str">
        <f>Timing!CV7</f>
        <v/>
      </c>
      <c r="CU7" s="289" t="e">
        <f>#REF!</f>
        <v>#REF!</v>
      </c>
      <c r="CV7" s="289" t="e">
        <f>#REF!</f>
        <v>#REF!</v>
      </c>
      <c r="CW7" s="289" t="e">
        <f>#REF!</f>
        <v>#REF!</v>
      </c>
      <c r="CX7" s="289" t="e">
        <f>#REF!</f>
        <v>#REF!</v>
      </c>
      <c r="CY7" s="289" t="e">
        <f>#REF!</f>
        <v>#REF!</v>
      </c>
      <c r="CZ7" s="289" t="e">
        <f>#REF!</f>
        <v>#REF!</v>
      </c>
      <c r="DA7" s="289" t="e">
        <f>#REF!</f>
        <v>#REF!</v>
      </c>
      <c r="DB7" s="289" t="e">
        <f>#REF!</f>
        <v>#REF!</v>
      </c>
      <c r="DC7" s="289" t="e">
        <f>#REF!</f>
        <v>#REF!</v>
      </c>
      <c r="DD7" s="289" t="e">
        <f>#REF!</f>
        <v>#REF!</v>
      </c>
    </row>
    <row r="8" spans="1:108" s="282" customFormat="1" ht="12.75" customHeight="1" x14ac:dyDescent="0.2">
      <c r="C8" s="283"/>
      <c r="H8" s="284"/>
    </row>
    <row r="9" spans="1:108" s="5" customFormat="1" ht="12.75" customHeight="1" x14ac:dyDescent="0.2">
      <c r="A9" s="5" t="s">
        <v>295</v>
      </c>
      <c r="C9" s="6"/>
      <c r="H9" s="137"/>
      <c r="I9" s="8"/>
    </row>
    <row r="10" spans="1:108" ht="12.75" customHeight="1" x14ac:dyDescent="0.25">
      <c r="C10"/>
      <c r="H10" s="54"/>
      <c r="N10" s="10"/>
    </row>
    <row r="11" spans="1:108" ht="12.75" customHeight="1" x14ac:dyDescent="0.25">
      <c r="B11" s="21" t="s">
        <v>18</v>
      </c>
      <c r="C11"/>
      <c r="H11" s="54"/>
      <c r="N11" s="10"/>
    </row>
    <row r="12" spans="1:108" ht="12.75" customHeight="1" x14ac:dyDescent="0.25">
      <c r="C12"/>
      <c r="H12" s="54"/>
      <c r="J12" s="278" t="s">
        <v>19</v>
      </c>
      <c r="K12" s="278" t="s">
        <v>22</v>
      </c>
      <c r="N12" s="10"/>
    </row>
    <row r="13" spans="1:108" ht="12.75" customHeight="1" x14ac:dyDescent="0.25">
      <c r="H13" s="54" t="s">
        <v>3</v>
      </c>
      <c r="I13" t="str">
        <f>Financing!C15</f>
        <v>CAPEX</v>
      </c>
      <c r="J13" s="19" t="e">
        <f>Financing!N15</f>
        <v>#REF!</v>
      </c>
      <c r="N13" s="10"/>
    </row>
    <row r="14" spans="1:108" ht="12.75" customHeight="1" x14ac:dyDescent="0.25">
      <c r="H14" s="54" t="s">
        <v>3</v>
      </c>
      <c r="I14" t="str">
        <f>Financing!C16</f>
        <v>Fees</v>
      </c>
      <c r="J14" s="19">
        <f>Financing!N16</f>
        <v>500</v>
      </c>
      <c r="N14" s="10"/>
    </row>
    <row r="15" spans="1:108" ht="12.75" customHeight="1" x14ac:dyDescent="0.25">
      <c r="H15" s="54" t="s">
        <v>3</v>
      </c>
      <c r="I15" t="str">
        <f>Financing!C17</f>
        <v>Interest During Construction</v>
      </c>
      <c r="J15" s="19">
        <f>Financing!N17</f>
        <v>333</v>
      </c>
      <c r="N15" s="10"/>
    </row>
    <row r="16" spans="1:108" ht="12.75" customHeight="1" x14ac:dyDescent="0.25">
      <c r="H16" s="54" t="s">
        <v>3</v>
      </c>
      <c r="I16" t="str">
        <f>Financing!C22</f>
        <v>Equity</v>
      </c>
      <c r="K16" s="19" t="e">
        <f>Financing!N22</f>
        <v>#REF!</v>
      </c>
      <c r="N16" s="10"/>
    </row>
    <row r="17" spans="3:108" ht="12.75" customHeight="1" x14ac:dyDescent="0.25">
      <c r="H17" s="54" t="s">
        <v>3</v>
      </c>
      <c r="I17" t="str">
        <f>Financing!C23</f>
        <v>Senior Debt</v>
      </c>
      <c r="K17" s="19" t="e">
        <f>Financing!N23</f>
        <v>#REF!</v>
      </c>
      <c r="N17" s="10"/>
    </row>
    <row r="18" spans="3:108" ht="12.75" customHeight="1" x14ac:dyDescent="0.25">
      <c r="C18"/>
      <c r="H18" s="54"/>
      <c r="J18" s="279" t="e">
        <f>SUM(J13:J17)</f>
        <v>#REF!</v>
      </c>
      <c r="K18" s="279" t="e">
        <f>SUM(K13:K17)</f>
        <v>#REF!</v>
      </c>
      <c r="N18" s="10"/>
    </row>
    <row r="19" spans="3:108" ht="12.75" customHeight="1" x14ac:dyDescent="0.25">
      <c r="C19"/>
      <c r="H19" s="54"/>
      <c r="N19" s="10"/>
    </row>
    <row r="20" spans="3:108" ht="12.75" customHeight="1" x14ac:dyDescent="0.25">
      <c r="C20"/>
      <c r="H20" s="54"/>
      <c r="N20" s="10"/>
    </row>
    <row r="21" spans="3:108" ht="12.75" customHeight="1" x14ac:dyDescent="0.25">
      <c r="C21"/>
      <c r="H21" s="54"/>
      <c r="N21" s="10"/>
    </row>
    <row r="22" spans="3:108" ht="12.75" customHeight="1" x14ac:dyDescent="0.25">
      <c r="C22"/>
      <c r="H22" s="54"/>
      <c r="N22" s="10"/>
    </row>
    <row r="23" spans="3:108" ht="12.75" customHeight="1" x14ac:dyDescent="0.25">
      <c r="C23"/>
      <c r="H23" s="54"/>
      <c r="N23" s="10"/>
    </row>
    <row r="24" spans="3:108" ht="12.75" customHeight="1" x14ac:dyDescent="0.25">
      <c r="C24"/>
      <c r="H24" s="54"/>
      <c r="N24" s="10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8"/>
      <c r="CA24" s="68"/>
      <c r="CB24" s="68"/>
      <c r="CC24" s="68"/>
      <c r="CD24" s="68"/>
      <c r="CE24" s="68"/>
      <c r="CF24" s="68"/>
      <c r="CG24" s="68"/>
      <c r="CH24" s="68"/>
      <c r="CI24" s="68"/>
      <c r="CJ24" s="68"/>
      <c r="CK24" s="68"/>
      <c r="CL24" s="68"/>
      <c r="CM24" s="68"/>
      <c r="CN24" s="68"/>
      <c r="CO24" s="68"/>
      <c r="CP24" s="68"/>
      <c r="CQ24" s="68"/>
      <c r="CR24" s="68"/>
      <c r="CS24" s="68"/>
      <c r="CT24" s="68"/>
    </row>
    <row r="25" spans="3:108" ht="12.75" customHeight="1" x14ac:dyDescent="0.25">
      <c r="C25"/>
      <c r="H25" s="54"/>
      <c r="N25" s="10"/>
    </row>
    <row r="26" spans="3:108" ht="12.75" customHeight="1" x14ac:dyDescent="0.25">
      <c r="C26"/>
      <c r="H26" s="54"/>
      <c r="N26" s="19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</row>
    <row r="27" spans="3:108" ht="12.75" customHeight="1" x14ac:dyDescent="0.25">
      <c r="C27"/>
      <c r="H27" s="54"/>
      <c r="N27" s="19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</row>
    <row r="28" spans="3:108" ht="12.75" customHeight="1" x14ac:dyDescent="0.25">
      <c r="C28"/>
      <c r="H28" s="54"/>
      <c r="N28" s="10"/>
    </row>
    <row r="29" spans="3:108" ht="12.75" customHeight="1" x14ac:dyDescent="0.25">
      <c r="C29"/>
      <c r="H29" s="54"/>
      <c r="J29" s="100"/>
      <c r="N29" s="10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87"/>
      <c r="CQ29" s="87"/>
      <c r="CR29" s="87"/>
      <c r="CS29" s="87"/>
      <c r="CT29" s="87"/>
      <c r="CU29" s="87"/>
      <c r="CV29" s="87"/>
      <c r="CW29" s="87"/>
      <c r="CX29" s="87"/>
      <c r="CY29" s="87"/>
      <c r="CZ29" s="87"/>
      <c r="DA29" s="87"/>
      <c r="DB29" s="87"/>
      <c r="DC29" s="87"/>
      <c r="DD29" s="87"/>
    </row>
    <row r="30" spans="3:108" ht="12.75" customHeight="1" x14ac:dyDescent="0.25">
      <c r="C30"/>
      <c r="H30" s="54"/>
      <c r="J30" s="280"/>
      <c r="N30" s="10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7"/>
      <c r="BD30" s="87"/>
      <c r="BE30" s="87"/>
      <c r="BF30" s="87"/>
      <c r="BG30" s="87"/>
      <c r="BH30" s="87"/>
      <c r="BI30" s="87"/>
      <c r="BJ30" s="87"/>
      <c r="BK30" s="87"/>
      <c r="BL30" s="87"/>
      <c r="BM30" s="87"/>
      <c r="BN30" s="87"/>
      <c r="BO30" s="87"/>
      <c r="BP30" s="87"/>
      <c r="BQ30" s="87"/>
      <c r="BR30" s="87"/>
      <c r="BS30" s="87"/>
      <c r="BT30" s="87"/>
      <c r="BU30" s="87"/>
      <c r="BV30" s="87"/>
      <c r="BW30" s="87"/>
      <c r="BX30" s="87"/>
      <c r="BY30" s="87"/>
      <c r="BZ30" s="87"/>
      <c r="CA30" s="87"/>
      <c r="CB30" s="87"/>
      <c r="CC30" s="87"/>
      <c r="CD30" s="87"/>
      <c r="CE30" s="87"/>
      <c r="CF30" s="87"/>
      <c r="CG30" s="87"/>
      <c r="CH30" s="87"/>
      <c r="CI30" s="87"/>
      <c r="CJ30" s="87"/>
      <c r="CK30" s="87"/>
      <c r="CL30" s="87"/>
      <c r="CM30" s="87"/>
      <c r="CN30" s="87"/>
      <c r="CO30" s="87"/>
      <c r="CP30" s="87"/>
      <c r="CQ30" s="87"/>
      <c r="CR30" s="87"/>
      <c r="CS30" s="87"/>
      <c r="CT30" s="87"/>
      <c r="CU30" s="87"/>
      <c r="CV30" s="87"/>
      <c r="CW30" s="87"/>
      <c r="CX30" s="87"/>
      <c r="CY30" s="87"/>
      <c r="CZ30" s="87"/>
      <c r="DA30" s="87"/>
      <c r="DB30" s="87"/>
      <c r="DC30" s="87"/>
      <c r="DD30" s="87"/>
    </row>
    <row r="31" spans="3:108" ht="12.75" customHeight="1" x14ac:dyDescent="0.25">
      <c r="C31"/>
      <c r="H31" s="54"/>
      <c r="N31" s="10"/>
    </row>
    <row r="32" spans="3:108" ht="12.75" customHeight="1" x14ac:dyDescent="0.25">
      <c r="C32"/>
      <c r="H32" s="54"/>
      <c r="J32" s="40"/>
      <c r="N32" s="10"/>
      <c r="O32" s="204"/>
      <c r="P32" s="204"/>
      <c r="Q32" s="204"/>
      <c r="R32" s="204"/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  <c r="CK32" s="204"/>
      <c r="CL32" s="204"/>
      <c r="CM32" s="204"/>
      <c r="CN32" s="204"/>
      <c r="CO32" s="204"/>
      <c r="CP32" s="204"/>
      <c r="CQ32" s="204"/>
      <c r="CR32" s="204"/>
      <c r="CS32" s="204"/>
      <c r="CT32" s="204"/>
      <c r="CU32" s="204"/>
      <c r="CV32" s="204"/>
      <c r="CW32" s="204"/>
      <c r="CX32" s="204"/>
      <c r="CY32" s="204"/>
      <c r="CZ32" s="204"/>
      <c r="DA32" s="204"/>
      <c r="DB32" s="204"/>
      <c r="DC32" s="204"/>
      <c r="DD32" s="204"/>
    </row>
    <row r="33" spans="2:108" ht="12.75" customHeight="1" x14ac:dyDescent="0.25">
      <c r="C33"/>
      <c r="H33" s="54"/>
      <c r="N33" s="10"/>
    </row>
    <row r="34" spans="2:108" ht="12.75" customHeight="1" x14ac:dyDescent="0.25">
      <c r="B34" s="21"/>
      <c r="C34"/>
      <c r="H34" s="54"/>
      <c r="N34" s="10"/>
    </row>
    <row r="35" spans="2:108" ht="12.75" customHeight="1" x14ac:dyDescent="0.25">
      <c r="C35"/>
      <c r="H35" s="54"/>
      <c r="N35" s="10"/>
    </row>
    <row r="36" spans="2:108" ht="12.75" customHeight="1" x14ac:dyDescent="0.25">
      <c r="C36"/>
      <c r="H36" s="54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</row>
    <row r="37" spans="2:108" ht="12.75" customHeight="1" x14ac:dyDescent="0.25">
      <c r="C37" s="54"/>
      <c r="H37" s="54"/>
      <c r="N37" s="19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</row>
    <row r="38" spans="2:108" ht="12.75" customHeight="1" x14ac:dyDescent="0.25">
      <c r="C38"/>
      <c r="H38" s="54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</row>
    <row r="39" spans="2:108" ht="12.75" customHeight="1" x14ac:dyDescent="0.25">
      <c r="C39"/>
      <c r="H39" s="54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</row>
    <row r="40" spans="2:108" ht="12.75" customHeight="1" x14ac:dyDescent="0.25">
      <c r="C40"/>
      <c r="H40" s="54"/>
      <c r="N40" s="19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</row>
    <row r="41" spans="2:108" ht="12.75" customHeight="1" x14ac:dyDescent="0.25">
      <c r="C41"/>
      <c r="H41" s="54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</row>
    <row r="42" spans="2:108" ht="12.75" customHeight="1" x14ac:dyDescent="0.25">
      <c r="C42"/>
      <c r="H42" s="54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</row>
    <row r="43" spans="2:108" ht="12.75" customHeight="1" x14ac:dyDescent="0.25">
      <c r="C43"/>
      <c r="H43" s="54"/>
      <c r="N43" s="10"/>
    </row>
    <row r="44" spans="2:108" ht="12.75" customHeight="1" x14ac:dyDescent="0.25">
      <c r="B44" s="21"/>
      <c r="C44"/>
      <c r="H44" s="54"/>
      <c r="N44" s="10"/>
    </row>
    <row r="45" spans="2:108" ht="12.75" customHeight="1" x14ac:dyDescent="0.25">
      <c r="C45"/>
      <c r="H45" s="54"/>
      <c r="N45" s="10"/>
    </row>
    <row r="46" spans="2:108" ht="12.75" customHeight="1" x14ac:dyDescent="0.25">
      <c r="C46"/>
      <c r="E46" s="10"/>
      <c r="H46" s="54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</row>
    <row r="47" spans="2:108" ht="12.75" customHeight="1" x14ac:dyDescent="0.25">
      <c r="C47" s="54"/>
      <c r="H47" s="54"/>
      <c r="N47" s="19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</row>
    <row r="48" spans="2:108" ht="12.75" customHeight="1" x14ac:dyDescent="0.25">
      <c r="C48"/>
      <c r="H48" s="54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</row>
    <row r="49" spans="2:108" ht="12.75" customHeight="1" x14ac:dyDescent="0.25">
      <c r="C49"/>
      <c r="H49" s="54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</row>
    <row r="50" spans="2:108" ht="12.75" customHeight="1" x14ac:dyDescent="0.25">
      <c r="C50"/>
      <c r="H50" s="54"/>
      <c r="N50" s="19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</row>
    <row r="51" spans="2:108" ht="12.75" customHeight="1" x14ac:dyDescent="0.25">
      <c r="C51"/>
      <c r="H51" s="54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</row>
    <row r="52" spans="2:108" ht="12.75" customHeight="1" x14ac:dyDescent="0.25">
      <c r="C52"/>
      <c r="H52" s="54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</row>
    <row r="53" spans="2:108" ht="12.75" customHeight="1" x14ac:dyDescent="0.25">
      <c r="C53"/>
      <c r="H53" s="54"/>
      <c r="N53" s="10"/>
    </row>
    <row r="54" spans="2:108" ht="12.75" customHeight="1" x14ac:dyDescent="0.25">
      <c r="B54" s="21"/>
      <c r="C54"/>
      <c r="H54" s="54"/>
      <c r="N54" s="10"/>
    </row>
    <row r="55" spans="2:108" ht="12.75" customHeight="1" x14ac:dyDescent="0.25">
      <c r="C55"/>
      <c r="H55" s="54"/>
      <c r="N55" s="10"/>
    </row>
    <row r="56" spans="2:108" ht="12.75" customHeight="1" x14ac:dyDescent="0.25">
      <c r="C56" s="21" t="s">
        <v>255</v>
      </c>
      <c r="H56" s="54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</row>
    <row r="57" spans="2:108" ht="12.75" customHeight="1" x14ac:dyDescent="0.25">
      <c r="C57"/>
      <c r="H57" s="54"/>
      <c r="N57" s="10"/>
      <c r="O57" s="10"/>
      <c r="P57" s="308">
        <f>P5</f>
        <v>2021</v>
      </c>
      <c r="Q57" s="308">
        <f t="shared" ref="Q57:CB57" si="1">Q5</f>
        <v>2022</v>
      </c>
      <c r="R57" s="308">
        <f t="shared" si="1"/>
        <v>2023</v>
      </c>
      <c r="S57" s="308">
        <f t="shared" si="1"/>
        <v>2024</v>
      </c>
      <c r="T57" s="308">
        <f t="shared" si="1"/>
        <v>2025</v>
      </c>
      <c r="U57" s="308">
        <f t="shared" si="1"/>
        <v>2026</v>
      </c>
      <c r="V57" s="308">
        <f t="shared" si="1"/>
        <v>2027</v>
      </c>
      <c r="W57" s="308">
        <f t="shared" si="1"/>
        <v>2028</v>
      </c>
      <c r="X57" s="308">
        <f t="shared" si="1"/>
        <v>2029</v>
      </c>
      <c r="Y57" s="308">
        <f t="shared" si="1"/>
        <v>2030</v>
      </c>
      <c r="Z57" s="308">
        <f t="shared" si="1"/>
        <v>2031</v>
      </c>
      <c r="AA57" s="308">
        <f t="shared" si="1"/>
        <v>2032</v>
      </c>
      <c r="AB57" s="308">
        <f t="shared" si="1"/>
        <v>2033</v>
      </c>
      <c r="AC57" s="308">
        <f t="shared" si="1"/>
        <v>2034</v>
      </c>
      <c r="AD57" s="308">
        <f t="shared" si="1"/>
        <v>2035</v>
      </c>
      <c r="AE57" s="308">
        <f t="shared" si="1"/>
        <v>2036</v>
      </c>
      <c r="AF57" s="308">
        <f t="shared" si="1"/>
        <v>2037</v>
      </c>
      <c r="AG57" s="308">
        <f t="shared" si="1"/>
        <v>2038</v>
      </c>
      <c r="AH57" s="308">
        <f t="shared" si="1"/>
        <v>2039</v>
      </c>
      <c r="AI57" s="308">
        <f t="shared" si="1"/>
        <v>2040</v>
      </c>
      <c r="AJ57" s="308">
        <f t="shared" si="1"/>
        <v>2041</v>
      </c>
      <c r="AK57" s="308">
        <f t="shared" si="1"/>
        <v>2042</v>
      </c>
      <c r="AL57" s="308">
        <f t="shared" si="1"/>
        <v>2043</v>
      </c>
      <c r="AM57" s="308">
        <f t="shared" si="1"/>
        <v>2044</v>
      </c>
      <c r="AN57" s="308">
        <f t="shared" si="1"/>
        <v>2045</v>
      </c>
      <c r="AO57" s="308">
        <f t="shared" si="1"/>
        <v>2046</v>
      </c>
      <c r="AP57" s="308">
        <f t="shared" si="1"/>
        <v>2047</v>
      </c>
      <c r="AQ57" s="308">
        <f t="shared" si="1"/>
        <v>2048</v>
      </c>
      <c r="AR57" s="308">
        <f t="shared" si="1"/>
        <v>2049</v>
      </c>
      <c r="AS57" s="308">
        <f t="shared" si="1"/>
        <v>2050</v>
      </c>
      <c r="AT57" s="308">
        <f t="shared" si="1"/>
        <v>2051</v>
      </c>
      <c r="AU57" s="308">
        <f t="shared" si="1"/>
        <v>2052</v>
      </c>
      <c r="AV57" s="308">
        <f t="shared" si="1"/>
        <v>2053</v>
      </c>
      <c r="AW57" s="308">
        <f t="shared" si="1"/>
        <v>2054</v>
      </c>
      <c r="AX57" s="308">
        <f t="shared" si="1"/>
        <v>2055</v>
      </c>
      <c r="AY57" s="308">
        <f t="shared" si="1"/>
        <v>2056</v>
      </c>
      <c r="AZ57" s="308">
        <f t="shared" si="1"/>
        <v>2057</v>
      </c>
      <c r="BA57" s="308">
        <f t="shared" si="1"/>
        <v>2058</v>
      </c>
      <c r="BB57" s="308">
        <f t="shared" si="1"/>
        <v>2059</v>
      </c>
      <c r="BC57" s="308">
        <f t="shared" si="1"/>
        <v>2060</v>
      </c>
      <c r="BD57" s="308">
        <f t="shared" si="1"/>
        <v>2061</v>
      </c>
      <c r="BE57" s="308">
        <f t="shared" si="1"/>
        <v>2062</v>
      </c>
      <c r="BF57" s="308">
        <f t="shared" si="1"/>
        <v>2063</v>
      </c>
      <c r="BG57" s="308">
        <f t="shared" si="1"/>
        <v>2064</v>
      </c>
      <c r="BH57" s="308">
        <f t="shared" si="1"/>
        <v>2065</v>
      </c>
      <c r="BI57" s="308">
        <f t="shared" si="1"/>
        <v>2066</v>
      </c>
      <c r="BJ57" s="308">
        <f t="shared" si="1"/>
        <v>2067</v>
      </c>
      <c r="BK57" s="308">
        <f t="shared" si="1"/>
        <v>2068</v>
      </c>
      <c r="BL57" s="308">
        <f t="shared" si="1"/>
        <v>2069</v>
      </c>
      <c r="BM57" s="308">
        <f t="shared" si="1"/>
        <v>2070</v>
      </c>
      <c r="BN57" s="308">
        <f t="shared" si="1"/>
        <v>2071</v>
      </c>
      <c r="BO57" s="308">
        <f t="shared" si="1"/>
        <v>2072</v>
      </c>
      <c r="BP57" s="308">
        <f t="shared" si="1"/>
        <v>2073</v>
      </c>
      <c r="BQ57" s="308">
        <f t="shared" si="1"/>
        <v>2074</v>
      </c>
      <c r="BR57" s="308">
        <f t="shared" si="1"/>
        <v>2075</v>
      </c>
      <c r="BS57" s="308">
        <f t="shared" si="1"/>
        <v>2076</v>
      </c>
      <c r="BT57" s="308">
        <f t="shared" si="1"/>
        <v>2077</v>
      </c>
      <c r="BU57" s="308">
        <f t="shared" si="1"/>
        <v>2078</v>
      </c>
      <c r="BV57" s="308">
        <f t="shared" si="1"/>
        <v>2079</v>
      </c>
      <c r="BW57" s="308">
        <f t="shared" si="1"/>
        <v>2080</v>
      </c>
      <c r="BX57" s="308">
        <f t="shared" si="1"/>
        <v>2081</v>
      </c>
      <c r="BY57" s="308">
        <f t="shared" si="1"/>
        <v>2082</v>
      </c>
      <c r="BZ57" s="308">
        <f t="shared" si="1"/>
        <v>2083</v>
      </c>
      <c r="CA57" s="308">
        <f t="shared" si="1"/>
        <v>2084</v>
      </c>
      <c r="CB57" s="308">
        <f t="shared" si="1"/>
        <v>2085</v>
      </c>
      <c r="CC57" s="308">
        <f t="shared" ref="CC57:CT57" si="2">CC5</f>
        <v>2086</v>
      </c>
      <c r="CD57" s="308">
        <f t="shared" si="2"/>
        <v>2087</v>
      </c>
      <c r="CE57" s="308">
        <f t="shared" si="2"/>
        <v>2088</v>
      </c>
      <c r="CF57" s="308">
        <f t="shared" si="2"/>
        <v>2089</v>
      </c>
      <c r="CG57" s="308">
        <f t="shared" si="2"/>
        <v>2090</v>
      </c>
      <c r="CH57" s="308">
        <f t="shared" si="2"/>
        <v>2091</v>
      </c>
      <c r="CI57" s="308">
        <f t="shared" si="2"/>
        <v>2092</v>
      </c>
      <c r="CJ57" s="308">
        <f t="shared" si="2"/>
        <v>2093</v>
      </c>
      <c r="CK57" s="308">
        <f t="shared" si="2"/>
        <v>2094</v>
      </c>
      <c r="CL57" s="308">
        <f t="shared" si="2"/>
        <v>2095</v>
      </c>
      <c r="CM57" s="308">
        <f t="shared" si="2"/>
        <v>2096</v>
      </c>
      <c r="CN57" s="308">
        <f t="shared" si="2"/>
        <v>2097</v>
      </c>
      <c r="CO57" s="308">
        <f t="shared" si="2"/>
        <v>2098</v>
      </c>
      <c r="CP57" s="308">
        <f t="shared" si="2"/>
        <v>2099</v>
      </c>
      <c r="CQ57" s="308">
        <f t="shared" si="2"/>
        <v>2100</v>
      </c>
      <c r="CR57" s="308">
        <f t="shared" si="2"/>
        <v>2101</v>
      </c>
      <c r="CS57" s="308">
        <f t="shared" si="2"/>
        <v>2102</v>
      </c>
      <c r="CT57" s="308">
        <f t="shared" si="2"/>
        <v>2103</v>
      </c>
      <c r="CU57" s="10"/>
      <c r="CV57" s="10"/>
      <c r="CW57" s="10"/>
      <c r="CX57" s="10"/>
      <c r="CY57" s="10"/>
      <c r="CZ57" s="10"/>
      <c r="DA57" s="10"/>
      <c r="DB57" s="10"/>
      <c r="DC57" s="10"/>
      <c r="DD57" s="10"/>
    </row>
    <row r="58" spans="2:108" ht="12.75" customHeight="1" x14ac:dyDescent="0.25">
      <c r="D58" t="s">
        <v>254</v>
      </c>
      <c r="H58" s="54" t="s">
        <v>3</v>
      </c>
      <c r="P58" s="10">
        <f>Financing!P46</f>
        <v>0</v>
      </c>
      <c r="Q58" s="10">
        <f>Financing!Q46</f>
        <v>0</v>
      </c>
      <c r="R58" s="10">
        <f>Financing!R46</f>
        <v>0</v>
      </c>
      <c r="S58" s="10">
        <f>Financing!S46</f>
        <v>689.23646455462131</v>
      </c>
      <c r="T58" s="10">
        <f>Financing!T46</f>
        <v>726.07617346983329</v>
      </c>
      <c r="U58" s="10">
        <f>Financing!U46</f>
        <v>724.84726961310537</v>
      </c>
      <c r="V58" s="10">
        <f>Financing!V46</f>
        <v>721.96016533128272</v>
      </c>
      <c r="W58" s="10">
        <f>Financing!W46</f>
        <v>695.31556848982996</v>
      </c>
      <c r="X58" s="10">
        <f>Financing!X46</f>
        <v>715.36459821689311</v>
      </c>
      <c r="Y58" s="10">
        <f>Financing!Y46</f>
        <v>713.20072603653944</v>
      </c>
      <c r="Z58" s="10">
        <f>Financing!Z46</f>
        <v>711.44951405903475</v>
      </c>
      <c r="AA58" s="10">
        <f>Financing!AA46</f>
        <v>708.32579318035619</v>
      </c>
      <c r="AB58" s="10">
        <f>Financing!AB46</f>
        <v>680.98730996863117</v>
      </c>
      <c r="AC58" s="10">
        <f>Financing!AC46</f>
        <v>701.27340845456899</v>
      </c>
      <c r="AD58" s="10">
        <f>Financing!AD46</f>
        <v>698.84138998335129</v>
      </c>
      <c r="AE58" s="10">
        <f>Financing!AE46</f>
        <v>696.51199800159645</v>
      </c>
      <c r="AF58" s="10">
        <f>Financing!AF46</f>
        <v>693.11467781459464</v>
      </c>
      <c r="AG58" s="10">
        <f>Financing!AG46</f>
        <v>665.02373588888156</v>
      </c>
      <c r="AH58" s="10">
        <f>Financing!AH46</f>
        <v>685.5324636195769</v>
      </c>
      <c r="AI58" s="10">
        <f>Financing!AI46</f>
        <v>682.79129418916682</v>
      </c>
      <c r="AJ58" s="10">
        <f>Financing!AJ46</f>
        <v>679.81559859515005</v>
      </c>
      <c r="AK58" s="10">
        <f>Financing!AK46</f>
        <v>676.09994621196131</v>
      </c>
      <c r="AL58" s="10">
        <f>Financing!AL46</f>
        <v>647.19019686492595</v>
      </c>
      <c r="AM58" s="10">
        <f>Financing!AM46</f>
        <v>667.90008451344318</v>
      </c>
      <c r="AN58" s="10">
        <f>Financing!AN46</f>
        <v>664.80014662273754</v>
      </c>
      <c r="AO58" s="10">
        <f>Financing!AO46</f>
        <v>661.09514885070848</v>
      </c>
      <c r="AP58" s="10">
        <f>Financing!AP46</f>
        <v>657.00684880437257</v>
      </c>
      <c r="AQ58" s="10">
        <f>Financing!AQ46</f>
        <v>627.20327059094939</v>
      </c>
      <c r="AR58" s="10">
        <f>Financing!AR46</f>
        <v>648.08390300336418</v>
      </c>
      <c r="AS58" s="10">
        <f>Financing!AS46</f>
        <v>646.98601261377337</v>
      </c>
      <c r="AT58" s="10">
        <f>Financing!AT46</f>
        <v>645.10118881380924</v>
      </c>
      <c r="AU58" s="10">
        <f>Financing!AU46</f>
        <v>643.19751677584543</v>
      </c>
      <c r="AV58" s="10">
        <f>Financing!AV46</f>
        <v>615.09828022476381</v>
      </c>
      <c r="AW58" s="10">
        <f>Financing!AW46</f>
        <v>638.74858850222404</v>
      </c>
      <c r="AX58" s="10">
        <f>Financing!AX46</f>
        <v>637.53557238905933</v>
      </c>
      <c r="AY58" s="10">
        <f>Financing!AY46</f>
        <v>635.5546036326291</v>
      </c>
      <c r="AZ58" s="10">
        <f>Financing!AZ46</f>
        <v>633.55382518863485</v>
      </c>
      <c r="BA58" s="10">
        <f>Financing!BA46</f>
        <v>604.82207200916059</v>
      </c>
      <c r="BB58" s="10">
        <f>Financing!BB46</f>
        <v>628.98779205161054</v>
      </c>
      <c r="BC58" s="10">
        <f>Financing!BC46</f>
        <v>627.65377764594439</v>
      </c>
      <c r="BD58" s="10">
        <f>Financing!BD46</f>
        <v>625.57175957400227</v>
      </c>
      <c r="BE58" s="10">
        <f>Financing!BE46</f>
        <v>623.46892132134087</v>
      </c>
      <c r="BF58" s="10">
        <f>Financing!BF46</f>
        <v>594.11939015924486</v>
      </c>
      <c r="BG58" s="10">
        <f>Financing!BG46</f>
        <v>618.82681314663853</v>
      </c>
      <c r="BH58" s="10">
        <f>Financing!BH46</f>
        <v>617.36562831950846</v>
      </c>
      <c r="BI58" s="10">
        <f>Financing!BI46</f>
        <v>615.17740640140755</v>
      </c>
      <c r="BJ58" s="10">
        <f>Financing!BJ46</f>
        <v>612.96730226412569</v>
      </c>
      <c r="BK58" s="10">
        <f>Financing!BK46</f>
        <v>583.120180134968</v>
      </c>
      <c r="BL58" s="10">
        <f>Financing!BL46</f>
        <v>608.3969383616668</v>
      </c>
      <c r="BM58" s="10">
        <f>Financing!BM46</f>
        <v>606.80209614350269</v>
      </c>
      <c r="BN58" s="10">
        <f>Financing!BN46</f>
        <v>604.50225291572963</v>
      </c>
      <c r="BO58" s="10">
        <f>Financing!BO46</f>
        <v>602.17941125567859</v>
      </c>
      <c r="BP58" s="10">
        <f>Financing!BP46</f>
        <v>573.13273322016414</v>
      </c>
      <c r="BQ58" s="10">
        <f>Financing!BQ46</f>
        <v>599.00786850524833</v>
      </c>
      <c r="BR58" s="10">
        <f>Financing!BR46</f>
        <v>27.314492142264442</v>
      </c>
      <c r="BS58" s="10">
        <f>Financing!BS46</f>
        <v>0</v>
      </c>
      <c r="BT58" s="10">
        <f>Financing!BT46</f>
        <v>0</v>
      </c>
      <c r="BU58" s="10">
        <f>Financing!BU46</f>
        <v>0</v>
      </c>
      <c r="BV58" s="10">
        <f>Financing!BV46</f>
        <v>0</v>
      </c>
      <c r="BW58" s="10">
        <f>Financing!BW46</f>
        <v>0</v>
      </c>
      <c r="BX58" s="10">
        <f>Financing!BX46</f>
        <v>0</v>
      </c>
      <c r="BY58" s="10">
        <f>Financing!BY46</f>
        <v>0</v>
      </c>
      <c r="BZ58" s="10">
        <f>Financing!BZ46</f>
        <v>0</v>
      </c>
      <c r="CA58" s="10">
        <f>Financing!CA46</f>
        <v>0</v>
      </c>
      <c r="CB58" s="10">
        <f>Financing!CB46</f>
        <v>0</v>
      </c>
      <c r="CC58" s="10">
        <f>Financing!CC46</f>
        <v>0</v>
      </c>
      <c r="CD58" s="10">
        <f>Financing!CD46</f>
        <v>0</v>
      </c>
      <c r="CE58" s="10">
        <f>Financing!CE46</f>
        <v>0</v>
      </c>
      <c r="CF58" s="10">
        <f>Financing!CF46</f>
        <v>0</v>
      </c>
      <c r="CG58" s="10">
        <f>Financing!CG46</f>
        <v>0</v>
      </c>
      <c r="CH58" s="10">
        <f>Financing!CH46</f>
        <v>0</v>
      </c>
      <c r="CI58" s="10">
        <f>Financing!CI46</f>
        <v>0</v>
      </c>
      <c r="CJ58" s="10">
        <f>Financing!CJ46</f>
        <v>0</v>
      </c>
      <c r="CK58" s="10">
        <f>Financing!CK46</f>
        <v>0</v>
      </c>
      <c r="CL58" s="10">
        <f>Financing!CL46</f>
        <v>0</v>
      </c>
      <c r="CM58" s="10">
        <f>Financing!CM46</f>
        <v>0</v>
      </c>
      <c r="CN58" s="10">
        <f>Financing!CN46</f>
        <v>0</v>
      </c>
      <c r="CO58" s="10">
        <f>Financing!CO46</f>
        <v>0</v>
      </c>
      <c r="CP58" s="10">
        <f>Financing!CP46</f>
        <v>0</v>
      </c>
      <c r="CQ58" s="10">
        <f>Financing!CQ46</f>
        <v>0</v>
      </c>
      <c r="CR58" s="10">
        <f>Financing!CR46</f>
        <v>0</v>
      </c>
      <c r="CS58" s="10">
        <f>Financing!CS46</f>
        <v>0</v>
      </c>
      <c r="CT58" s="10">
        <f>Financing!CT46</f>
        <v>0</v>
      </c>
    </row>
    <row r="59" spans="2:108" ht="12.75" customHeight="1" x14ac:dyDescent="0.25">
      <c r="D59" t="s">
        <v>249</v>
      </c>
      <c r="H59" s="54" t="s">
        <v>3</v>
      </c>
      <c r="J59" s="205"/>
      <c r="N59" s="19"/>
      <c r="P59" s="10">
        <f>Financing!P87</f>
        <v>0</v>
      </c>
      <c r="Q59" s="10" t="e">
        <f>Financing!Q87</f>
        <v>#REF!</v>
      </c>
      <c r="R59" s="10" t="e">
        <f>Financing!R87</f>
        <v>#REF!</v>
      </c>
      <c r="S59" s="10" t="e">
        <f>Financing!S87</f>
        <v>#REF!</v>
      </c>
      <c r="T59" s="10" t="e">
        <f>Financing!T87</f>
        <v>#REF!</v>
      </c>
      <c r="U59" s="10" t="e">
        <f>Financing!U87</f>
        <v>#REF!</v>
      </c>
      <c r="V59" s="10" t="e">
        <f>Financing!V87</f>
        <v>#REF!</v>
      </c>
      <c r="W59" s="10" t="e">
        <f>Financing!W87</f>
        <v>#REF!</v>
      </c>
      <c r="X59" s="10" t="e">
        <f>Financing!X87</f>
        <v>#REF!</v>
      </c>
      <c r="Y59" s="10" t="e">
        <f>Financing!Y87</f>
        <v>#REF!</v>
      </c>
      <c r="Z59" s="10" t="e">
        <f>Financing!Z87</f>
        <v>#REF!</v>
      </c>
      <c r="AA59" s="10" t="e">
        <f>Financing!AA87</f>
        <v>#REF!</v>
      </c>
      <c r="AB59" s="10" t="e">
        <f>Financing!AB87</f>
        <v>#REF!</v>
      </c>
      <c r="AC59" s="10" t="e">
        <f>Financing!AC87</f>
        <v>#REF!</v>
      </c>
      <c r="AD59" s="10" t="e">
        <f>Financing!AD87</f>
        <v>#REF!</v>
      </c>
      <c r="AE59" s="10" t="e">
        <f>Financing!AE87</f>
        <v>#REF!</v>
      </c>
      <c r="AF59" s="10" t="e">
        <f>Financing!AF87</f>
        <v>#REF!</v>
      </c>
      <c r="AG59" s="10" t="e">
        <f>Financing!AG87</f>
        <v>#REF!</v>
      </c>
      <c r="AH59" s="10" t="e">
        <f>Financing!AH87</f>
        <v>#REF!</v>
      </c>
      <c r="AI59" s="10" t="e">
        <f>Financing!AI87</f>
        <v>#REF!</v>
      </c>
      <c r="AJ59" s="10" t="e">
        <f>Financing!AJ87</f>
        <v>#REF!</v>
      </c>
      <c r="AK59" s="10" t="e">
        <f>Financing!AK87</f>
        <v>#REF!</v>
      </c>
      <c r="AL59" s="10" t="e">
        <f>Financing!AL87</f>
        <v>#REF!</v>
      </c>
      <c r="AM59" s="10" t="e">
        <f>Financing!AM87</f>
        <v>#REF!</v>
      </c>
      <c r="AN59" s="10" t="e">
        <f>Financing!AN87</f>
        <v>#REF!</v>
      </c>
      <c r="AO59" s="10" t="e">
        <f>Financing!AO87</f>
        <v>#REF!</v>
      </c>
      <c r="AP59" s="10" t="e">
        <f>Financing!AP87</f>
        <v>#REF!</v>
      </c>
      <c r="AQ59" s="10" t="e">
        <f>Financing!AQ87</f>
        <v>#REF!</v>
      </c>
      <c r="AR59" s="10" t="e">
        <f>Financing!AR87</f>
        <v>#REF!</v>
      </c>
      <c r="AS59" s="10" t="e">
        <f>Financing!AS87</f>
        <v>#REF!</v>
      </c>
      <c r="AT59" s="10" t="e">
        <f>Financing!AT87</f>
        <v>#REF!</v>
      </c>
      <c r="AU59" s="10" t="e">
        <f>Financing!AU87</f>
        <v>#REF!</v>
      </c>
      <c r="AV59" s="10" t="e">
        <f>Financing!AV87</f>
        <v>#REF!</v>
      </c>
      <c r="AW59" s="10" t="e">
        <f>Financing!AW87</f>
        <v>#REF!</v>
      </c>
      <c r="AX59" s="10" t="e">
        <f>Financing!AX87</f>
        <v>#REF!</v>
      </c>
      <c r="AY59" s="10" t="e">
        <f>Financing!AY87</f>
        <v>#REF!</v>
      </c>
      <c r="AZ59" s="10" t="e">
        <f>Financing!AZ87</f>
        <v>#REF!</v>
      </c>
      <c r="BA59" s="10" t="e">
        <f>Financing!BA87</f>
        <v>#REF!</v>
      </c>
      <c r="BB59" s="10" t="e">
        <f>Financing!BB87</f>
        <v>#REF!</v>
      </c>
      <c r="BC59" s="10" t="e">
        <f>Financing!BC87</f>
        <v>#REF!</v>
      </c>
      <c r="BD59" s="10" t="e">
        <f>Financing!BD87</f>
        <v>#REF!</v>
      </c>
      <c r="BE59" s="10" t="e">
        <f>Financing!BE87</f>
        <v>#REF!</v>
      </c>
      <c r="BF59" s="10" t="e">
        <f>Financing!BF87</f>
        <v>#REF!</v>
      </c>
      <c r="BG59" s="10" t="e">
        <f>Financing!BG87</f>
        <v>#REF!</v>
      </c>
      <c r="BH59" s="10" t="e">
        <f>Financing!BH87</f>
        <v>#REF!</v>
      </c>
      <c r="BI59" s="10" t="e">
        <f>Financing!BI87</f>
        <v>#REF!</v>
      </c>
      <c r="BJ59" s="10" t="e">
        <f>Financing!BJ87</f>
        <v>#REF!</v>
      </c>
      <c r="BK59" s="10" t="e">
        <f>Financing!BK87</f>
        <v>#REF!</v>
      </c>
      <c r="BL59" s="10" t="e">
        <f>Financing!BL87</f>
        <v>#REF!</v>
      </c>
      <c r="BM59" s="10" t="e">
        <f>Financing!BM87</f>
        <v>#REF!</v>
      </c>
      <c r="BN59" s="10" t="e">
        <f>Financing!BN87</f>
        <v>#REF!</v>
      </c>
      <c r="BO59" s="10" t="e">
        <f>Financing!BO87</f>
        <v>#REF!</v>
      </c>
      <c r="BP59" s="10" t="e">
        <f>Financing!BP87</f>
        <v>#REF!</v>
      </c>
      <c r="BQ59" s="10" t="e">
        <f>Financing!BQ87</f>
        <v>#REF!</v>
      </c>
      <c r="BR59" s="10" t="e">
        <f>Financing!BR87</f>
        <v>#REF!</v>
      </c>
      <c r="BS59" s="10" t="e">
        <f>Financing!BS87</f>
        <v>#REF!</v>
      </c>
      <c r="BT59" s="10" t="e">
        <f>Financing!BT87</f>
        <v>#REF!</v>
      </c>
      <c r="BU59" s="10" t="e">
        <f>Financing!BU87</f>
        <v>#REF!</v>
      </c>
      <c r="BV59" s="10" t="e">
        <f>Financing!BV87</f>
        <v>#REF!</v>
      </c>
      <c r="BW59" s="10" t="e">
        <f>Financing!BW87</f>
        <v>#REF!</v>
      </c>
      <c r="BX59" s="10" t="e">
        <f>Financing!BX87</f>
        <v>#REF!</v>
      </c>
      <c r="BY59" s="10" t="e">
        <f>Financing!BY87</f>
        <v>#REF!</v>
      </c>
      <c r="BZ59" s="10" t="e">
        <f>Financing!BZ87</f>
        <v>#REF!</v>
      </c>
      <c r="CA59" s="10" t="e">
        <f>Financing!CA87</f>
        <v>#REF!</v>
      </c>
      <c r="CB59" s="10" t="e">
        <f>Financing!CB87</f>
        <v>#REF!</v>
      </c>
      <c r="CC59" s="10" t="e">
        <f>Financing!CC87</f>
        <v>#REF!</v>
      </c>
      <c r="CD59" s="10" t="e">
        <f>Financing!CD87</f>
        <v>#REF!</v>
      </c>
      <c r="CE59" s="10" t="e">
        <f>Financing!CE87</f>
        <v>#REF!</v>
      </c>
      <c r="CF59" s="10" t="e">
        <f>Financing!CF87</f>
        <v>#REF!</v>
      </c>
      <c r="CG59" s="10" t="e">
        <f>Financing!CG87</f>
        <v>#REF!</v>
      </c>
      <c r="CH59" s="10" t="e">
        <f>Financing!CH87</f>
        <v>#REF!</v>
      </c>
      <c r="CI59" s="10" t="e">
        <f>Financing!CI87</f>
        <v>#REF!</v>
      </c>
      <c r="CJ59" s="10" t="e">
        <f>Financing!CJ87</f>
        <v>#REF!</v>
      </c>
      <c r="CK59" s="10" t="e">
        <f>Financing!CK87</f>
        <v>#REF!</v>
      </c>
      <c r="CL59" s="10" t="e">
        <f>Financing!CL87</f>
        <v>#REF!</v>
      </c>
      <c r="CM59" s="10" t="e">
        <f>Financing!CM87</f>
        <v>#REF!</v>
      </c>
      <c r="CN59" s="10" t="e">
        <f>Financing!CN87</f>
        <v>#REF!</v>
      </c>
      <c r="CO59" s="10" t="e">
        <f>Financing!CO87</f>
        <v>#REF!</v>
      </c>
      <c r="CP59" s="10" t="e">
        <f>Financing!CP87</f>
        <v>#REF!</v>
      </c>
      <c r="CQ59" s="10" t="e">
        <f>Financing!CQ87</f>
        <v>#REF!</v>
      </c>
      <c r="CR59" s="10" t="e">
        <f>Financing!CR87</f>
        <v>#REF!</v>
      </c>
      <c r="CS59" s="10" t="e">
        <f>Financing!CS87</f>
        <v>#REF!</v>
      </c>
      <c r="CT59" s="10" t="e">
        <f>Financing!CT87</f>
        <v>#REF!</v>
      </c>
      <c r="CU59" s="10"/>
      <c r="CV59" s="10"/>
      <c r="CW59" s="10"/>
      <c r="CX59" s="10"/>
      <c r="CY59" s="10"/>
      <c r="CZ59" s="10"/>
      <c r="DA59" s="10"/>
      <c r="DB59" s="10"/>
      <c r="DC59" s="10"/>
      <c r="DD59" s="10"/>
    </row>
    <row r="60" spans="2:108" ht="12.75" customHeight="1" x14ac:dyDescent="0.25">
      <c r="D60" s="184" t="s">
        <v>247</v>
      </c>
      <c r="H60" s="54" t="s">
        <v>3</v>
      </c>
      <c r="N60" s="10"/>
      <c r="P60" s="10" t="e">
        <f>Financing!P88</f>
        <v>#REF!</v>
      </c>
      <c r="Q60" s="10" t="e">
        <f>Financing!Q88</f>
        <v>#REF!</v>
      </c>
      <c r="R60" s="10" t="e">
        <f>Financing!R88</f>
        <v>#REF!</v>
      </c>
      <c r="S60" s="10" t="e">
        <f>Financing!S88</f>
        <v>#REF!</v>
      </c>
      <c r="T60" s="10" t="e">
        <f>Financing!T88</f>
        <v>#REF!</v>
      </c>
      <c r="U60" s="10" t="e">
        <f>Financing!U88</f>
        <v>#REF!</v>
      </c>
      <c r="V60" s="10" t="e">
        <f>Financing!V88</f>
        <v>#REF!</v>
      </c>
      <c r="W60" s="10" t="e">
        <f>Financing!W88</f>
        <v>#REF!</v>
      </c>
      <c r="X60" s="10" t="e">
        <f>Financing!X88</f>
        <v>#REF!</v>
      </c>
      <c r="Y60" s="10" t="e">
        <f>Financing!Y88</f>
        <v>#REF!</v>
      </c>
      <c r="Z60" s="10" t="e">
        <f>Financing!Z88</f>
        <v>#REF!</v>
      </c>
      <c r="AA60" s="10" t="e">
        <f>Financing!AA88</f>
        <v>#REF!</v>
      </c>
      <c r="AB60" s="10" t="e">
        <f>Financing!AB88</f>
        <v>#REF!</v>
      </c>
      <c r="AC60" s="10" t="e">
        <f>Financing!AC88</f>
        <v>#REF!</v>
      </c>
      <c r="AD60" s="10" t="e">
        <f>Financing!AD88</f>
        <v>#REF!</v>
      </c>
      <c r="AE60" s="10" t="e">
        <f>Financing!AE88</f>
        <v>#REF!</v>
      </c>
      <c r="AF60" s="10" t="e">
        <f>Financing!AF88</f>
        <v>#REF!</v>
      </c>
      <c r="AG60" s="10" t="e">
        <f>Financing!AG88</f>
        <v>#REF!</v>
      </c>
      <c r="AH60" s="10" t="e">
        <f>Financing!AH88</f>
        <v>#REF!</v>
      </c>
      <c r="AI60" s="10" t="e">
        <f>Financing!AI88</f>
        <v>#REF!</v>
      </c>
      <c r="AJ60" s="10" t="e">
        <f>Financing!AJ88</f>
        <v>#REF!</v>
      </c>
      <c r="AK60" s="10" t="e">
        <f>Financing!AK88</f>
        <v>#REF!</v>
      </c>
      <c r="AL60" s="10" t="e">
        <f>Financing!AL88</f>
        <v>#REF!</v>
      </c>
      <c r="AM60" s="10" t="e">
        <f>Financing!AM88</f>
        <v>#REF!</v>
      </c>
      <c r="AN60" s="10" t="e">
        <f>Financing!AN88</f>
        <v>#REF!</v>
      </c>
      <c r="AO60" s="10" t="e">
        <f>Financing!AO88</f>
        <v>#REF!</v>
      </c>
      <c r="AP60" s="10" t="e">
        <f>Financing!AP88</f>
        <v>#REF!</v>
      </c>
      <c r="AQ60" s="10" t="e">
        <f>Financing!AQ88</f>
        <v>#REF!</v>
      </c>
      <c r="AR60" s="10" t="e">
        <f>Financing!AR88</f>
        <v>#REF!</v>
      </c>
      <c r="AS60" s="10" t="e">
        <f>Financing!AS88</f>
        <v>#REF!</v>
      </c>
      <c r="AT60" s="10" t="e">
        <f>Financing!AT88</f>
        <v>#REF!</v>
      </c>
      <c r="AU60" s="10" t="e">
        <f>Financing!AU88</f>
        <v>#REF!</v>
      </c>
      <c r="AV60" s="10" t="e">
        <f>Financing!AV88</f>
        <v>#REF!</v>
      </c>
      <c r="AW60" s="10" t="e">
        <f>Financing!AW88</f>
        <v>#REF!</v>
      </c>
      <c r="AX60" s="10" t="e">
        <f>Financing!AX88</f>
        <v>#REF!</v>
      </c>
      <c r="AY60" s="10" t="e">
        <f>Financing!AY88</f>
        <v>#REF!</v>
      </c>
      <c r="AZ60" s="10" t="e">
        <f>Financing!AZ88</f>
        <v>#REF!</v>
      </c>
      <c r="BA60" s="10" t="e">
        <f>Financing!BA88</f>
        <v>#REF!</v>
      </c>
      <c r="BB60" s="10" t="e">
        <f>Financing!BB88</f>
        <v>#REF!</v>
      </c>
      <c r="BC60" s="10" t="e">
        <f>Financing!BC88</f>
        <v>#REF!</v>
      </c>
      <c r="BD60" s="10" t="e">
        <f>Financing!BD88</f>
        <v>#REF!</v>
      </c>
      <c r="BE60" s="10" t="e">
        <f>Financing!BE88</f>
        <v>#REF!</v>
      </c>
      <c r="BF60" s="10" t="e">
        <f>Financing!BF88</f>
        <v>#REF!</v>
      </c>
      <c r="BG60" s="10" t="e">
        <f>Financing!BG88</f>
        <v>#REF!</v>
      </c>
      <c r="BH60" s="10" t="e">
        <f>Financing!BH88</f>
        <v>#REF!</v>
      </c>
      <c r="BI60" s="10" t="e">
        <f>Financing!BI88</f>
        <v>#REF!</v>
      </c>
      <c r="BJ60" s="10" t="e">
        <f>Financing!BJ88</f>
        <v>#REF!</v>
      </c>
      <c r="BK60" s="10" t="e">
        <f>Financing!BK88</f>
        <v>#REF!</v>
      </c>
      <c r="BL60" s="10" t="e">
        <f>Financing!BL88</f>
        <v>#REF!</v>
      </c>
      <c r="BM60" s="10" t="e">
        <f>Financing!BM88</f>
        <v>#REF!</v>
      </c>
      <c r="BN60" s="10" t="e">
        <f>Financing!BN88</f>
        <v>#REF!</v>
      </c>
      <c r="BO60" s="10" t="e">
        <f>Financing!BO88</f>
        <v>#REF!</v>
      </c>
      <c r="BP60" s="10" t="e">
        <f>Financing!BP88</f>
        <v>#REF!</v>
      </c>
      <c r="BQ60" s="10" t="e">
        <f>Financing!BQ88</f>
        <v>#REF!</v>
      </c>
      <c r="BR60" s="10" t="e">
        <f>Financing!BR88</f>
        <v>#REF!</v>
      </c>
      <c r="BS60" s="10" t="e">
        <f>Financing!BS88</f>
        <v>#REF!</v>
      </c>
      <c r="BT60" s="10" t="e">
        <f>Financing!BT88</f>
        <v>#REF!</v>
      </c>
      <c r="BU60" s="10" t="e">
        <f>Financing!BU88</f>
        <v>#REF!</v>
      </c>
      <c r="BV60" s="10" t="e">
        <f>Financing!BV88</f>
        <v>#REF!</v>
      </c>
      <c r="BW60" s="10" t="e">
        <f>Financing!BW88</f>
        <v>#REF!</v>
      </c>
      <c r="BX60" s="10" t="e">
        <f>Financing!BX88</f>
        <v>#REF!</v>
      </c>
      <c r="BY60" s="10" t="e">
        <f>Financing!BY88</f>
        <v>#REF!</v>
      </c>
      <c r="BZ60" s="10" t="e">
        <f>Financing!BZ88</f>
        <v>#REF!</v>
      </c>
      <c r="CA60" s="10" t="e">
        <f>Financing!CA88</f>
        <v>#REF!</v>
      </c>
      <c r="CB60" s="10" t="e">
        <f>Financing!CB88</f>
        <v>#REF!</v>
      </c>
      <c r="CC60" s="10" t="e">
        <f>Financing!CC88</f>
        <v>#REF!</v>
      </c>
      <c r="CD60" s="10" t="e">
        <f>Financing!CD88</f>
        <v>#REF!</v>
      </c>
      <c r="CE60" s="10" t="e">
        <f>Financing!CE88</f>
        <v>#REF!</v>
      </c>
      <c r="CF60" s="10" t="e">
        <f>Financing!CF88</f>
        <v>#REF!</v>
      </c>
      <c r="CG60" s="10" t="e">
        <f>Financing!CG88</f>
        <v>#REF!</v>
      </c>
      <c r="CH60" s="10" t="e">
        <f>Financing!CH88</f>
        <v>#REF!</v>
      </c>
      <c r="CI60" s="10" t="e">
        <f>Financing!CI88</f>
        <v>#REF!</v>
      </c>
      <c r="CJ60" s="10" t="e">
        <f>Financing!CJ88</f>
        <v>#REF!</v>
      </c>
      <c r="CK60" s="10" t="e">
        <f>Financing!CK88</f>
        <v>#REF!</v>
      </c>
      <c r="CL60" s="10" t="e">
        <f>Financing!CL88</f>
        <v>#REF!</v>
      </c>
      <c r="CM60" s="10" t="e">
        <f>Financing!CM88</f>
        <v>#REF!</v>
      </c>
      <c r="CN60" s="10" t="e">
        <f>Financing!CN88</f>
        <v>#REF!</v>
      </c>
      <c r="CO60" s="10" t="e">
        <f>Financing!CO88</f>
        <v>#REF!</v>
      </c>
      <c r="CP60" s="10" t="e">
        <f>Financing!CP88</f>
        <v>#REF!</v>
      </c>
      <c r="CQ60" s="10" t="e">
        <f>Financing!CQ88</f>
        <v>#REF!</v>
      </c>
      <c r="CR60" s="10" t="e">
        <f>Financing!CR88</f>
        <v>#REF!</v>
      </c>
      <c r="CS60" s="10" t="e">
        <f>Financing!CS88</f>
        <v>#REF!</v>
      </c>
      <c r="CT60" s="10" t="e">
        <f>Financing!CT88</f>
        <v>#REF!</v>
      </c>
    </row>
    <row r="61" spans="2:108" ht="12.75" customHeight="1" x14ac:dyDescent="0.25">
      <c r="D61" t="s">
        <v>239</v>
      </c>
      <c r="H61" s="54" t="s">
        <v>3</v>
      </c>
      <c r="N61" s="95"/>
      <c r="P61" s="307">
        <f>Financing!P108</f>
        <v>0</v>
      </c>
      <c r="Q61" s="307" t="e">
        <f>Financing!Q108</f>
        <v>#REF!</v>
      </c>
      <c r="R61" s="307" t="e">
        <f>Financing!R108</f>
        <v>#REF!</v>
      </c>
      <c r="S61" s="307" t="e">
        <f>Financing!S108</f>
        <v>#REF!</v>
      </c>
      <c r="T61" s="307" t="e">
        <f>Financing!T108</f>
        <v>#REF!</v>
      </c>
      <c r="U61" s="307" t="e">
        <f>Financing!U108</f>
        <v>#REF!</v>
      </c>
      <c r="V61" s="307" t="e">
        <f>Financing!V108</f>
        <v>#REF!</v>
      </c>
      <c r="W61" s="307" t="e">
        <f>Financing!W108</f>
        <v>#REF!</v>
      </c>
      <c r="X61" s="307" t="e">
        <f>Financing!X108</f>
        <v>#REF!</v>
      </c>
      <c r="Y61" s="307" t="e">
        <f>Financing!Y108</f>
        <v>#REF!</v>
      </c>
      <c r="Z61" s="307" t="e">
        <f>Financing!Z108</f>
        <v>#REF!</v>
      </c>
      <c r="AA61" s="307" t="e">
        <f>Financing!AA108</f>
        <v>#REF!</v>
      </c>
      <c r="AB61" s="307" t="e">
        <f>Financing!AB108</f>
        <v>#REF!</v>
      </c>
      <c r="AC61" s="307" t="e">
        <f>Financing!AC108</f>
        <v>#REF!</v>
      </c>
      <c r="AD61" s="307" t="e">
        <f>Financing!AD108</f>
        <v>#REF!</v>
      </c>
      <c r="AE61" s="307" t="e">
        <f>Financing!AE108</f>
        <v>#REF!</v>
      </c>
      <c r="AF61" s="307" t="e">
        <f>Financing!AF108</f>
        <v>#REF!</v>
      </c>
      <c r="AG61" s="307" t="e">
        <f>Financing!AG108</f>
        <v>#REF!</v>
      </c>
      <c r="AH61" s="307" t="e">
        <f>Financing!AH108</f>
        <v>#REF!</v>
      </c>
      <c r="AI61" s="307" t="e">
        <f>Financing!AI108</f>
        <v>#REF!</v>
      </c>
      <c r="AJ61" s="307" t="e">
        <f>Financing!AJ108</f>
        <v>#REF!</v>
      </c>
      <c r="AK61" s="307" t="e">
        <f>Financing!AK108</f>
        <v>#REF!</v>
      </c>
      <c r="AL61" s="307" t="e">
        <f>Financing!AL108</f>
        <v>#REF!</v>
      </c>
      <c r="AM61" s="307" t="e">
        <f>Financing!AM108</f>
        <v>#REF!</v>
      </c>
      <c r="AN61" s="307" t="e">
        <f>Financing!AN108</f>
        <v>#REF!</v>
      </c>
      <c r="AO61" s="307" t="e">
        <f>Financing!AO108</f>
        <v>#REF!</v>
      </c>
      <c r="AP61" s="307" t="e">
        <f>Financing!AP108</f>
        <v>#REF!</v>
      </c>
      <c r="AQ61" s="307" t="e">
        <f>Financing!AQ108</f>
        <v>#REF!</v>
      </c>
      <c r="AR61" s="307" t="e">
        <f>Financing!AR108</f>
        <v>#REF!</v>
      </c>
      <c r="AS61" s="307" t="e">
        <f>Financing!AS108</f>
        <v>#REF!</v>
      </c>
      <c r="AT61" s="307" t="e">
        <f>Financing!AT108</f>
        <v>#REF!</v>
      </c>
      <c r="AU61" s="307" t="e">
        <f>Financing!AU108</f>
        <v>#REF!</v>
      </c>
      <c r="AV61" s="307" t="e">
        <f>Financing!AV108</f>
        <v>#REF!</v>
      </c>
      <c r="AW61" s="307" t="e">
        <f>Financing!AW108</f>
        <v>#REF!</v>
      </c>
      <c r="AX61" s="307" t="e">
        <f>Financing!AX108</f>
        <v>#REF!</v>
      </c>
      <c r="AY61" s="307" t="e">
        <f>Financing!AY108</f>
        <v>#REF!</v>
      </c>
      <c r="AZ61" s="307" t="e">
        <f>Financing!AZ108</f>
        <v>#REF!</v>
      </c>
      <c r="BA61" s="307" t="e">
        <f>Financing!BA108</f>
        <v>#REF!</v>
      </c>
      <c r="BB61" s="307" t="e">
        <f>Financing!BB108</f>
        <v>#REF!</v>
      </c>
      <c r="BC61" s="307" t="e">
        <f>Financing!BC108</f>
        <v>#REF!</v>
      </c>
      <c r="BD61" s="307" t="e">
        <f>Financing!BD108</f>
        <v>#REF!</v>
      </c>
      <c r="BE61" s="307" t="e">
        <f>Financing!BE108</f>
        <v>#REF!</v>
      </c>
      <c r="BF61" s="307" t="e">
        <f>Financing!BF108</f>
        <v>#REF!</v>
      </c>
      <c r="BG61" s="307" t="e">
        <f>Financing!BG108</f>
        <v>#REF!</v>
      </c>
      <c r="BH61" s="307" t="e">
        <f>Financing!BH108</f>
        <v>#REF!</v>
      </c>
      <c r="BI61" s="307" t="e">
        <f>Financing!BI108</f>
        <v>#REF!</v>
      </c>
      <c r="BJ61" s="307" t="e">
        <f>Financing!BJ108</f>
        <v>#REF!</v>
      </c>
      <c r="BK61" s="307" t="e">
        <f>Financing!BK108</f>
        <v>#REF!</v>
      </c>
      <c r="BL61" s="307" t="e">
        <f>Financing!BL108</f>
        <v>#REF!</v>
      </c>
      <c r="BM61" s="307" t="e">
        <f>Financing!BM108</f>
        <v>#REF!</v>
      </c>
      <c r="BN61" s="307" t="e">
        <f>Financing!BN108</f>
        <v>#REF!</v>
      </c>
      <c r="BO61" s="307" t="e">
        <f>Financing!BO108</f>
        <v>#REF!</v>
      </c>
      <c r="BP61" s="307" t="e">
        <f>Financing!BP108</f>
        <v>#REF!</v>
      </c>
      <c r="BQ61" s="307" t="e">
        <f>Financing!BQ108</f>
        <v>#REF!</v>
      </c>
      <c r="BR61" s="307" t="e">
        <f>Financing!BR108</f>
        <v>#REF!</v>
      </c>
      <c r="BS61" s="307" t="e">
        <f>Financing!BS108</f>
        <v>#REF!</v>
      </c>
      <c r="BT61" s="307" t="e">
        <f>Financing!BT108</f>
        <v>#REF!</v>
      </c>
      <c r="BU61" s="307" t="e">
        <f>Financing!BU108</f>
        <v>#REF!</v>
      </c>
      <c r="BV61" s="307" t="e">
        <f>Financing!BV108</f>
        <v>#REF!</v>
      </c>
      <c r="BW61" s="307" t="e">
        <f>Financing!BW108</f>
        <v>#REF!</v>
      </c>
      <c r="BX61" s="307" t="e">
        <f>Financing!BX108</f>
        <v>#REF!</v>
      </c>
      <c r="BY61" s="307" t="e">
        <f>Financing!BY108</f>
        <v>#REF!</v>
      </c>
      <c r="BZ61" s="307" t="e">
        <f>Financing!BZ108</f>
        <v>#REF!</v>
      </c>
      <c r="CA61" s="307" t="e">
        <f>Financing!CA108</f>
        <v>#REF!</v>
      </c>
      <c r="CB61" s="307" t="e">
        <f>Financing!CB108</f>
        <v>#REF!</v>
      </c>
      <c r="CC61" s="307" t="e">
        <f>Financing!CC108</f>
        <v>#REF!</v>
      </c>
      <c r="CD61" s="307" t="e">
        <f>Financing!CD108</f>
        <v>#REF!</v>
      </c>
      <c r="CE61" s="307" t="e">
        <f>Financing!CE108</f>
        <v>#REF!</v>
      </c>
      <c r="CF61" s="307" t="e">
        <f>Financing!CF108</f>
        <v>#REF!</v>
      </c>
      <c r="CG61" s="307" t="e">
        <f>Financing!CG108</f>
        <v>#REF!</v>
      </c>
      <c r="CH61" s="307" t="e">
        <f>Financing!CH108</f>
        <v>#REF!</v>
      </c>
      <c r="CI61" s="307" t="e">
        <f>Financing!CI108</f>
        <v>#REF!</v>
      </c>
      <c r="CJ61" s="307" t="e">
        <f>Financing!CJ108</f>
        <v>#REF!</v>
      </c>
      <c r="CK61" s="307" t="e">
        <f>Financing!CK108</f>
        <v>#REF!</v>
      </c>
      <c r="CL61" s="307" t="e">
        <f>Financing!CL108</f>
        <v>#REF!</v>
      </c>
      <c r="CM61" s="307" t="e">
        <f>Financing!CM108</f>
        <v>#REF!</v>
      </c>
      <c r="CN61" s="307" t="e">
        <f>Financing!CN108</f>
        <v>#REF!</v>
      </c>
      <c r="CO61" s="307" t="e">
        <f>Financing!CO108</f>
        <v>#REF!</v>
      </c>
      <c r="CP61" s="307" t="e">
        <f>Financing!CP108</f>
        <v>#REF!</v>
      </c>
      <c r="CQ61" s="307" t="e">
        <f>Financing!CQ108</f>
        <v>#REF!</v>
      </c>
      <c r="CR61" s="307" t="e">
        <f>Financing!CR108</f>
        <v>#REF!</v>
      </c>
      <c r="CS61" s="307" t="e">
        <f>Financing!CS108</f>
        <v>#REF!</v>
      </c>
      <c r="CT61" s="307" t="e">
        <f>Financing!CT108</f>
        <v>#REF!</v>
      </c>
      <c r="CU61" s="51"/>
      <c r="CV61" s="51"/>
      <c r="CW61" s="51"/>
      <c r="CX61" s="51"/>
      <c r="CY61" s="51"/>
      <c r="CZ61" s="51"/>
      <c r="DA61" s="51"/>
      <c r="DB61" s="51"/>
      <c r="DC61" s="51"/>
      <c r="DD61" s="51"/>
    </row>
    <row r="62" spans="2:108" ht="12.75" customHeight="1" x14ac:dyDescent="0.25">
      <c r="D62" t="s">
        <v>316</v>
      </c>
      <c r="H62" s="54" t="s">
        <v>50</v>
      </c>
      <c r="N62" s="10"/>
      <c r="P62" s="87" t="str">
        <f>Equity!P19</f>
        <v/>
      </c>
      <c r="Q62" s="87" t="str">
        <f>Equity!Q19</f>
        <v/>
      </c>
      <c r="R62" s="87" t="str">
        <f>Equity!R19</f>
        <v/>
      </c>
      <c r="S62" s="87" t="str">
        <f>Equity!S19</f>
        <v/>
      </c>
      <c r="T62" s="87" t="str">
        <f>Equity!T19</f>
        <v/>
      </c>
      <c r="U62" s="87" t="str">
        <f>Equity!U19</f>
        <v/>
      </c>
      <c r="V62" s="87" t="str">
        <f>Equity!V19</f>
        <v/>
      </c>
      <c r="W62" s="87" t="str">
        <f>Equity!W19</f>
        <v/>
      </c>
      <c r="X62" s="87" t="str">
        <f>Equity!X19</f>
        <v/>
      </c>
      <c r="Y62" s="87" t="str">
        <f>Equity!Y19</f>
        <v/>
      </c>
      <c r="Z62" s="87" t="str">
        <f>Equity!Z19</f>
        <v/>
      </c>
      <c r="AA62" s="87" t="str">
        <f>Equity!AA19</f>
        <v/>
      </c>
      <c r="AB62" s="87" t="str">
        <f>Equity!AB19</f>
        <v/>
      </c>
      <c r="AC62" s="87" t="str">
        <f>Equity!AC19</f>
        <v/>
      </c>
      <c r="AD62" s="87" t="str">
        <f>Equity!AD19</f>
        <v/>
      </c>
      <c r="AE62" s="87" t="str">
        <f>Equity!AE19</f>
        <v/>
      </c>
      <c r="AF62" s="87" t="str">
        <f>Equity!AF19</f>
        <v/>
      </c>
      <c r="AG62" s="87" t="str">
        <f>Equity!AG19</f>
        <v/>
      </c>
      <c r="AH62" s="87" t="str">
        <f>Equity!AH19</f>
        <v/>
      </c>
      <c r="AI62" s="87" t="str">
        <f>Equity!AI19</f>
        <v/>
      </c>
      <c r="AJ62" s="87" t="str">
        <f>Equity!AJ19</f>
        <v/>
      </c>
      <c r="AK62" s="87" t="str">
        <f>Equity!AK19</f>
        <v/>
      </c>
      <c r="AL62" s="87" t="str">
        <f>Equity!AL19</f>
        <v/>
      </c>
      <c r="AM62" s="87" t="str">
        <f>Equity!AM19</f>
        <v/>
      </c>
      <c r="AN62" s="87" t="str">
        <f>Equity!AN19</f>
        <v/>
      </c>
      <c r="AO62" s="87" t="str">
        <f>Equity!AO19</f>
        <v/>
      </c>
      <c r="AP62" s="87" t="str">
        <f>Equity!AP19</f>
        <v/>
      </c>
      <c r="AQ62" s="87" t="str">
        <f>Equity!AQ19</f>
        <v/>
      </c>
      <c r="AR62" s="87" t="str">
        <f>Equity!AR19</f>
        <v/>
      </c>
      <c r="AS62" s="87" t="str">
        <f>Equity!AS19</f>
        <v/>
      </c>
      <c r="AT62" s="87" t="str">
        <f>Equity!AT19</f>
        <v/>
      </c>
      <c r="AU62" s="87" t="str">
        <f>Equity!AU19</f>
        <v/>
      </c>
      <c r="AV62" s="87" t="str">
        <f>Equity!AV19</f>
        <v/>
      </c>
      <c r="AW62" s="87" t="str">
        <f>Equity!AW19</f>
        <v/>
      </c>
      <c r="AX62" s="87" t="str">
        <f>Equity!AX19</f>
        <v/>
      </c>
      <c r="AY62" s="87" t="str">
        <f>Equity!AY19</f>
        <v/>
      </c>
      <c r="AZ62" s="87" t="str">
        <f>Equity!AZ19</f>
        <v/>
      </c>
      <c r="BA62" s="87" t="str">
        <f>Equity!BA19</f>
        <v/>
      </c>
      <c r="BB62" s="87" t="str">
        <f>Equity!BB19</f>
        <v/>
      </c>
      <c r="BC62" s="87" t="str">
        <f>Equity!BC19</f>
        <v/>
      </c>
      <c r="BD62" s="87" t="str">
        <f>Equity!BD19</f>
        <v/>
      </c>
      <c r="BE62" s="87" t="str">
        <f>Equity!BE19</f>
        <v/>
      </c>
      <c r="BF62" s="87" t="str">
        <f>Equity!BF19</f>
        <v/>
      </c>
      <c r="BG62" s="87" t="str">
        <f>Equity!BG19</f>
        <v/>
      </c>
      <c r="BH62" s="87" t="str">
        <f>Equity!BH19</f>
        <v/>
      </c>
      <c r="BI62" s="87" t="str">
        <f>Equity!BI19</f>
        <v/>
      </c>
      <c r="BJ62" s="87" t="str">
        <f>Equity!BJ19</f>
        <v/>
      </c>
      <c r="BK62" s="87" t="str">
        <f>Equity!BK19</f>
        <v/>
      </c>
      <c r="BL62" s="87" t="str">
        <f>Equity!BL19</f>
        <v/>
      </c>
      <c r="BM62" s="87" t="str">
        <f>Equity!BM19</f>
        <v/>
      </c>
      <c r="BN62" s="87" t="str">
        <f>Equity!BN19</f>
        <v/>
      </c>
      <c r="BO62" s="87" t="str">
        <f>Equity!BO19</f>
        <v/>
      </c>
      <c r="BP62" s="87" t="str">
        <f>Equity!BP19</f>
        <v/>
      </c>
      <c r="BQ62" s="87" t="str">
        <f>Equity!BQ19</f>
        <v/>
      </c>
      <c r="BR62" s="87" t="str">
        <f>Equity!BR19</f>
        <v/>
      </c>
      <c r="BS62" s="87" t="str">
        <f>Equity!BS19</f>
        <v/>
      </c>
      <c r="BT62" s="87" t="str">
        <f>Equity!BT19</f>
        <v/>
      </c>
      <c r="BU62" s="87" t="str">
        <f>Equity!BU19</f>
        <v/>
      </c>
      <c r="BV62" s="87" t="str">
        <f>Equity!BV19</f>
        <v/>
      </c>
      <c r="BW62" s="87" t="str">
        <f>Equity!BW19</f>
        <v/>
      </c>
      <c r="BX62" s="87" t="str">
        <f>Equity!BX19</f>
        <v/>
      </c>
      <c r="BY62" s="87" t="str">
        <f>Equity!BY19</f>
        <v/>
      </c>
      <c r="BZ62" s="87" t="str">
        <f>Equity!BZ19</f>
        <v/>
      </c>
      <c r="CA62" s="87" t="str">
        <f>Equity!CA19</f>
        <v/>
      </c>
      <c r="CB62" s="87" t="str">
        <f>Equity!CB19</f>
        <v/>
      </c>
      <c r="CC62" s="87" t="str">
        <f>Equity!CC19</f>
        <v/>
      </c>
      <c r="CD62" s="87" t="str">
        <f>Equity!CD19</f>
        <v/>
      </c>
      <c r="CE62" s="87" t="str">
        <f>Equity!CE19</f>
        <v/>
      </c>
      <c r="CF62" s="87" t="str">
        <f>Equity!CF19</f>
        <v/>
      </c>
      <c r="CG62" s="87" t="str">
        <f>Equity!CG19</f>
        <v/>
      </c>
      <c r="CH62" s="87" t="str">
        <f>Equity!CH19</f>
        <v/>
      </c>
      <c r="CI62" s="87" t="str">
        <f>Equity!CI19</f>
        <v/>
      </c>
      <c r="CJ62" s="87" t="str">
        <f>Equity!CJ19</f>
        <v/>
      </c>
      <c r="CK62" s="87" t="str">
        <f>Equity!CK19</f>
        <v/>
      </c>
      <c r="CL62" s="87" t="str">
        <f>Equity!CL19</f>
        <v/>
      </c>
      <c r="CM62" s="87" t="str">
        <f>Equity!CM19</f>
        <v/>
      </c>
      <c r="CN62" s="87" t="str">
        <f>Equity!CN19</f>
        <v/>
      </c>
      <c r="CO62" s="87" t="str">
        <f>Equity!CO19</f>
        <v/>
      </c>
      <c r="CP62" s="87" t="str">
        <f>Equity!CP19</f>
        <v/>
      </c>
      <c r="CQ62" s="87" t="str">
        <f>Equity!CQ19</f>
        <v/>
      </c>
      <c r="CR62" s="87" t="str">
        <f>Equity!CR19</f>
        <v/>
      </c>
      <c r="CS62" s="87" t="str">
        <f>Equity!CS19</f>
        <v/>
      </c>
      <c r="CT62" s="87" t="str">
        <f>Equity!CT19</f>
        <v/>
      </c>
    </row>
    <row r="63" spans="2:108" s="41" customFormat="1" ht="12.75" customHeight="1" x14ac:dyDescent="0.2">
      <c r="C63" s="43"/>
      <c r="H63" s="281"/>
      <c r="I63" s="44"/>
    </row>
    <row r="64" spans="2:108" ht="12.75" customHeight="1" x14ac:dyDescent="0.25">
      <c r="C64"/>
      <c r="H64" s="54"/>
      <c r="N64" s="10"/>
    </row>
    <row r="65" spans="2:108" ht="12.75" customHeight="1" x14ac:dyDescent="0.25">
      <c r="B65" s="21"/>
      <c r="C65"/>
      <c r="H65" s="306"/>
      <c r="N65" s="10"/>
    </row>
    <row r="66" spans="2:108" ht="12.75" customHeight="1" x14ac:dyDescent="0.25">
      <c r="C66"/>
      <c r="H66" s="54"/>
      <c r="N66" s="10"/>
    </row>
    <row r="67" spans="2:108" ht="12.75" customHeight="1" x14ac:dyDescent="0.25">
      <c r="C67"/>
      <c r="H67" s="54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</row>
    <row r="68" spans="2:108" ht="12.75" customHeight="1" x14ac:dyDescent="0.25">
      <c r="C68" s="54"/>
      <c r="H68" s="54"/>
      <c r="N68" s="19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</row>
    <row r="69" spans="2:108" ht="12.75" customHeight="1" x14ac:dyDescent="0.25">
      <c r="C69" s="54"/>
      <c r="H69" s="54"/>
      <c r="N69" s="19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</row>
    <row r="70" spans="2:108" ht="12.75" customHeight="1" x14ac:dyDescent="0.25">
      <c r="C70"/>
      <c r="H70" s="54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</row>
    <row r="71" spans="2:108" ht="12.75" customHeight="1" x14ac:dyDescent="0.25">
      <c r="C71"/>
      <c r="H71" s="54"/>
      <c r="N71" s="10"/>
    </row>
    <row r="72" spans="2:108" ht="12.75" customHeight="1" x14ac:dyDescent="0.25">
      <c r="B72" s="21"/>
      <c r="C72"/>
      <c r="H72" s="54"/>
      <c r="N72" s="10"/>
    </row>
    <row r="73" spans="2:108" ht="12.75" customHeight="1" x14ac:dyDescent="0.25">
      <c r="C73"/>
      <c r="H73" s="54"/>
      <c r="N73" s="10"/>
    </row>
    <row r="74" spans="2:108" ht="12.75" customHeight="1" x14ac:dyDescent="0.25">
      <c r="C74"/>
      <c r="H74" s="54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</row>
    <row r="75" spans="2:108" ht="12.75" customHeight="1" x14ac:dyDescent="0.25">
      <c r="C75" s="54"/>
      <c r="H75" s="54"/>
      <c r="N75" s="19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</row>
    <row r="76" spans="2:108" ht="12.75" customHeight="1" x14ac:dyDescent="0.25">
      <c r="C76"/>
      <c r="H76" s="54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</row>
    <row r="77" spans="2:108" ht="12.75" customHeight="1" x14ac:dyDescent="0.25">
      <c r="C77"/>
      <c r="H77" s="54"/>
      <c r="N77" s="10"/>
    </row>
    <row r="78" spans="2:108" ht="12.75" customHeight="1" x14ac:dyDescent="0.25">
      <c r="B78" s="21"/>
      <c r="C78"/>
      <c r="H78" s="54"/>
      <c r="N78" s="10"/>
    </row>
    <row r="79" spans="2:108" ht="12.75" customHeight="1" x14ac:dyDescent="0.25">
      <c r="C79"/>
      <c r="H79" s="54"/>
      <c r="N79" s="10"/>
    </row>
    <row r="80" spans="2:108" ht="12.75" customHeight="1" x14ac:dyDescent="0.25">
      <c r="C80"/>
      <c r="H80" s="54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</row>
    <row r="81" spans="1:108" ht="12.75" customHeight="1" x14ac:dyDescent="0.25">
      <c r="C81" s="54"/>
      <c r="H81" s="54"/>
      <c r="N81" s="19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</row>
    <row r="82" spans="1:108" ht="12.75" customHeight="1" x14ac:dyDescent="0.25">
      <c r="C82"/>
      <c r="H82" s="54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</row>
    <row r="83" spans="1:108" ht="12.75" customHeight="1" x14ac:dyDescent="0.25">
      <c r="C83"/>
      <c r="H83" s="54"/>
      <c r="N83" s="10"/>
    </row>
    <row r="84" spans="1:108" ht="12.75" customHeight="1" x14ac:dyDescent="0.25">
      <c r="C84"/>
      <c r="H84" s="54"/>
      <c r="N84" s="10"/>
    </row>
    <row r="85" spans="1:108" s="1" customFormat="1" ht="12.75" customHeight="1" x14ac:dyDescent="0.2">
      <c r="A85" s="3" t="s">
        <v>53</v>
      </c>
      <c r="H85" s="101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</row>
  </sheetData>
  <conditionalFormatting sqref="CU7:DD7">
    <cfRule type="expression" dxfId="19" priority="19">
      <formula>CU7="Ops"</formula>
    </cfRule>
    <cfRule type="expression" dxfId="18" priority="20">
      <formula>CU7="Const"</formula>
    </cfRule>
  </conditionalFormatting>
  <conditionalFormatting sqref="P7:CT7">
    <cfRule type="expression" dxfId="17" priority="17">
      <formula>P7="Ops"</formula>
    </cfRule>
    <cfRule type="expression" dxfId="16" priority="18">
      <formula>P7="Const"</formula>
    </cfRule>
  </conditionalFormatting>
  <conditionalFormatting sqref="J2:J3">
    <cfRule type="expression" dxfId="15" priority="16">
      <formula>#REF!=TRUE</formula>
    </cfRule>
  </conditionalFormatting>
  <conditionalFormatting sqref="J5:J6">
    <cfRule type="expression" dxfId="14" priority="15">
      <formula>#REF!=TRUE</formula>
    </cfRule>
  </conditionalFormatting>
  <conditionalFormatting sqref="J7">
    <cfRule type="expression" dxfId="13" priority="14">
      <formula>#REF!=TRUE</formula>
    </cfRule>
  </conditionalFormatting>
  <conditionalFormatting sqref="O30">
    <cfRule type="expression" dxfId="12" priority="4">
      <formula>O$7="Actuals"</formula>
    </cfRule>
  </conditionalFormatting>
  <conditionalFormatting sqref="CU29:DD29">
    <cfRule type="expression" dxfId="11" priority="13">
      <formula>CU$7="Actuals"</formula>
    </cfRule>
  </conditionalFormatting>
  <conditionalFormatting sqref="CU30:DD30">
    <cfRule type="expression" dxfId="10" priority="12">
      <formula>CU$7="Actuals"</formula>
    </cfRule>
  </conditionalFormatting>
  <conditionalFormatting sqref="J32">
    <cfRule type="containsText" dxfId="9" priority="10" operator="containsText" text="TRUE">
      <formula>NOT(ISERROR(SEARCH("TRUE",J32)))</formula>
    </cfRule>
    <cfRule type="containsText" dxfId="8" priority="11" operator="containsText" text="FALSE">
      <formula>NOT(ISERROR(SEARCH("FALSE",J32)))</formula>
    </cfRule>
  </conditionalFormatting>
  <conditionalFormatting sqref="P29:CT29">
    <cfRule type="expression" dxfId="7" priority="9">
      <formula>P$7="Actuals"</formula>
    </cfRule>
  </conditionalFormatting>
  <conditionalFormatting sqref="P30:CT30">
    <cfRule type="expression" dxfId="6" priority="8">
      <formula>P$7="Actuals"</formula>
    </cfRule>
  </conditionalFormatting>
  <conditionalFormatting sqref="O29">
    <cfRule type="expression" dxfId="5" priority="7">
      <formula>O$7="Actuals"</formula>
    </cfRule>
  </conditionalFormatting>
  <conditionalFormatting sqref="O32">
    <cfRule type="containsText" dxfId="4" priority="5" operator="containsText" text="TRUE">
      <formula>NOT(ISERROR(SEARCH("TRUE",O32)))</formula>
    </cfRule>
    <cfRule type="containsText" dxfId="3" priority="6" operator="containsText" text="FALSE">
      <formula>NOT(ISERROR(SEARCH("FALSE",O32)))</formula>
    </cfRule>
  </conditionalFormatting>
  <conditionalFormatting sqref="P32:DD32">
    <cfRule type="containsText" dxfId="2" priority="2" operator="containsText" text="TRUE">
      <formula>NOT(ISERROR(SEARCH("TRUE",P32)))</formula>
    </cfRule>
    <cfRule type="containsText" dxfId="1" priority="3" operator="containsText" text="FALSE">
      <formula>NOT(ISERROR(SEARCH("FALSE",P32)))</formula>
    </cfRule>
  </conditionalFormatting>
  <conditionalFormatting sqref="P62:CT62">
    <cfRule type="expression" dxfId="0" priority="1">
      <formula>P$7="Actuals"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Summary</vt:lpstr>
      <vt:lpstr>Buyout</vt:lpstr>
      <vt:lpstr>InputC</vt:lpstr>
      <vt:lpstr>InputT</vt:lpstr>
      <vt:lpstr>IS</vt:lpstr>
      <vt:lpstr>CF</vt:lpstr>
      <vt:lpstr>BS</vt:lpstr>
      <vt:lpstr>Timing</vt:lpstr>
      <vt:lpstr>CAPEX</vt:lpstr>
      <vt:lpstr>Ops</vt:lpstr>
      <vt:lpstr>Tariff</vt:lpstr>
      <vt:lpstr>Financing</vt:lpstr>
      <vt:lpstr>T&amp;D</vt:lpstr>
      <vt:lpstr>Equity</vt:lpstr>
      <vt:lpstr>Valuation</vt:lpstr>
      <vt:lpstr>Macro</vt:lpstr>
      <vt:lpstr>Amortisation</vt:lpstr>
      <vt:lpstr>Graphs</vt:lpstr>
      <vt:lpstr>CFADS_Live</vt:lpstr>
      <vt:lpstr>CFADS_Paste</vt:lpstr>
      <vt:lpstr>IRR_Hurdle</vt:lpstr>
      <vt:lpstr>Macro_Check</vt:lpstr>
      <vt:lpstr>TariffCharge</vt:lpstr>
      <vt:lpstr>Unlevered_IRR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Lee</dc:creator>
  <cp:lastModifiedBy>David Lee</cp:lastModifiedBy>
  <cp:lastPrinted>2021-01-12T21:28:47Z</cp:lastPrinted>
  <dcterms:created xsi:type="dcterms:W3CDTF">2021-01-04T20:50:55Z</dcterms:created>
  <dcterms:modified xsi:type="dcterms:W3CDTF">2025-05-12T19:29:11Z</dcterms:modified>
</cp:coreProperties>
</file>